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Default Extension="bin" ContentType="application/vnd.openxmlformats-officedocument.spreadsheetml.printerSettings"/>
  <Override PartName="/xl/worksheets/sheet1.xml" ContentType="application/vnd.openxmlformats-officedocument.spreadsheetml.worksheet+xml"/>
  <Override PartName="/xl/comments2.xml" ContentType="application/vnd.openxmlformats-officedocument.spreadsheetml.comments+xml"/>
  <Override PartName="/xl/ctrProps/ctrProp1.xml" ContentType="application/vnd.ms-excel.controlproperties+xml"/>
  <Override PartName="/xl/ctrProps/ctrProp2.xml" ContentType="application/vnd.ms-excel.controlproperties+xml"/>
  <Override PartName="/xl/ctrProps/ctrProp3.xml" ContentType="application/vnd.ms-excel.controlproperties+xml"/>
  <Override PartName="/xl/ctrProps/ctrProp4.xml" ContentType="application/vnd.ms-excel.controlproperties+xml"/>
  <Override PartName="/xl/ctrProps/ctrProp5.xml" ContentType="application/vnd.ms-excel.controlproperties+xml"/>
  <Override PartName="/xl/ctrProps/ctrProp6.xml" ContentType="application/vnd.ms-excel.controlproperties+xml"/>
  <Override PartName="/xl/ctrProps/ctrProp7.xml" ContentType="application/vnd.ms-excel.controlproperties+xml"/>
  <Override PartName="/xl/ctrProps/ctrProp8.xml" ContentType="application/vnd.ms-excel.controlproperties+xml"/>
  <Override PartName="/xl/ctrProps/ctrProp9.xml" ContentType="application/vnd.ms-excel.controlproperties+xml"/>
  <Override PartName="/xl/ctrProps/ctrProp10.xml" ContentType="application/vnd.ms-excel.controlproperties+xml"/>
  <Override PartName="/xl/ctrProps/ctrProp11.xml" ContentType="application/vnd.ms-excel.controlproperties+xml"/>
  <Override PartName="/xl/ctrProps/ctrProp12.xml" ContentType="application/vnd.ms-excel.controlproperties+xml"/>
  <Override PartName="/xl/ctrProps/ctrProp13.xml" ContentType="application/vnd.ms-excel.controlproperties+xml"/>
  <Override PartName="/xl/ctrProps/ctrProp14.xml" ContentType="application/vnd.ms-excel.controlproperties+xml"/>
  <Override PartName="/xl/ctrProps/ctrProp15.xml" ContentType="application/vnd.ms-excel.controlproperties+xml"/>
  <Override PartName="/xl/ctrProps/ctrProp16.xml" ContentType="application/vnd.ms-excel.controlproperties+xml"/>
  <Override PartName="/xl/ctrProps/ctrProp17.xml" ContentType="application/vnd.ms-excel.controlproperties+xml"/>
  <Override PartName="/xl/ctrProps/ctrProp18.xml" ContentType="application/vnd.ms-excel.controlproperties+xml"/>
  <Override PartName="/xl/ctrProps/ctrProp19.xml" ContentType="application/vnd.ms-excel.controlproperties+xml"/>
  <Override PartName="/xl/ctrProps/ctrProp20.xml" ContentType="application/vnd.ms-excel.controlproperties+xml"/>
  <Override PartName="/xl/ctrProps/ctrProp21.xml" ContentType="application/vnd.ms-excel.controlproperties+xml"/>
  <Override PartName="/xl/ctrProps/ctrProp22.xml" ContentType="application/vnd.ms-excel.controlproperties+xml"/>
  <Override PartName="/xl/ctrProps/ctrProp23.xml" ContentType="application/vnd.ms-excel.controlproperties+xml"/>
  <Override PartName="/xl/ctrProps/ctrProp24.xml" ContentType="application/vnd.ms-excel.controlproperties+xml"/>
  <Override PartName="/xl/drawings/drawing1.xml" ContentType="application/vnd.openxmlformats-officedocument.drawing+xml"/>
  <Default Extension="vml" ContentType="application/vnd.openxmlformats-officedocument.vmlDrawing"/>
  <Override PartName="/xl/worksheets/sheet2.xml" ContentType="application/vnd.openxmlformats-officedocument.spreadsheetml.worksheet+xml"/>
  <Override PartName="/xl/sharedStrings.xml" ContentType="application/vnd.openxmlformats-officedocument.spreadsheetml.sharedStrings+xml"/>
  <Override PartName="/xl/calcChain.xml" ContentType="application/vnd.openxmlformats-officedocument.spreadsheetml.calcChain+xml"/>
  <Override PartName="/xl/metadata.xml" ContentType="application/vnd.openxmlformats-officedocument.spreadsheetml.sheetMetadata+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workbookProtection workbookPassword="9EB9" lockStructure="1" lockWindows="1"/>
  <bookViews>
    <workbookView xWindow="240" yWindow="120" windowWidth="14940" windowHeight="9225" activeTab="0"/>
  </bookViews>
  <sheets>
    <sheet name="ReadMe" sheetId="2" r:id="rId3"/>
    <sheet name="FORM" sheetId="3" r:id="rId4"/>
  </sheets>
  <definedNames>
    <definedName name="README_HIDDEN_ROWS_CONFIG">ReadMe!$A$1:$A$61</definedName>
    <definedName name="AOC4_BOOK_KEEPING_INFO_CONFIG">FORM!$BO$1:$BQ$8</definedName>
    <definedName name="AOC4_DATASOURCE_CONFIG">FORM!$AF$1:$AG$44</definedName>
    <definedName name="AOC4_FIELDS_CONFIG">FORM!$BB$1:$BM$721</definedName>
    <definedName name="AOC4_HIDDEN_ROWS_CONFIG">FORM!$A$1:$A$605</definedName>
    <definedName name="AOC4_SECTION_CONFIG">FORM!$AI$1:$AP$7</definedName>
    <definedName name="AOC4_SECTION_FIELDS_CONFIG">FORM!$AR$1:$AZ$36</definedName>
  </definedNames>
  <calcPr fullCalcOnLoad="1"/>
  <extLst>
    <ext xmlns:xcalcf="http://schemas.microsoft.com/office/spreadsheetml/2018/calcfeatures" uri="{B58B0392-4F1F-4190-BB64-5DF3571DCE5F}">
      <xcalcf:calcFeatures>
        <xcalcf:feature name="microsoft.com:RD"/>
        <xcalcf:feature name="microsoft.com:FV"/>
        <xcalcf:feature name="microsoft.com:Single"/>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2" i="3" l="1"/>
</calcChain>
</file>

<file path=xl/comments2.xml><?xml version="1.0" encoding="utf-8"?>
<comments xmlns="http://schemas.openxmlformats.org/spreadsheetml/2006/main" xmlns:mc="http://schemas.openxmlformats.org/markup-compatibility/2006" xmlns:xr="http://schemas.microsoft.com/office/spreadsheetml/2014/revision" mc:Ignorable="xr">
  <authors>
    <author>Mukul Chandrashekhar Purohit</author>
  </authors>
  <commentList>
    <comment ref="B594" authorId="0">
      <text>
        <r>
          <rPr>
            <sz val="9"/>
            <rFont val="Tahoma"/>
            <family val="2"/>
          </rPr>
          <t xml:space="preserve">The users are requested not to make reference to the attachment below while providing details of secretarial audit observations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<sst xmlns="http://schemas.openxmlformats.org/spreadsheetml/2006/main" count="3201" uniqueCount="1527">
  <si>
    <t>ALL</t>
  </si>
  <si>
    <t>Instructions for filling Excel Form</t>
  </si>
  <si>
    <t>Use MS Excel Version 2021+ / Office 365 to edit this excel. 
Some of the excel features are not supported in older versions of MS Excel. This may result into unwanted/ incorrect data interpretation and may result in to parsing failures or business validation failures.</t>
  </si>
  <si>
    <r>
      <rPr>
        <sz val="12"/>
        <color rgb="FF000000"/>
        <rFont val="Aptos Display"/>
        <family val="2"/>
      </rPr>
      <t xml:space="preserve">This is a </t>
    </r>
    <r>
      <rPr>
        <b/>
        <sz val="12"/>
        <color rgb="FF000000"/>
        <rFont val="Aptos Display"/>
        <family val="2"/>
      </rPr>
      <t>Protected</t>
    </r>
    <r>
      <rPr>
        <sz val="12"/>
        <color rgb="FF000000"/>
        <rFont val="Aptos Display"/>
        <family val="2"/>
      </rPr>
      <t xml:space="preserve"> Excel. Do not attempt to modify structure / formatting of the excel.</t>
    </r>
  </si>
  <si>
    <r>
      <rPr>
        <sz val="12"/>
        <color rgb="FF000000"/>
        <rFont val="Aptos Display"/>
        <family val="2"/>
      </rPr>
      <t xml:space="preserve">Please refrain from using </t>
    </r>
    <r>
      <rPr>
        <b/>
        <sz val="12"/>
        <color rgb="FF000000"/>
        <rFont val="Aptos Display"/>
        <family val="2"/>
      </rPr>
      <t>Cut/Copy/Paste</t>
    </r>
    <r>
      <rPr>
        <sz val="12"/>
        <color rgb="FF000000"/>
        <rFont val="Aptos Display"/>
        <family val="2"/>
      </rPr>
      <t xml:space="preserve"> operations. These may cause </t>
    </r>
    <r>
      <rPr>
        <b/>
        <sz val="12"/>
        <color rgb="FF000000"/>
        <rFont val="Aptos Display"/>
        <family val="2"/>
      </rPr>
      <t>loss modification of internal calculations/formulas</t>
    </r>
    <r>
      <rPr>
        <sz val="12"/>
        <color rgb="FF000000"/>
        <rFont val="Aptos Display"/>
        <family val="2"/>
      </rPr>
      <t xml:space="preserve"> and will result into mal-formed data in the excel file. 
This may result in to upload failure or incorrect data upload/filing.</t>
    </r>
  </si>
  <si>
    <t>Excel data validations: Basic data validations are enforced in excel.</t>
  </si>
  <si>
    <t>Following are some examples of basic data validations –</t>
  </si>
  <si>
    <r>
      <rPr>
        <sz val="12"/>
        <color rgb="FF000000"/>
        <rFont val="Aptos Display"/>
        <family val="2"/>
      </rPr>
      <t xml:space="preserve"> i.</t>
    </r>
    <r>
      <rPr>
        <b/>
        <sz val="12"/>
        <color rgb="FF000000"/>
        <rFont val="Times New Roman"/>
        <family val="1"/>
      </rPr>
      <t xml:space="preserve"> </t>
    </r>
    <r>
      <rPr>
        <sz val="12"/>
        <color rgb="FF000000"/>
        <rFont val="Aptos Display"/>
        <family val="2"/>
      </rPr>
      <t xml:space="preserve">Amount fields must be between </t>
    </r>
    <r>
      <rPr>
        <b/>
        <sz val="12"/>
        <color rgb="FF000000"/>
        <rFont val="Aptos Display"/>
        <family val="2"/>
      </rPr>
      <t>-999999999999999.99 and 999999999999999.99</t>
    </r>
  </si>
  <si>
    <r>
      <rPr>
        <sz val="12"/>
        <color rgb="FF000000"/>
        <rFont val="Aptos Display"/>
        <family val="2"/>
      </rPr>
      <t xml:space="preserve"> ii.</t>
    </r>
    <r>
      <rPr>
        <b/>
        <sz val="12"/>
        <color rgb="FF000000"/>
        <rFont val="Times New Roman"/>
        <family val="1"/>
      </rPr>
      <t xml:space="preserve"> </t>
    </r>
    <r>
      <rPr>
        <sz val="12"/>
        <color rgb="FF000000"/>
        <rFont val="Aptos Display"/>
        <family val="2"/>
      </rPr>
      <t>Text fields with length validations (</t>
    </r>
    <r>
      <rPr>
        <b/>
        <sz val="12"/>
        <color rgb="FF000000"/>
        <rFont val="Aptos Display"/>
        <family val="2"/>
      </rPr>
      <t>maximum 250/500 characters</t>
    </r>
    <r>
      <rPr>
        <sz val="12"/>
        <color rgb="FF000000"/>
        <rFont val="Aptos Display"/>
        <family val="2"/>
      </rPr>
      <t>) etc.</t>
    </r>
  </si>
  <si>
    <r>
      <rPr>
        <sz val="12"/>
        <color rgb="FF000000"/>
        <rFont val="Aptos Display"/>
        <family val="2"/>
      </rPr>
      <t>'</t>
    </r>
    <r>
      <rPr>
        <b/>
        <sz val="12"/>
        <color rgb="FF000000"/>
        <rFont val="Aptos Display"/>
        <family val="2"/>
      </rPr>
      <t>0' (zero)</t>
    </r>
    <r>
      <rPr>
        <sz val="12"/>
        <color rgb="FF000000"/>
        <rFont val="Aptos Display"/>
        <family val="2"/>
      </rPr>
      <t xml:space="preserve"> is considered as a valid value. If user does not want to provide any value, then user should leave the field blank.</t>
    </r>
  </si>
  <si>
    <r>
      <rPr>
        <sz val="12"/>
        <color rgb="FF000000"/>
        <rFont val="Aptos Display"/>
        <family val="2"/>
      </rPr>
      <t xml:space="preserve">Fields marked in </t>
    </r>
    <r>
      <rPr>
        <b/>
        <sz val="12"/>
        <color rgb="FF000000"/>
        <rFont val="Aptos Display"/>
        <family val="2"/>
      </rPr>
      <t>Grey</t>
    </r>
    <r>
      <rPr>
        <sz val="12"/>
        <color rgb="FF000000"/>
        <rFont val="Aptos Display"/>
        <family val="2"/>
      </rPr>
      <t xml:space="preserve"> colour are read only fields. User will not be able to edit these fields.</t>
    </r>
  </si>
  <si>
    <r>
      <rPr>
        <sz val="12"/>
        <color rgb="FF000000"/>
        <rFont val="Aptos Display"/>
        <family val="2"/>
      </rPr>
      <t>Fields marked in</t>
    </r>
    <r>
      <rPr>
        <b/>
        <sz val="12"/>
        <color rgb="FF000000"/>
        <rFont val="Aptos Display"/>
        <family val="2"/>
      </rPr>
      <t xml:space="preserve"> Blue</t>
    </r>
    <r>
      <rPr>
        <sz val="12"/>
        <color rgb="FF000000"/>
        <rFont val="Aptos Display"/>
        <family val="2"/>
      </rPr>
      <t xml:space="preserve"> colour are editable fields. User should enter a valid value.</t>
    </r>
  </si>
  <si>
    <r>
      <rPr>
        <sz val="12"/>
        <color rgb="FF000000"/>
        <rFont val="Aptos Display"/>
        <family val="2"/>
      </rPr>
      <t xml:space="preserve">Please enter date in </t>
    </r>
    <r>
      <rPr>
        <b/>
        <sz val="12"/>
        <color rgb="FF000000"/>
        <rFont val="Aptos Display"/>
        <family val="2"/>
      </rPr>
      <t>DD/MM/YYYY</t>
    </r>
    <r>
      <rPr>
        <sz val="12"/>
        <color rgb="FF000000"/>
        <rFont val="Aptos Display"/>
        <family val="2"/>
      </rPr>
      <t xml:space="preserve"> Format</t>
    </r>
  </si>
  <si>
    <t>After filling in all the data and uploading the excel, the Excel will be validated for-</t>
  </si>
  <si>
    <r>
      <rPr>
        <b/>
        <sz val="12"/>
        <color rgb="FF000000"/>
        <rFont val="Aptos Display"/>
        <family val="2"/>
      </rPr>
      <t>a.</t>
    </r>
    <r>
      <rPr>
        <sz val="12"/>
        <color rgb="FF000000"/>
        <rFont val="Times New Roman"/>
        <family val="1"/>
      </rPr>
      <t> </t>
    </r>
    <r>
      <rPr>
        <b/>
        <sz val="12"/>
        <color rgb="FF000000"/>
        <rFont val="Aptos Display"/>
        <family val="2"/>
      </rPr>
      <t>Malicious content</t>
    </r>
    <r>
      <rPr>
        <sz val="12"/>
        <color rgb="FF000000"/>
        <rFont val="Aptos Display"/>
        <family val="2"/>
      </rPr>
      <t xml:space="preserve"> - Do not attempt to </t>
    </r>
    <r>
      <rPr>
        <b/>
        <sz val="12"/>
        <color rgb="FF000000"/>
        <rFont val="Aptos Display"/>
        <family val="2"/>
      </rPr>
      <t>alter the format</t>
    </r>
    <r>
      <rPr>
        <sz val="12"/>
        <color rgb="FF000000"/>
        <rFont val="Aptos Display"/>
        <family val="2"/>
      </rPr>
      <t xml:space="preserve">, add any </t>
    </r>
    <r>
      <rPr>
        <b/>
        <sz val="12"/>
        <color rgb="FF000000"/>
        <rFont val="Aptos Display"/>
        <family val="2"/>
      </rPr>
      <t>macros</t>
    </r>
    <r>
      <rPr>
        <sz val="12"/>
        <color rgb="FF000000"/>
        <rFont val="Aptos Display"/>
        <family val="2"/>
      </rPr>
      <t xml:space="preserve"> to the excel. (Macros are not allowed)</t>
    </r>
  </si>
  <si>
    <t xml:space="preserve">b. Version number -   User should update the latest downloaded file and upload the same. Every time user submits the form in offline portal, new excel gets generated with new version number. </t>
  </si>
  <si>
    <t>c. Excel validations -  Every time user uploads the filled excel, it will be validated for integrity and structure of the excel. If case the validations fail, user will not be able to proceed with the file and is expected to 
   download the latest file, fill it and resubmit.</t>
  </si>
  <si>
    <r>
      <rPr>
        <b/>
        <sz val="12"/>
        <color rgb="FF000000"/>
        <rFont val="Aptos Display"/>
        <family val="2"/>
      </rPr>
      <t>Data Enrichment</t>
    </r>
    <r>
      <rPr>
        <sz val="12"/>
        <color rgb="FF000000"/>
        <rFont val="Aptos Display"/>
        <family val="2"/>
      </rPr>
      <t xml:space="preserve"> - After uploading the excel, data enrichment will be performed it two phases - </t>
    </r>
  </si>
  <si>
    <t>a. Before business validations - Populating data based on key fields. For example - Populating product details depending on product code, company details using CIN, director details using din  
   etc. 
   Any failures / errors in this scenario will result in upload failure and user will be prompted to correct those errors. 
   *The Business validations will trigger only when all such enrichment errors are resolved.
   Please refer to below mentioned list of fields specific to this form and make sure that all the fields are filled with proper data before uploading the excel.</t>
  </si>
  <si>
    <t>b. After business validation - Adjusting the date time to corrected format for PDF generations, clearing unwanted data etc. Any failures in this scenario will result into technical error. 
   In this scenario user is requested to connect with support to resolve the issue</t>
  </si>
  <si>
    <r>
      <rPr>
        <b/>
        <sz val="12"/>
        <color rgb="FF000000"/>
        <rFont val="Aptos Display"/>
        <family val="2"/>
      </rPr>
      <t>Business validations</t>
    </r>
    <r>
      <rPr>
        <sz val="12"/>
        <color rgb="FF000000"/>
        <rFont val="Aptos Display"/>
        <family val="2"/>
      </rPr>
      <t xml:space="preserve"> - After uploading the excel, business validations will be performed to validate the data according to the business / functional rules specified by the Honourable Ministry of Corporate Affairs.</t>
    </r>
  </si>
  <si>
    <r>
      <rPr>
        <b/>
        <sz val="12"/>
        <color rgb="FF000000"/>
        <rFont val="Aptos Display"/>
        <family val="2"/>
      </rPr>
      <t>a.</t>
    </r>
    <r>
      <rPr>
        <sz val="12"/>
        <color rgb="FF000000"/>
        <rFont val="Times New Roman"/>
        <family val="1"/>
      </rPr>
      <t xml:space="preserve"> </t>
    </r>
    <r>
      <rPr>
        <sz val="12"/>
        <color rgb="FF000000"/>
        <rFont val="Aptos Display"/>
        <family val="2"/>
      </rPr>
      <t>If any of the rules fail, an error text file will be generated which user can download.</t>
    </r>
  </si>
  <si>
    <r>
      <rPr>
        <b/>
        <sz val="12"/>
        <color rgb="FF000000"/>
        <rFont val="Aptos Display"/>
        <family val="2"/>
      </rPr>
      <t>b.</t>
    </r>
    <r>
      <rPr>
        <sz val="12"/>
        <color rgb="FF000000"/>
        <rFont val="Times New Roman"/>
        <family val="1"/>
      </rPr>
      <t xml:space="preserve"> </t>
    </r>
    <r>
      <rPr>
        <sz val="12"/>
        <color rgb="FF000000"/>
        <rFont val="Aptos Display"/>
        <family val="2"/>
      </rPr>
      <t>User will have to fix the errors specified in the text file and re-upload the updated excel file.</t>
    </r>
  </si>
  <si>
    <r>
      <rPr>
        <b/>
        <sz val="12"/>
        <color rgb="FF000000"/>
        <rFont val="Aptos Display"/>
        <family val="2"/>
      </rPr>
      <t>c.</t>
    </r>
    <r>
      <rPr>
        <sz val="12"/>
        <color rgb="FF000000"/>
        <rFont val="Times New Roman"/>
        <family val="1"/>
      </rPr>
      <t xml:space="preserve"> </t>
    </r>
    <r>
      <rPr>
        <sz val="12"/>
        <color rgb="FF000000"/>
        <rFont val="Aptos Display"/>
        <family val="2"/>
      </rPr>
      <t xml:space="preserve">Steps </t>
    </r>
    <r>
      <rPr>
        <b/>
        <sz val="12"/>
        <color rgb="FF000000"/>
        <rFont val="Aptos Display"/>
        <family val="2"/>
      </rPr>
      <t>a</t>
    </r>
    <r>
      <rPr>
        <sz val="12"/>
        <color rgb="FF000000"/>
        <rFont val="Aptos Display"/>
        <family val="2"/>
      </rPr>
      <t xml:space="preserve"> and </t>
    </r>
    <r>
      <rPr>
        <b/>
        <sz val="12"/>
        <color rgb="FF000000"/>
        <rFont val="Aptos Display"/>
        <family val="2"/>
      </rPr>
      <t>b</t>
    </r>
    <r>
      <rPr>
        <sz val="12"/>
        <color rgb="FF000000"/>
        <rFont val="Aptos Display"/>
        <family val="2"/>
      </rPr>
      <t xml:space="preserve"> will be repeated un-till all the business validation errors are fixed by the user.</t>
    </r>
  </si>
  <si>
    <t>After successful upload of the excel, user will then be prompted to update the declaration section on the portal and proceed with further filing journey.</t>
  </si>
  <si>
    <t>Business validations will be triggered only after valid data is filled in below mentioned fields before uploading the excel</t>
  </si>
  <si>
    <t>AOC4</t>
  </si>
  <si>
    <r>
      <rPr>
        <sz val="12"/>
        <color rgb="FF000000"/>
        <rFont val="Aptos Display"/>
        <family val="2"/>
      </rPr>
      <t xml:space="preserve">Please enter valid </t>
    </r>
    <r>
      <rPr>
        <b/>
        <sz val="12"/>
        <color rgb="FF000000"/>
        <rFont val="Aptos Display"/>
        <family val="2"/>
      </rPr>
      <t>Product or service category code (ITC/ NPCS 4 digit code)</t>
    </r>
    <r>
      <rPr>
        <sz val="12"/>
        <color rgb="FF000000"/>
        <rFont val="Aptos Display"/>
        <family val="2"/>
      </rPr>
      <t xml:space="preserve"> under IV Details related to principal products or services of the company for all the applicable rows if 
*Total number of product/ services category(ies) is greater than zero</t>
    </r>
  </si>
  <si>
    <t>2</t>
  </si>
  <si>
    <r>
      <rPr>
        <sz val="12"/>
        <color rgb="FF000000"/>
        <rFont val="Aptos Display"/>
        <family val="2"/>
      </rPr>
      <t xml:space="preserve">Please enter valid </t>
    </r>
    <r>
      <rPr>
        <b/>
        <sz val="12"/>
        <color rgb="FF000000"/>
        <rFont val="Aptos Display"/>
        <family val="2"/>
      </rPr>
      <t>*Director identification number of the director; or PAN of the manager or CEO or CFO or Interim Resolution Professional (IRP) or Resolution Professional (RP) or Liquidator or Membership number of the secretary</t>
    </r>
    <r>
      <rPr>
        <sz val="12"/>
        <color rgb="FF000000"/>
        <rFont val="Aptos Display"/>
        <family val="2"/>
      </rPr>
      <t xml:space="preserve"> under Declaration</t>
    </r>
  </si>
  <si>
    <t>AOC1</t>
  </si>
  <si>
    <r>
      <rPr>
        <sz val="12"/>
        <color rgb="FF000000"/>
        <rFont val="Aptos Display"/>
        <family val="2"/>
      </rPr>
      <t xml:space="preserve">Please enter valid </t>
    </r>
    <r>
      <rPr>
        <b/>
        <sz val="12"/>
        <color rgb="FF000000"/>
        <rFont val="Aptos Display"/>
        <family val="2"/>
      </rPr>
      <t xml:space="preserve">*CIN/ any other registration number </t>
    </r>
    <r>
      <rPr>
        <sz val="12"/>
        <color rgb="FF000000"/>
        <rFont val="Aptos Display"/>
        <family val="2"/>
      </rPr>
      <t>of subsidiary company under Details of Subsidiaries for all applicable rows if 1. Number of subsidiaries is greater than zero</t>
    </r>
  </si>
  <si>
    <r>
      <rPr>
        <sz val="12"/>
        <color rgb="FF000000"/>
        <rFont val="Aptos Display"/>
        <family val="2"/>
      </rPr>
      <t xml:space="preserve">Please enter valid </t>
    </r>
    <r>
      <rPr>
        <b/>
        <sz val="12"/>
        <color rgb="FF000000"/>
        <rFont val="Aptos Display"/>
        <family val="2"/>
      </rPr>
      <t xml:space="preserve">*CIN/ any other registration number </t>
    </r>
    <r>
      <rPr>
        <sz val="12"/>
        <color rgb="FF000000"/>
        <rFont val="Aptos Display"/>
        <family val="2"/>
      </rPr>
      <t>under Details of Subsidiaries for all applicable rows if 2 Number of subsidiaries which are yet to commence operations is greater than zero</t>
    </r>
  </si>
  <si>
    <r>
      <rPr>
        <sz val="12"/>
        <color rgb="FF000000"/>
        <rFont val="Aptos Display"/>
        <family val="2"/>
      </rPr>
      <t xml:space="preserve">Please enter valid </t>
    </r>
    <r>
      <rPr>
        <b/>
        <sz val="12"/>
        <color rgb="FF000000"/>
        <rFont val="Aptos Display"/>
        <family val="2"/>
      </rPr>
      <t xml:space="preserve">*CIN/ any other registration number </t>
    </r>
    <r>
      <rPr>
        <sz val="12"/>
        <color rgb="FF000000"/>
        <rFont val="Aptos Display"/>
        <family val="2"/>
      </rPr>
      <t>under Details of Subsidiaries for all applicable rows if 3 Number of subsidiaries which have been liquidated or have ceased to be a subsidiary during the year is greater than zero</t>
    </r>
  </si>
  <si>
    <r>
      <rPr>
        <sz val="12"/>
        <color rgb="FF000000"/>
        <rFont val="Aptos Display"/>
        <family val="2"/>
      </rPr>
      <t xml:space="preserve">Please enter valid </t>
    </r>
    <r>
      <rPr>
        <b/>
        <sz val="12"/>
        <color rgb="FF000000"/>
        <rFont val="Aptos Display"/>
        <family val="2"/>
      </rPr>
      <t>*CIN/ any other registration number</t>
    </r>
    <r>
      <rPr>
        <sz val="12"/>
        <color rgb="FF000000"/>
        <rFont val="Aptos Display"/>
        <family val="2"/>
      </rPr>
      <t xml:space="preserve"> under Details of Subsidiaries for all applicable rows if 5 Number of associates or joint ventures which are yet to commence operations is greater than zero</t>
    </r>
  </si>
  <si>
    <r>
      <rPr>
        <sz val="12"/>
        <color rgb="FF000000"/>
        <rFont val="Aptos Display"/>
        <family val="2"/>
      </rPr>
      <t xml:space="preserve">Please enter valid </t>
    </r>
    <r>
      <rPr>
        <b/>
        <sz val="12"/>
        <color rgb="FF000000"/>
        <rFont val="Aptos Display"/>
        <family val="2"/>
      </rPr>
      <t>*CIN/ any other registration number</t>
    </r>
    <r>
      <rPr>
        <sz val="12"/>
        <color rgb="FF000000"/>
        <rFont val="Aptos Display"/>
        <family val="2"/>
      </rPr>
      <t xml:space="preserve"> under Details of Subsidiaries for all applicable rows if 6 Number of associates or joint ventures which have been liquidated or have ceased to be associate or joint venture during the year is greater than zero</t>
    </r>
  </si>
  <si>
    <t>6</t>
  </si>
  <si>
    <t>AOC2</t>
  </si>
  <si>
    <r>
      <rPr>
        <sz val="12"/>
        <color rgb="FF000000"/>
        <rFont val="Aptos Display"/>
        <family val="2"/>
      </rPr>
      <t xml:space="preserve">Please enter valid </t>
    </r>
    <r>
      <rPr>
        <b/>
        <sz val="12"/>
        <color rgb="FF000000"/>
        <rFont val="Aptos Display"/>
        <family val="2"/>
      </rPr>
      <t>*Corporate identity number (CIN) or foreign company registration number (FCRN) or Limited Liability Partnership number (LLPIN) or Foreign Limited Liability Partnership number (FLLPIN) or Permanent Account Number (PAN)/Passport for individuals or any other registration number under</t>
    </r>
    <r>
      <rPr>
        <sz val="12"/>
        <color rgb="FF000000"/>
        <rFont val="Aptos Display"/>
        <family val="2"/>
      </rPr>
      <t xml:space="preserve"> 1.Details of contracts or arrangements or transactions not at arm's length basis. for all applicable rows if *Number of contracts or arrangements or transactions not at arm’s length basis is greater than zero</t>
    </r>
  </si>
  <si>
    <r>
      <rPr>
        <sz val="12"/>
        <color rgb="FF000000"/>
        <rFont val="Aptos Display"/>
        <family val="2"/>
      </rPr>
      <t xml:space="preserve">Please enter valid </t>
    </r>
    <r>
      <rPr>
        <b/>
        <sz val="12"/>
        <color rgb="FF000000"/>
        <rFont val="Aptos Display"/>
        <family val="2"/>
      </rPr>
      <t>*Corporate identity number (CIN) or foreign company registration number (FCRN) or Limited Liability Partnership number (LLPIN) or Foreign Limited Liability Partnership number (FLLPIN) or Permanent Account Number (PAN)/Passport for individuals or any other registration number</t>
    </r>
    <r>
      <rPr>
        <sz val="12"/>
        <color rgb="FF000000"/>
        <rFont val="Aptos Display"/>
        <family val="2"/>
      </rPr>
      <t xml:space="preserve"> under 2.Details of material contracts or arrangement or transactions at arm's length basis. for all applicable rows if Number of material contracts or arrangements or transactions at arm’s length basis is greater than zero</t>
    </r>
  </si>
  <si>
    <t>3</t>
  </si>
  <si>
    <t>AOC4NBFC</t>
  </si>
  <si>
    <r>
      <rPr>
        <sz val="12"/>
        <color rgb="FF000000"/>
        <rFont val="Aptos Display"/>
        <family val="2"/>
      </rPr>
      <t xml:space="preserve">Please enter valid </t>
    </r>
    <r>
      <rPr>
        <b/>
        <sz val="12"/>
        <color rgb="FF000000"/>
        <rFont val="Aptos Display"/>
        <family val="2"/>
      </rPr>
      <t xml:space="preserve">Product or service category code (ITC/ NPCS 4 digit code) </t>
    </r>
    <r>
      <rPr>
        <sz val="12"/>
        <color rgb="FF000000"/>
        <rFont val="Aptos Display"/>
        <family val="2"/>
      </rPr>
      <t>under III Details related to principal products or services of the company for all the applicable rows if 
*Total number of product/ services category(ies) is greater than zero</t>
    </r>
  </si>
  <si>
    <t>AOC4CFSNBFC</t>
  </si>
  <si>
    <t>1</t>
  </si>
  <si>
    <t>AOC4CFS</t>
  </si>
  <si>
    <t>EAuditorStandalone</t>
  </si>
  <si>
    <r>
      <rPr>
        <sz val="12"/>
        <color rgb="FF000000"/>
        <rFont val="Aptos Display"/>
        <family val="2"/>
      </rPr>
      <t xml:space="preserve">Please enter valid </t>
    </r>
    <r>
      <rPr>
        <b/>
        <sz val="12"/>
        <color rgb="FF000000"/>
        <rFont val="Aptos Display"/>
        <family val="2"/>
      </rPr>
      <t>*Director identification number of the director or PAN of the Interim Resolution Professional (IRP)/ Resolution Professional (RP)/ Liquidator</t>
    </r>
    <r>
      <rPr>
        <sz val="12"/>
        <color rgb="FF000000"/>
        <rFont val="Aptos Display"/>
        <family val="2"/>
      </rPr>
      <t xml:space="preserve"> under Declaration by Director</t>
    </r>
  </si>
  <si>
    <t>EAuditorConsolidated</t>
  </si>
  <si>
    <t>Edirector</t>
  </si>
  <si>
    <r>
      <rPr>
        <sz val="12"/>
        <color rgb="FF000000"/>
        <rFont val="Aptos Display"/>
        <family val="2"/>
      </rPr>
      <t xml:space="preserve">Please enter valid </t>
    </r>
    <r>
      <rPr>
        <b/>
        <sz val="12"/>
        <color rgb="FF000000"/>
        <rFont val="Aptos Display"/>
        <family val="2"/>
      </rPr>
      <t>*Director identification number of the director or PAN of the Interim Resolution Professional (IRP)/ Resolution Professional (RP)/ Liquidator</t>
    </r>
    <r>
      <rPr>
        <sz val="12"/>
        <color rgb="FF000000"/>
        <rFont val="Aptos Display"/>
        <family val="2"/>
      </rPr>
      <t xml:space="preserve"> under Declaration</t>
    </r>
  </si>
  <si>
    <t>MGT7</t>
  </si>
  <si>
    <r>
      <rPr>
        <sz val="12"/>
        <color rgb="FF000000"/>
        <rFont val="Aptos Display"/>
        <family val="2"/>
      </rPr>
      <t xml:space="preserve">Please enter valid </t>
    </r>
    <r>
      <rPr>
        <b/>
        <sz val="12"/>
        <color rgb="FF000000"/>
        <rFont val="Aptos Display"/>
        <family val="2"/>
      </rPr>
      <t xml:space="preserve">CIN of the Registrar and Transfer Agent </t>
    </r>
    <r>
      <rPr>
        <sz val="12"/>
        <color rgb="FF000000"/>
        <rFont val="Aptos Display"/>
        <family val="2"/>
      </rPr>
      <t>under viii Number of Registrar and Transfer Agent for all the applicable rows if viii Number of Registrar and Transfer Agent is greater than zero</t>
    </r>
  </si>
  <si>
    <r>
      <rPr>
        <sz val="12"/>
        <color rgb="FF000000"/>
        <rFont val="Aptos Display"/>
        <family val="2"/>
      </rPr>
      <t xml:space="preserve">Please enter valid </t>
    </r>
    <r>
      <rPr>
        <b/>
        <sz val="12"/>
        <color rgb="FF000000"/>
        <rFont val="Aptos Display"/>
        <family val="2"/>
      </rPr>
      <t xml:space="preserve">CIN /FCRN </t>
    </r>
    <r>
      <rPr>
        <sz val="12"/>
        <color rgb="FF000000"/>
        <rFont val="Aptos Display"/>
        <family val="2"/>
      </rPr>
      <t xml:space="preserve"> under II PRINCIPAL BUSINESS ACTIVITIES OF THE COMPANY for all applicable rows if i *No. of Companies for which information is to be given is greater than zero</t>
    </r>
  </si>
  <si>
    <r>
      <rPr>
        <sz val="12"/>
        <color rgb="FF000000"/>
        <rFont val="Aptos Display"/>
        <family val="2"/>
      </rPr>
      <t xml:space="preserve">Please enter valid </t>
    </r>
    <r>
      <rPr>
        <b/>
        <sz val="12"/>
        <color rgb="FF000000"/>
        <rFont val="Aptos Display"/>
        <family val="2"/>
      </rPr>
      <t xml:space="preserve">(a) DIN/PAN/Membership number of Designated Person </t>
    </r>
    <r>
      <rPr>
        <sz val="12"/>
        <color rgb="FF000000"/>
        <rFont val="Aptos Display"/>
        <family val="2"/>
      </rPr>
      <t>under XVI Declaration under Rule 9(4) of the Companies (Management and Administration) Rules, 2014</t>
    </r>
  </si>
  <si>
    <t>4</t>
  </si>
  <si>
    <t>MGT7A</t>
  </si>
  <si>
    <r>
      <rPr>
        <sz val="12"/>
        <color rgb="FF000000"/>
        <rFont val="Aptos Display"/>
        <family val="2"/>
      </rPr>
      <t xml:space="preserve">Please enter valid </t>
    </r>
    <r>
      <rPr>
        <b/>
        <sz val="12"/>
        <color rgb="FF000000"/>
        <rFont val="Aptos Display"/>
        <family val="2"/>
      </rPr>
      <t xml:space="preserve">CIN /FCRN </t>
    </r>
    <r>
      <rPr>
        <sz val="12"/>
        <color rgb="FF000000"/>
        <rFont val="Aptos Display"/>
        <family val="2"/>
      </rPr>
      <t xml:space="preserve"> under III PARTICULARS OF ASSOCIATE COMPANIES (INCLUDING JOINT VENTURES) (not applicable for OPC) for all applicable rows if i *No. of Companies for which information is to be given is greater than zero</t>
    </r>
  </si>
  <si>
    <r>
      <rPr>
        <sz val="12"/>
        <color rgb="FF000000"/>
        <rFont val="Aptos Display"/>
        <family val="2"/>
      </rPr>
      <t xml:space="preserve">Please enter valid </t>
    </r>
    <r>
      <rPr>
        <b/>
        <sz val="12"/>
        <color rgb="FF000000"/>
        <rFont val="Aptos Display"/>
        <family val="2"/>
      </rPr>
      <t xml:space="preserve">DIN </t>
    </r>
    <r>
      <rPr>
        <sz val="12"/>
        <color rgb="FF000000"/>
        <rFont val="Aptos Display"/>
        <family val="2"/>
      </rPr>
      <t>under C ATTENDANCE OF DIRECTORS (not applicable for OPC) in VII NUMBER OF PROMOTERS, MEMBERS, DEBENTURE HOLDERS for all applicable rows</t>
    </r>
  </si>
  <si>
    <r>
      <rPr>
        <sz val="12"/>
        <color rgb="FF000000"/>
        <rFont val="Aptos Display"/>
        <family val="2"/>
      </rPr>
      <t xml:space="preserve">Please enter valid </t>
    </r>
    <r>
      <rPr>
        <b/>
        <sz val="12"/>
        <color rgb="FF000000"/>
        <rFont val="Aptos Display"/>
        <family val="2"/>
      </rPr>
      <t>(a) DIN/PAN/Membership number of Designated Person</t>
    </r>
    <r>
      <rPr>
        <sz val="12"/>
        <color rgb="FF000000"/>
        <rFont val="Aptos Display"/>
        <family val="2"/>
      </rPr>
      <t xml:space="preserve"> under XV Declaration under Rule 9(4) of the Companies (Management and Administration) Rules, 2014 </t>
    </r>
  </si>
  <si>
    <t>CSR2</t>
  </si>
  <si>
    <r>
      <rPr>
        <sz val="12"/>
        <color rgb="FF000000"/>
        <rFont val="Aptos Display"/>
        <family val="2"/>
      </rPr>
      <t xml:space="preserve">Please enter valid </t>
    </r>
    <r>
      <rPr>
        <b/>
        <sz val="12"/>
        <color rgb="FF000000"/>
        <rFont val="Aptos Display"/>
        <family val="2"/>
      </rPr>
      <t>CSR Registration No</t>
    </r>
    <r>
      <rPr>
        <sz val="12"/>
        <color rgb="FF000000"/>
        <rFont val="Aptos Display"/>
        <family val="2"/>
      </rPr>
      <t xml:space="preserve"> under </t>
    </r>
    <r>
      <rPr>
        <b/>
        <sz val="12"/>
        <color rgb="FF000000"/>
        <rFont val="Aptos Display"/>
        <family val="2"/>
      </rPr>
      <t>Mode of Implementation - Through Implementing Agency</t>
    </r>
    <r>
      <rPr>
        <sz val="12"/>
        <color rgb="FF000000"/>
        <rFont val="Aptos Display"/>
        <family val="2"/>
      </rPr>
      <t xml:space="preserve"> for all applicable Project Details under 7 (b)(I) Details of CSR amount spent against ongoing projects for the financial year if Number of Ongoing Projects for the financial year is greater than zero and if "</t>
    </r>
    <r>
      <rPr>
        <b/>
        <sz val="12"/>
        <color rgb="FF000000"/>
        <rFont val="Aptos Display"/>
        <family val="2"/>
      </rPr>
      <t>No</t>
    </r>
    <r>
      <rPr>
        <sz val="12"/>
        <color rgb="FF000000"/>
        <rFont val="Aptos Display"/>
        <family val="2"/>
      </rPr>
      <t xml:space="preserve">" is selected in </t>
    </r>
    <r>
      <rPr>
        <b/>
        <sz val="12"/>
        <color rgb="FF000000"/>
        <rFont val="Aptos Display"/>
        <family val="2"/>
      </rPr>
      <t>Mode of Implementation - Direct</t>
    </r>
    <r>
      <rPr>
        <sz val="12"/>
        <color rgb="FF000000"/>
        <rFont val="Aptos Display"/>
        <family val="2"/>
      </rPr>
      <t>.</t>
    </r>
  </si>
  <si>
    <r>
      <rPr>
        <sz val="12"/>
        <color rgb="FF000000"/>
        <rFont val="Aptos Display"/>
        <family val="2"/>
      </rPr>
      <t xml:space="preserve">Please enter valid </t>
    </r>
    <r>
      <rPr>
        <b/>
        <sz val="12"/>
        <color rgb="FF000000"/>
        <rFont val="Aptos Display"/>
        <family val="2"/>
      </rPr>
      <t>CSR Registration No</t>
    </r>
    <r>
      <rPr>
        <sz val="12"/>
        <color rgb="FF000000"/>
        <rFont val="Aptos Display"/>
        <family val="2"/>
      </rPr>
      <t xml:space="preserve"> under </t>
    </r>
    <r>
      <rPr>
        <b/>
        <sz val="12"/>
        <color rgb="FF000000"/>
        <rFont val="Aptos Display"/>
        <family val="2"/>
      </rPr>
      <t>Mode of Implementation - Through Implementing Agency</t>
    </r>
    <r>
      <rPr>
        <sz val="12"/>
        <color rgb="FF000000"/>
        <rFont val="Aptos Display"/>
        <family val="2"/>
      </rPr>
      <t xml:space="preserve"> for all applicable Project Details under 7 (b)(ii) Details of CSR amount spent against other than ongoing projects for the financial year if Number of Ongoing Projects for the financial year is greater than zero and if "</t>
    </r>
    <r>
      <rPr>
        <b/>
        <sz val="12"/>
        <color rgb="FF000000"/>
        <rFont val="Aptos Display"/>
        <family val="2"/>
      </rPr>
      <t>No</t>
    </r>
    <r>
      <rPr>
        <sz val="12"/>
        <color rgb="FF000000"/>
        <rFont val="Aptos Display"/>
        <family val="2"/>
      </rPr>
      <t xml:space="preserve">" is selected in </t>
    </r>
    <r>
      <rPr>
        <b/>
        <sz val="12"/>
        <color rgb="FF000000"/>
        <rFont val="Aptos Display"/>
        <family val="2"/>
      </rPr>
      <t>Mode of Implementation - Direct</t>
    </r>
    <r>
      <rPr>
        <sz val="12"/>
        <color rgb="FF000000"/>
        <rFont val="Aptos Display"/>
        <family val="2"/>
      </rPr>
      <t xml:space="preserve">. </t>
    </r>
  </si>
  <si>
    <r>
      <rPr>
        <sz val="12"/>
        <color rgb="FF000000"/>
        <rFont val="Aptos Display"/>
        <family val="2"/>
      </rPr>
      <t xml:space="preserve">Please enter valid </t>
    </r>
    <r>
      <rPr>
        <b/>
        <sz val="12"/>
        <color rgb="FF000000"/>
        <rFont val="Aptos Display"/>
        <family val="2"/>
      </rPr>
      <t>Project ID</t>
    </r>
    <r>
      <rPr>
        <sz val="12"/>
        <color rgb="FF000000"/>
        <rFont val="Aptos Display"/>
        <family val="2"/>
      </rPr>
      <t xml:space="preserve"> under 10 (b) Details of CSR amount spent in the financial year for ongoing projects of the preceding financial year(s) for all applicable rows if Number of Ongoing Projects for the financial year is greater than zero Project Id shall be in the format FY&lt;Financial year end date&gt;__Sr No for each company. Project related information will be populated based on the given Project ID</t>
    </r>
  </si>
  <si>
    <r>
      <rPr>
        <sz val="12"/>
        <color rgb="FF000000"/>
        <rFont val="Aptos Display"/>
        <family val="2"/>
      </rPr>
      <t xml:space="preserve">Please enter valid </t>
    </r>
    <r>
      <rPr>
        <b/>
        <sz val="12"/>
        <color rgb="FF000000"/>
        <rFont val="Aptos Display"/>
        <family val="2"/>
      </rPr>
      <t>CSR Registration No</t>
    </r>
    <r>
      <rPr>
        <sz val="12"/>
        <color rgb="FF000000"/>
        <rFont val="Aptos Display"/>
        <family val="2"/>
      </rPr>
      <t xml:space="preserve"> under </t>
    </r>
    <r>
      <rPr>
        <b/>
        <sz val="12"/>
        <color rgb="FF000000"/>
        <rFont val="Aptos Display"/>
        <family val="2"/>
      </rPr>
      <t>Mode of Implementation - Through Implementing Agency</t>
    </r>
    <r>
      <rPr>
        <sz val="12"/>
        <color rgb="FF000000"/>
        <rFont val="Aptos Display"/>
        <family val="2"/>
      </rPr>
      <t xml:space="preserve"> for all applicable Project Details under 10 (c)(iii) Details of amount spent against new ongoing CSR project in the financial year if Number of Ongoing Projects for the financial year is greater than zero and if "</t>
    </r>
    <r>
      <rPr>
        <b/>
        <sz val="12"/>
        <color rgb="FF000000"/>
        <rFont val="Aptos Display"/>
        <family val="2"/>
      </rPr>
      <t>No</t>
    </r>
    <r>
      <rPr>
        <sz val="12"/>
        <color rgb="FF000000"/>
        <rFont val="Aptos Display"/>
        <family val="2"/>
      </rPr>
      <t xml:space="preserve">" is selected in </t>
    </r>
    <r>
      <rPr>
        <b/>
        <sz val="12"/>
        <color rgb="FF000000"/>
        <rFont val="Aptos Display"/>
        <family val="2"/>
      </rPr>
      <t>Mode of Implementation - Direct</t>
    </r>
    <r>
      <rPr>
        <sz val="12"/>
        <color rgb="FF000000"/>
        <rFont val="Aptos Display"/>
        <family val="2"/>
      </rPr>
      <t>.</t>
    </r>
  </si>
  <si>
    <r>
      <rPr>
        <sz val="12"/>
        <color rgb="FF000000"/>
        <rFont val="Aptos Display"/>
        <family val="2"/>
      </rPr>
      <t xml:space="preserve">Please enter valid </t>
    </r>
    <r>
      <rPr>
        <b/>
        <sz val="12"/>
        <color rgb="FF000000"/>
        <rFont val="Aptos Display"/>
        <family val="2"/>
      </rPr>
      <t>CSR Registration No</t>
    </r>
    <r>
      <rPr>
        <sz val="12"/>
        <color rgb="FF000000"/>
        <rFont val="Aptos Display"/>
        <family val="2"/>
      </rPr>
      <t xml:space="preserve"> under </t>
    </r>
    <r>
      <rPr>
        <b/>
        <sz val="12"/>
        <color rgb="FF000000"/>
        <rFont val="Aptos Display"/>
        <family val="2"/>
      </rPr>
      <t>Mode of Implementation - Through Implementing Agency</t>
    </r>
    <r>
      <rPr>
        <sz val="12"/>
        <color rgb="FF000000"/>
        <rFont val="Aptos Display"/>
        <family val="2"/>
      </rPr>
      <t xml:space="preserve"> for all applicable Project Details under 10 (c)(iv) Details of amount spent against new other than ongoing projects in the financial year if Number of Ongoing Projects for the financial year is greater than zero and if "</t>
    </r>
    <r>
      <rPr>
        <b/>
        <sz val="12"/>
        <color rgb="FF000000"/>
        <rFont val="Aptos Display"/>
        <family val="2"/>
      </rPr>
      <t>No</t>
    </r>
    <r>
      <rPr>
        <sz val="12"/>
        <color rgb="FF000000"/>
        <rFont val="Aptos Display"/>
        <family val="2"/>
      </rPr>
      <t xml:space="preserve">" is selected in </t>
    </r>
    <r>
      <rPr>
        <b/>
        <sz val="12"/>
        <color rgb="FF000000"/>
        <rFont val="Aptos Display"/>
        <family val="2"/>
      </rPr>
      <t>Mode of Implementation - Direct</t>
    </r>
    <r>
      <rPr>
        <sz val="12"/>
        <color rgb="FF000000"/>
        <rFont val="Aptos Display"/>
        <family val="2"/>
      </rPr>
      <t xml:space="preserve">. </t>
    </r>
  </si>
  <si>
    <r>
      <rPr>
        <sz val="12"/>
        <color rgb="FF000000"/>
        <rFont val="Aptos Display"/>
        <family val="2"/>
      </rPr>
      <t xml:space="preserve">Please enter valid </t>
    </r>
    <r>
      <rPr>
        <b/>
        <sz val="12"/>
        <color rgb="FF000000"/>
        <rFont val="Aptos Display"/>
        <family val="2"/>
      </rPr>
      <t>CSR Registration No</t>
    </r>
    <r>
      <rPr>
        <sz val="12"/>
        <color rgb="FF000000"/>
        <rFont val="Aptos Display"/>
        <family val="2"/>
      </rPr>
      <t xml:space="preserve"> under </t>
    </r>
    <r>
      <rPr>
        <b/>
        <sz val="12"/>
        <color rgb="FF000000"/>
        <rFont val="Aptos Display"/>
        <family val="2"/>
      </rPr>
      <t>Mode of Implementation - Through Implementing Agency</t>
    </r>
    <r>
      <rPr>
        <sz val="12"/>
        <color rgb="FF000000"/>
        <rFont val="Aptos Display"/>
        <family val="2"/>
      </rPr>
      <t xml:space="preserve"> for all applicable Project Details under 11 Details of amount spent against CSR projects in the financial year if Number of CSR Projects is greater than zero and if "No" is selected in </t>
    </r>
    <r>
      <rPr>
        <b/>
        <sz val="12"/>
        <color rgb="FF000000"/>
        <rFont val="Aptos Display"/>
        <family val="2"/>
      </rPr>
      <t>Mode of Implementation - Direct</t>
    </r>
    <r>
      <rPr>
        <sz val="12"/>
        <color rgb="FF000000"/>
        <rFont val="Aptos Display"/>
        <family val="2"/>
      </rPr>
      <t xml:space="preserve">. </t>
    </r>
  </si>
  <si>
    <r>
      <rPr>
        <sz val="12"/>
        <color rgb="FF000000"/>
        <rFont val="Aptos Display"/>
        <family val="2"/>
      </rPr>
      <t xml:space="preserve">Please enter valid </t>
    </r>
    <r>
      <rPr>
        <b/>
        <sz val="12"/>
        <color rgb="FF000000"/>
        <rFont val="Aptos Display"/>
        <family val="2"/>
      </rPr>
      <t>Pin code</t>
    </r>
    <r>
      <rPr>
        <sz val="12"/>
        <color rgb="FF000000"/>
        <rFont val="Aptos Display"/>
        <family val="2"/>
      </rPr>
      <t xml:space="preserve"> of the property or asset(s) under Details of entity/ Authority/ beneficiary of the registered owner Mode of Implementation - Through Implementing Agency for all applicable Asset Details under Capital assets acquired through CSR if 12 Whether any capital assets have been created or acquired through CSR spent in the financial year is set to "</t>
    </r>
    <r>
      <rPr>
        <b/>
        <sz val="12"/>
        <color rgb="FF000000"/>
        <rFont val="Aptos Display"/>
        <family val="2"/>
      </rPr>
      <t>Yes</t>
    </r>
    <r>
      <rPr>
        <sz val="12"/>
        <color rgb="FF000000"/>
        <rFont val="Aptos Display"/>
        <family val="2"/>
      </rPr>
      <t>" and If yes, enter the number of Capital assets created/ acquired is greater than zero.</t>
    </r>
  </si>
  <si>
    <r>
      <rPr>
        <sz val="12"/>
        <color rgb="FF000000"/>
        <rFont val="Aptos Display"/>
        <family val="2"/>
      </rPr>
      <t xml:space="preserve">Please enter valid </t>
    </r>
    <r>
      <rPr>
        <b/>
        <sz val="12"/>
        <color rgb="FF000000"/>
        <rFont val="Aptos Display"/>
        <family val="2"/>
      </rPr>
      <t>CSR Registration Number, if applicable</t>
    </r>
    <r>
      <rPr>
        <sz val="12"/>
        <color rgb="FF000000"/>
        <rFont val="Aptos Display"/>
        <family val="2"/>
      </rPr>
      <t xml:space="preserve"> under Details of entity/ Authority/ beneficiary of the registered owner Mode of Implementation - Through Implementing Agency for all applicable Asset Details under Capital assets acquired through CSR if 12 Whether any capital assets have been created or acquired through CSR spent in the financial year is set to "</t>
    </r>
    <r>
      <rPr>
        <b/>
        <sz val="12"/>
        <color rgb="FF000000"/>
        <rFont val="Aptos Display"/>
        <family val="2"/>
      </rPr>
      <t>Yes</t>
    </r>
    <r>
      <rPr>
        <sz val="12"/>
        <color rgb="FF000000"/>
        <rFont val="Aptos Display"/>
        <family val="2"/>
      </rPr>
      <t>" and If yes, enter the number of Capital assets created/ acquired is greater than zero.</t>
    </r>
  </si>
  <si>
    <t>9</t>
  </si>
  <si>
    <r>
      <rPr>
        <sz val="12"/>
        <color rgb="FF000000"/>
        <rFont val="Aptos Display"/>
        <family val="2"/>
      </rPr>
      <t xml:space="preserve">Please enter valid </t>
    </r>
    <r>
      <rPr>
        <b/>
        <sz val="12"/>
        <color rgb="FF000000"/>
        <rFont val="Aptos Display"/>
        <family val="2"/>
      </rPr>
      <t>*Director identification number of the director or PAN of the Interim Resolution Professional (IRP) or Resolution Professional (RP) or Liquidator</t>
    </r>
    <r>
      <rPr>
        <sz val="12"/>
        <color rgb="FF000000"/>
        <rFont val="Aptos Display"/>
        <family val="2"/>
      </rPr>
      <t xml:space="preserve"> under Declaration</t>
    </r>
  </si>
  <si>
    <t>For form filing proceed to next tab</t>
  </si>
  <si>
    <t>Linked Cell</t>
  </si>
  <si>
    <t>Formula</t>
  </si>
  <si>
    <t>Smart Marker</t>
  </si>
  <si>
    <r>
      <rPr>
        <b/>
        <sz val="12"/>
        <color rgb="FF000000"/>
        <rFont val="Calibri"/>
        <family val="2"/>
      </rPr>
      <t>Row Numbe</t>
    </r>
    <r>
      <rPr>
        <b/>
        <sz val="11"/>
        <color rgb="FF000000"/>
        <rFont val="Calibri"/>
        <family val="2"/>
      </rPr>
      <t>r</t>
    </r>
  </si>
  <si>
    <t>datasource</t>
  </si>
  <si>
    <t>datasourceTarget</t>
  </si>
  <si>
    <t>sectionName</t>
  </si>
  <si>
    <t>collectionProperty</t>
  </si>
  <si>
    <t>multiline</t>
  </si>
  <si>
    <t>startRow</t>
  </si>
  <si>
    <t>startCol</t>
  </si>
  <si>
    <t>endRow</t>
  </si>
  <si>
    <t>endCol</t>
  </si>
  <si>
    <t>actualEndRow</t>
  </si>
  <si>
    <t>fieldName</t>
  </si>
  <si>
    <t>startRowOffset</t>
  </si>
  <si>
    <t>valueColumn</t>
  </si>
  <si>
    <t>numeric</t>
  </si>
  <si>
    <t>validations</t>
  </si>
  <si>
    <t>editable</t>
  </si>
  <si>
    <t>restrictEditIfPrePropulated</t>
  </si>
  <si>
    <t>target</t>
  </si>
  <si>
    <t>type</t>
  </si>
  <si>
    <t>valueRef</t>
  </si>
  <si>
    <t>valueToSet</t>
  </si>
  <si>
    <t>prePopVal</t>
  </si>
  <si>
    <t>linkedRef</t>
  </si>
  <si>
    <t>cellRefEditabilty</t>
  </si>
  <si>
    <t>cellRefErrMsg</t>
  </si>
  <si>
    <t>Languages</t>
  </si>
  <si>
    <t>YesNoOptions</t>
  </si>
  <si>
    <t>YesNoNAOptions</t>
  </si>
  <si>
    <t>GenderOptions</t>
  </si>
  <si>
    <t>AuditorOptions</t>
  </si>
  <si>
    <t>CSRApplicability</t>
  </si>
  <si>
    <t>TypeOfIndustry</t>
  </si>
  <si>
    <t>Provision</t>
  </si>
  <si>
    <t>Designation</t>
  </si>
  <si>
    <t>CertifiedBy</t>
  </si>
  <si>
    <t>AssosiateFellow</t>
  </si>
  <si>
    <t>Form No. AOC-4</t>
  </si>
  <si>
    <t>BookKeepingInfo</t>
  </si>
  <si>
    <t>bookKeepingInfo</t>
  </si>
  <si>
    <t>SignatoryDetailsFFS</t>
  </si>
  <si>
    <t>currentAoc4Data.formData.signatoryDetailsFFS</t>
  </si>
  <si>
    <t>A</t>
  </si>
  <si>
    <t>P</t>
  </si>
  <si>
    <t>din</t>
  </si>
  <si>
    <t>requestBody.formData.signatoryDetailsFFS</t>
  </si>
  <si>
    <t>B</t>
  </si>
  <si>
    <t>requestBody.formName</t>
  </si>
  <si>
    <t>Hidden</t>
  </si>
  <si>
    <t>AOC-4</t>
  </si>
  <si>
    <t>NA</t>
  </si>
  <si>
    <t>excelVersionNumber</t>
  </si>
  <si>
    <t>Field</t>
  </si>
  <si>
    <t>English</t>
  </si>
  <si>
    <t>Yes</t>
  </si>
  <si>
    <t>Male</t>
  </si>
  <si>
    <t>Individual</t>
  </si>
  <si>
    <t>Section 135</t>
  </si>
  <si>
    <t>Commercial &amp; Industrial</t>
  </si>
  <si>
    <t>Section 2(87)(i)</t>
  </si>
  <si>
    <t xml:space="preserve">Director </t>
  </si>
  <si>
    <t>Chartered Accountant (in whole-time practice)</t>
  </si>
  <si>
    <t>Associate</t>
  </si>
  <si>
    <t>FormData</t>
  </si>
  <si>
    <t>currentAoc4Data.formData</t>
  </si>
  <si>
    <t>SignatoryDetailsBrdRpt</t>
  </si>
  <si>
    <t>currentAoc4Data.formData.signatoryDetailsBrdRpt</t>
  </si>
  <si>
    <t>name</t>
  </si>
  <si>
    <t>E</t>
  </si>
  <si>
    <t>requestBody.operation</t>
  </si>
  <si>
    <t>Proceed</t>
  </si>
  <si>
    <t>offlineRefNum</t>
  </si>
  <si>
    <t>Hindi</t>
  </si>
  <si>
    <t>No</t>
  </si>
  <si>
    <t>Female</t>
  </si>
  <si>
    <t>Author</t>
  </si>
  <si>
    <t>Report for unspent CSR amount</t>
  </si>
  <si>
    <t>Banking Company</t>
  </si>
  <si>
    <t>Section 2(87)(ii)</t>
  </si>
  <si>
    <t xml:space="preserve">Manager </t>
  </si>
  <si>
    <t>Cost Accountant (in whole-time practice)</t>
  </si>
  <si>
    <t>Fellow</t>
  </si>
  <si>
    <t>Form for filing financial statement and other documents with the Registrar</t>
  </si>
  <si>
    <t>SBNDetails</t>
  </si>
  <si>
    <t>currentAoc4Data.formData.SBNDetails</t>
  </si>
  <si>
    <t>AuditorsDetails</t>
  </si>
  <si>
    <t>auditorDetails</t>
  </si>
  <si>
    <t>designation</t>
  </si>
  <si>
    <t>I</t>
  </si>
  <si>
    <t>requestBody.formData.status</t>
  </si>
  <si>
    <t>Draft/Pending Submission</t>
  </si>
  <si>
    <t>templateVersionNumber</t>
  </si>
  <si>
    <t>1-26784797330</t>
  </si>
  <si>
    <t>Not Applicable</t>
  </si>
  <si>
    <t>Transgender</t>
  </si>
  <si>
    <t>Not applicable</t>
  </si>
  <si>
    <t>Insurance Company</t>
  </si>
  <si>
    <t xml:space="preserve">Secretary </t>
  </si>
  <si>
    <t>Company Secretary (in whole-time practice)</t>
  </si>
  <si>
    <t xml:space="preserve">[Pursuant to section 137 of the Companies Act, 2013 and sub-rule (1) of Rule 12 of  Companies (Accounts) Rules, 2014]
</t>
  </si>
  <si>
    <t>CostDetails</t>
  </si>
  <si>
    <t>currentAoc4Data.formData.costDetails</t>
  </si>
  <si>
    <t>DetailsRelatedToPrincipalProducts</t>
  </si>
  <si>
    <t>currentAoc4Data.formData.principalProducts.detailsRelatedToPrincipalProducts</t>
  </si>
  <si>
    <t>O</t>
  </si>
  <si>
    <t>dateOfSigningOfFS</t>
  </si>
  <si>
    <t>L</t>
  </si>
  <si>
    <t>requestBody.referenceNumber</t>
  </si>
  <si>
    <t>31/03/2022</t>
  </si>
  <si>
    <t>onlineRefNum</t>
  </si>
  <si>
    <t xml:space="preserve">Power Company  </t>
  </si>
  <si>
    <t xml:space="preserve">CEO </t>
  </si>
  <si>
    <t>FinancialPM</t>
  </si>
  <si>
    <t>currentAoc4Data.formData.financialPM</t>
  </si>
  <si>
    <t>CAGComments</t>
  </si>
  <si>
    <t>currentAoc4Data.formData.auditorsReport.commentDetails</t>
  </si>
  <si>
    <t>subType</t>
  </si>
  <si>
    <t>requestBody.formDescription</t>
  </si>
  <si>
    <t>Standalone Financial statements - Other than NBFC</t>
  </si>
  <si>
    <t>startColumnToHide</t>
  </si>
  <si>
    <t>Non banking Financial Company (NBFC) registered with RBI</t>
  </si>
  <si>
    <t>CFO</t>
  </si>
  <si>
    <t>FinancialParameters</t>
  </si>
  <si>
    <t>currentAoc4Data.formData.financialParameters</t>
  </si>
  <si>
    <t>DetailsOfQualification</t>
  </si>
  <si>
    <t>currentAoc4Data.formData.secretarialAudit.detailsOfSecretarialQualifications</t>
  </si>
  <si>
    <t>requestBody.formData.signatoryDetailsBrdRpt</t>
  </si>
  <si>
    <t>numberOfColumnToHide</t>
  </si>
  <si>
    <t>IRP/RP/Liquidator</t>
  </si>
  <si>
    <r>
      <rPr>
        <i/>
        <sz val="10"/>
        <color rgb="FF000000"/>
        <rFont val="Calibri"/>
        <family val="2"/>
        <scheme val="minor"/>
      </rPr>
      <t>All fields marked in * are mandatory</t>
    </r>
    <r>
      <rPr>
        <sz val="10"/>
        <color rgb="FF000000"/>
        <rFont val="Calibri"/>
        <family val="2"/>
      </rPr>
      <t> </t>
    </r>
  </si>
  <si>
    <t>AuditorsReport</t>
  </si>
  <si>
    <t>currentAoc4Data.formData.auditorsReport</t>
  </si>
  <si>
    <t>requestBody.formData.srType</t>
  </si>
  <si>
    <t>storageRandomId</t>
  </si>
  <si>
    <t>4a7Sa6e6MRmT0nQTGquClPZwoFFT/LPm</t>
  </si>
  <si>
    <t>Figures appearing in the e-Form should be entered in Absolute Rupees only. Figures should not be rounded off in any other unit like hundreds, 
thousands, lakhs, millions or crores</t>
  </si>
  <si>
    <t>SecretarialAudit</t>
  </si>
  <si>
    <t>currentAoc4Data.formData.secretarialAudit</t>
  </si>
  <si>
    <t>requestBody.formData.cin</t>
  </si>
  <si>
    <t>ADT1</t>
  </si>
  <si>
    <t>adt1Data</t>
  </si>
  <si>
    <t>requestBody.formData.formIntegrationId</t>
  </si>
  <si>
    <t>ADT1FormData</t>
  </si>
  <si>
    <t>adt1Data.data.formData</t>
  </si>
  <si>
    <t>requestBody.formData.authorisedCapital</t>
  </si>
  <si>
    <t>PrevYrData</t>
  </si>
  <si>
    <t>prevAoc4Data.data.formData</t>
  </si>
  <si>
    <t>pANofAuditorOrAuditorsFirm</t>
  </si>
  <si>
    <t>requestBody.formData.auditorDetails</t>
  </si>
  <si>
    <t>G</t>
  </si>
  <si>
    <t>requestBody.formData.numberOfMembers</t>
  </si>
  <si>
    <r>
      <rPr>
        <b/>
        <sz val="10"/>
        <color rgb="FF000000"/>
        <rFont val="Calibri"/>
        <family val="2"/>
        <scheme val="minor"/>
      </rPr>
      <t>SEGMENT- I: GENERAL INFORMATION OF THE COMPANY AND PARTICULARS IN RESPECT OF BALANCE SHEET</t>
    </r>
    <r>
      <rPr>
        <sz val="10"/>
        <color rgb="FF000000"/>
        <rFont val="Calibri"/>
        <family val="2"/>
      </rPr>
      <t> </t>
    </r>
  </si>
  <si>
    <t>BlanaceSheet</t>
  </si>
  <si>
    <t>prevAoc4Data.data.formData.balanceSheet</t>
  </si>
  <si>
    <t>categoryOfAuditor</t>
  </si>
  <si>
    <t>requestBody.formData.nameOfTheCompany</t>
  </si>
  <si>
    <t>EquityAndLiabilities</t>
  </si>
  <si>
    <t>prevAoc4Data.data.formData.balanceSheet.equityAndLiabilities</t>
  </si>
  <si>
    <t>requestBody.formData.addressOfTheRegisteredOfficeOfTheCompany</t>
  </si>
  <si>
    <t xml:space="preserve">Part A - General information of the Company </t>
  </si>
  <si>
    <t>ShareHoldersFund</t>
  </si>
  <si>
    <t>prevAoc4Data.data.formData.balanceSheet.equityAndLiabilities.shareHoldersFund</t>
  </si>
  <si>
    <t>membershipNumber</t>
  </si>
  <si>
    <t>requestBody.formData.eMailId</t>
  </si>
  <si>
    <t>NonCurrentLiabilities</t>
  </si>
  <si>
    <t>prevAoc4Data.data.formData.balanceSheet.equityAndLiabilities.nonCurrentLiabilities</t>
  </si>
  <si>
    <t>nameOfAuditor</t>
  </si>
  <si>
    <t>requestBody.formData.fromDateOfFinYear</t>
  </si>
  <si>
    <t>1 (a) *Corporate Identity Number (CIN)  </t>
  </si>
  <si>
    <t>(b) *Authorised capital of the company as on the 
       date of filing </t>
  </si>
  <si>
    <t>(c) *Number of members of the company as 
       on the date of filing</t>
  </si>
  <si>
    <t>CurrentLiabilities</t>
  </si>
  <si>
    <t>prevAoc4Data.data.formData.balanceSheet.equityAndLiabilities.currentLiabilities</t>
  </si>
  <si>
    <t>auditorOrFirmAddress.addressline1</t>
  </si>
  <si>
    <t>requestBody.formData.toDateOfFinYear</t>
  </si>
  <si>
    <t>U92410KL2020PTC065216</t>
  </si>
  <si>
    <t>1000000</t>
  </si>
  <si>
    <t>01/04/2021</t>
  </si>
  <si>
    <t>Assets</t>
  </si>
  <si>
    <t>prevAoc4Data.data.formData.balanceSheet.assets</t>
  </si>
  <si>
    <t>auditorOrFirmAddress.addressline2</t>
  </si>
  <si>
    <t>requestBody.formData.dateOfBODMeeting</t>
  </si>
  <si>
    <t>NonCurrentAssets</t>
  </si>
  <si>
    <t>prevAoc4Data.data.formData.balanceSheet.assets.nonCurrentAssets</t>
  </si>
  <si>
    <t>auditorOrFirmAddress.country</t>
  </si>
  <si>
    <t>requestBody.formData.natureOfStatement</t>
  </si>
  <si>
    <t>2 (a) *Name of the company</t>
  </si>
  <si>
    <t>(b) *Address of the registered office of the company</t>
  </si>
  <si>
    <t xml:space="preserve"> (c) *e-mail ID of the company </t>
  </si>
  <si>
    <t>CurrentAssets</t>
  </si>
  <si>
    <t>prevAoc4Data.data.formData.balanceSheet.assets.currentAssets</t>
  </si>
  <si>
    <t>auditorOrFirmAddress.pincode</t>
  </si>
  <si>
    <t>requestBody.formData.provisionalFinancialStatementsFiledEarlier</t>
  </si>
  <si>
    <t>Dropdown</t>
  </si>
  <si>
    <t xml:space="preserve">(ii) Whether provisional financial statements filed earlier </t>
  </si>
  <si>
    <t>DetailedBS</t>
  </si>
  <si>
    <t>prevAoc4Data.data.formData.detailedBS</t>
  </si>
  <si>
    <t>auditorOrFirmAddress.arealocality</t>
  </si>
  <si>
    <t>requestBody.formData.adoptedInAdjournedAGM</t>
  </si>
  <si>
    <t xml:space="preserve">(iv) Whether adopted in adjourned AGM </t>
  </si>
  <si>
    <t>M/s VIBESEK VENTURES PRIVATE LIMITED</t>
  </si>
  <si>
    <t>PP.V/351Q PERSHYAN BUILDINGS   ANAPANTHY KAVALA,VALLITHODE, KANNUR, India, 670706</t>
  </si>
  <si>
    <t>*****paul@gmail.com</t>
  </si>
  <si>
    <t>LongTermBorrowings</t>
  </si>
  <si>
    <t>prevAoc4Data.data.formData.detailedBS.detailOfLongTermBorrowings</t>
  </si>
  <si>
    <t>auditorOrFirmAddress.city</t>
  </si>
  <si>
    <t>requestBody.formData.dateOfAdjournedAGM</t>
  </si>
  <si>
    <t>ShortTermBorrowings</t>
  </si>
  <si>
    <t>prevAoc4Data.data.formData.detailedBS.detailOfShortTermBorrowings</t>
  </si>
  <si>
    <t>auditorOrFirmAddress.district</t>
  </si>
  <si>
    <t>requestBody.formData.sRNOfAOC4</t>
  </si>
  <si>
    <t>TradeReceivables</t>
  </si>
  <si>
    <t>prevAoc4Data.data.formData.detailedBS.detailsOfTradeReceivables</t>
  </si>
  <si>
    <t>auditorOrFirmAddress.state</t>
  </si>
  <si>
    <t>requestBody.formData.natureOfRevision</t>
  </si>
  <si>
    <t>3 Financial year to which financial statements relates </t>
  </si>
  <si>
    <t>LongTermLoansGood</t>
  </si>
  <si>
    <t>prevAoc4Data.data.formData.detailedBS.detailsOfLongTermLoansGood</t>
  </si>
  <si>
    <t>detailsOfmemberSigning.nameOfTheMemberSigning</t>
  </si>
  <si>
    <t>requestBody.formData.sRNOfINC28</t>
  </si>
  <si>
    <t>*From (DD/MM/YYYY)</t>
  </si>
  <si>
    <t>*To (DD/MM/YYYY) </t>
  </si>
  <si>
    <t>LongTermLoansDoubtful</t>
  </si>
  <si>
    <t>prevAoc4Data.data.formData.detailedBS.detailsOfLongTermLoansDoubtful</t>
  </si>
  <si>
    <t>detailsOfmemberSigning.membershipNumberOfTheMemberSigning</t>
  </si>
  <si>
    <t>requestBody.formData.dateOfOrderOfCompetentAuthority</t>
  </si>
  <si>
    <t>StatementOfProfitAndLoss</t>
  </si>
  <si>
    <t>prevAoc4Data.data.formData.statementOfProfitAndLoss</t>
  </si>
  <si>
    <t>productCode</t>
  </si>
  <si>
    <t>requestBody.formData.principalProducts.detailsRelatedToPrincipalProducts</t>
  </si>
  <si>
    <t>requestBody.formData.aGMheld</t>
  </si>
  <si>
    <t>7 (a) * Whether annual general meeting (AGM) held</t>
  </si>
  <si>
    <t>DetailedPL</t>
  </si>
  <si>
    <t>prevAoc4Data.data.formData.detailedPL</t>
  </si>
  <si>
    <t>descriptionOfProduct</t>
  </si>
  <si>
    <t>D</t>
  </si>
  <si>
    <t>requestBody.formData.dateOfAGM</t>
  </si>
  <si>
    <t xml:space="preserve">4 (a) *Date of Board of directors' meeting in which financial statements are approved </t>
  </si>
  <si>
    <t>EarningInForex</t>
  </si>
  <si>
    <t>prevAoc4Data.data.formData.detailedPL.earningInForex</t>
  </si>
  <si>
    <t>turnoverOfService</t>
  </si>
  <si>
    <t>requestBody.formData.dueDateOfAGM</t>
  </si>
  <si>
    <t>26/06/2026</t>
  </si>
  <si>
    <t>ExpenditureInForex</t>
  </si>
  <si>
    <t>prevAoc4Data.data.formData.detailedPL.expenditureInForex</t>
  </si>
  <si>
    <t>highestTurnoverContributingProductCode</t>
  </si>
  <si>
    <t>requestBody.formData.extentionOfAGM</t>
  </si>
  <si>
    <t>(d) Whether any extension for AGM granted</t>
  </si>
  <si>
    <t>RaisedShareCapital</t>
  </si>
  <si>
    <t>shareCapitalData.data.raisedShareCapital</t>
  </si>
  <si>
    <t>highestTurnoverContributingProductDescription</t>
  </si>
  <si>
    <t>K</t>
  </si>
  <si>
    <t>requestBody.formData.gNL1SRN</t>
  </si>
  <si>
    <t>(b) (i) *Nature of financial statements</t>
  </si>
  <si>
    <t>EquityShare</t>
  </si>
  <si>
    <t>shareCapitalData.data.raisedShareCapital.equityShare</t>
  </si>
  <si>
    <t>turnoverOfHighestContributingProduct</t>
  </si>
  <si>
    <t>M</t>
  </si>
  <si>
    <t>requestBody.formData.dueDateOfAGMAfterExtention</t>
  </si>
  <si>
    <t>Provisional un-adopted Financial statements</t>
  </si>
  <si>
    <t>ESIncreaseAmount</t>
  </si>
  <si>
    <t>shareCapitalData.data.raisedShareCapital.equityShare.increaseAmount</t>
  </si>
  <si>
    <t>serialNo</t>
  </si>
  <si>
    <t>requestBody.formData.auditorsReport.commentDetails</t>
  </si>
  <si>
    <t>requestBody.formData.companyIsSubsidiary</t>
  </si>
  <si>
    <t>8 (a) *Whether the company is a subsidiary company as defined under clause (87) of section 2</t>
  </si>
  <si>
    <t>ESDecreaseAmount</t>
  </si>
  <si>
    <t>shareCapitalData.data.raisedShareCapital.equityShare.decreaseAmount</t>
  </si>
  <si>
    <t>detailsOfComment</t>
  </si>
  <si>
    <t>C</t>
  </si>
  <si>
    <t>requestBody.formData.cINofSubsidiaryHolding</t>
  </si>
  <si>
    <t xml:space="preserve">     (ii) Whether provisional financial statements filed earlier</t>
  </si>
  <si>
    <t>PreferenceShare</t>
  </si>
  <si>
    <t>shareCapitalData.data.raisedShareCapital.preferenceShare</t>
  </si>
  <si>
    <t>bODReplyOnComment</t>
  </si>
  <si>
    <t>J</t>
  </si>
  <si>
    <t>requestBody.formData.nameOfSubsidiaryHoldingCmpny</t>
  </si>
  <si>
    <t>PSIncreaseAmount</t>
  </si>
  <si>
    <t>shareCapitalData.data.raisedShareCapital.preferenceShare.increaseAmount</t>
  </si>
  <si>
    <t>details</t>
  </si>
  <si>
    <t>requestBody.formData.secretarialAudit.detailsOfSecretarialQualifications</t>
  </si>
  <si>
    <t>requestBody.formData.provision</t>
  </si>
  <si>
    <t>PSDecreaseAmount</t>
  </si>
  <si>
    <t>shareCapitalData.data.raisedShareCapital.preferenceShare.decreaseAmount</t>
  </si>
  <si>
    <t>requestBody.formData.companyHasSubsidiary</t>
  </si>
  <si>
    <t>(e) *Whether the company has a subsidiary company as defined under clause (87) of   section 2 or the company has an associate company, or a joint venture as defined  
 under clause (6) of section 2</t>
  </si>
  <si>
    <t xml:space="preserve">     (iv) Whether adopted in adjourned AGM</t>
  </si>
  <si>
    <t>equityShare</t>
  </si>
  <si>
    <t>requestBody.formData.dateOfBordOfDirMeeting</t>
  </si>
  <si>
    <t>equityShare.increaseAmount</t>
  </si>
  <si>
    <t>requestBody.formData.dateOfSigningOfReport</t>
  </si>
  <si>
    <t>equityShare.decreaseAmount</t>
  </si>
  <si>
    <t>requestBody.formData.numberOfAuditors</t>
  </si>
  <si>
    <t xml:space="preserve">     (v) Date of adjourned AGM in which financial statements were adopted (DD/MM/YYYY) </t>
  </si>
  <si>
    <t>preferenceShare</t>
  </si>
  <si>
    <t>requestBody.formData.aDT1SRN</t>
  </si>
  <si>
    <t>preferenceShare.increaseAmount</t>
  </si>
  <si>
    <t>requestBody.formData.typeOfIndustry</t>
  </si>
  <si>
    <t>preferenceShare.decreaseAmount</t>
  </si>
  <si>
    <t>requestBody.formData.schedule3Applicable</t>
  </si>
  <si>
    <t xml:space="preserve">(b) *Whether Schedule III of the Companies Act, 2013 is applicable  </t>
  </si>
  <si>
    <t xml:space="preserve">     (vii) SRN of form AOC-4</t>
  </si>
  <si>
    <t>HideRow</t>
  </si>
  <si>
    <t>rowHideShowMarkers</t>
  </si>
  <si>
    <t>requestBody.formData.consolidatedFSRequired</t>
  </si>
  <si>
    <t xml:space="preserve">11 *Whether consolidated financial statements required or not </t>
  </si>
  <si>
    <t>requestBody.formData.compIsMaintainingBooks</t>
  </si>
  <si>
    <t>12 (a) *Whether company is maintaining books of account and other relevant books and papers in electronic form</t>
  </si>
  <si>
    <t>requestBody.formData.nameOfServiceProvider</t>
  </si>
  <si>
    <t xml:space="preserve">     (iii) Nature of revision</t>
  </si>
  <si>
    <t>requestBody.formData.iPaddressOfServiceProvider</t>
  </si>
  <si>
    <t>requestBody.formData.locationOfServiceProvider</t>
  </si>
  <si>
    <t>requestBody.formData.booksOfAccountOnCloud</t>
  </si>
  <si>
    <t xml:space="preserve"> (iv) Whether books of account and other books and papers are maintained on cloud</t>
  </si>
  <si>
    <t xml:space="preserve">     (vi) SRN of form INC-28</t>
  </si>
  <si>
    <t>requestBody.formData.addressProvidedByServiceProvider</t>
  </si>
  <si>
    <t>requestBody.formData.registeredOfficeAddress.addressline1</t>
  </si>
  <si>
    <t>PP.V/351Q PERSHYAN BUILDINGS   ANAPANTHY KAVALA,VALLITHODE</t>
  </si>
  <si>
    <t>requestBody.formData.registeredOfficeAddress.addressline2</t>
  </si>
  <si>
    <t xml:space="preserve">     (viii)Date of order of competent authority</t>
  </si>
  <si>
    <t>requestBody.formData.registeredOfficeAddress.country</t>
  </si>
  <si>
    <t>India</t>
  </si>
  <si>
    <t>requestBody.formData.registeredOfficeAddress.pincode</t>
  </si>
  <si>
    <t>670706</t>
  </si>
  <si>
    <t>requestBody.formData.registeredOfficeAddress.arealocality</t>
  </si>
  <si>
    <t>Signatory Details</t>
  </si>
  <si>
    <t>requestBody.formData.registeredOfficeAddress.city</t>
  </si>
  <si>
    <t>KANNUR</t>
  </si>
  <si>
    <t>(c) Details of director(s), manager, secretary, CEO, CFO, Interim Resolution Professional (IRP), Resolution Professional (RP) or  Liquidator, of the company who have signed the financial statements</t>
  </si>
  <si>
    <t>requestBody.formData.registeredOfficeAddress.district</t>
  </si>
  <si>
    <t>Kannur</t>
  </si>
  <si>
    <t>requestBody.formData.registeredOfficeAddress.state</t>
  </si>
  <si>
    <t>Kerala</t>
  </si>
  <si>
    <t>requestBody.formData.registeredOfficeAddress.longitude</t>
  </si>
  <si>
    <t xml:space="preserve">Provide Director Identification number (DIN) in case of director, Managing Director and Income –tax permanent account number (Income-tax PAN) in case of manager, secretary, CEO, CFO, IRP, RP, liquidator </t>
  </si>
  <si>
    <t>requestBody.formData.registeredOfficeAddress.latitude</t>
  </si>
  <si>
    <t>requestBody.formData.computerServerAddress.addressline1</t>
  </si>
  <si>
    <t>requestBody.formData.computerServerAddress.addressline2</t>
  </si>
  <si>
    <r>
      <rPr>
        <b/>
        <sz val="9"/>
        <color rgb="FF000000"/>
        <rFont val="Calibri"/>
        <family val="2"/>
      </rPr>
      <t>DIN or Income-tax PAN</t>
    </r>
    <r>
      <rPr>
        <sz val="9"/>
        <color rgb="FF000000"/>
        <rFont val="Calibri"/>
        <family val="2"/>
      </rPr>
      <t> </t>
    </r>
  </si>
  <si>
    <r>
      <rPr>
        <b/>
        <sz val="9"/>
        <color rgb="FF000000"/>
        <rFont val="Calibri"/>
        <family val="2"/>
      </rPr>
      <t>Name</t>
    </r>
    <r>
      <rPr>
        <sz val="9"/>
        <color rgb="FF000000"/>
        <rFont val="Calibri"/>
        <family val="2"/>
      </rPr>
      <t> </t>
    </r>
  </si>
  <si>
    <r>
      <rPr>
        <b/>
        <sz val="9"/>
        <color rgb="FF000000"/>
        <rFont val="Calibri"/>
        <family val="2"/>
      </rPr>
      <t>Designation</t>
    </r>
    <r>
      <rPr>
        <sz val="9"/>
        <color rgb="FF000000"/>
        <rFont val="Calibri"/>
        <family val="2"/>
      </rPr>
      <t> </t>
    </r>
  </si>
  <si>
    <r>
      <rPr>
        <b/>
        <sz val="9"/>
        <color rgb="FF000000"/>
        <rFont val="Calibri"/>
        <family val="2"/>
      </rPr>
      <t>Date of signing of financial statements (</t>
    </r>
    <r>
      <rPr>
        <b/>
        <sz val="10"/>
        <rFont val="Calibri"/>
        <family val="2"/>
      </rPr>
      <t>DD/MM/YYYY)</t>
    </r>
    <r>
      <rPr>
        <sz val="10"/>
        <rFont val="Calibri"/>
        <family val="2"/>
      </rPr>
      <t> </t>
    </r>
  </si>
  <si>
    <t>requestBody.formData.computerServerAddress.country</t>
  </si>
  <si>
    <t>requestBody.formData.computerServerAddress.pincode</t>
  </si>
  <si>
    <t>08929395</t>
  </si>
  <si>
    <t>DEEN PAUL</t>
  </si>
  <si>
    <t>Managing Director</t>
  </si>
  <si>
    <t>08929396</t>
  </si>
  <si>
    <t>SIGNATORIES OF CFS</t>
  </si>
  <si>
    <t>requestBody.formData.computerServerAddress.arealocality</t>
  </si>
  <si>
    <t>requestBody.formData.computerServerAddress.city</t>
  </si>
  <si>
    <t>5 (a) Date of Board of directors' meeting in which boards' report referred under section 134 was approved</t>
  </si>
  <si>
    <t>requestBody.formData.computerServerAddress.district</t>
  </si>
  <si>
    <t>requestBody.formData.computerServerAddress.state</t>
  </si>
  <si>
    <t xml:space="preserve">   (b) Details of director(s), IRP, RP, Liquidator who have signed the Boards' report</t>
  </si>
  <si>
    <t>requestBody.formData.balanceSheet.type</t>
  </si>
  <si>
    <t>AOC-4 Balance Sheet</t>
  </si>
  <si>
    <t>requestBody.formData.balanceSheet.currentReportingPeriodDate</t>
  </si>
  <si>
    <r>
      <rPr>
        <b/>
        <sz val="9"/>
        <color rgb="FF000000"/>
        <rFont val="Calibri"/>
        <family val="2"/>
      </rPr>
      <t>DIN/PAN</t>
    </r>
    <r>
      <rPr>
        <sz val="9"/>
        <color rgb="FF000000"/>
        <rFont val="Calibri"/>
        <family val="2"/>
      </rPr>
      <t> </t>
    </r>
  </si>
  <si>
    <r>
      <rPr>
        <b/>
        <sz val="9"/>
        <color rgb="FF000000"/>
        <rFont val="Calibri"/>
        <family val="2"/>
      </rPr>
      <t>Date of signing of boards reports 
 (</t>
    </r>
    <r>
      <rPr>
        <b/>
        <sz val="10"/>
        <rFont val="Calibri"/>
        <family val="2"/>
      </rPr>
      <t>DD/MM/YYYY)</t>
    </r>
    <r>
      <rPr>
        <sz val="10"/>
        <rFont val="Calibri"/>
        <family val="2"/>
      </rPr>
      <t> </t>
    </r>
  </si>
  <si>
    <t>requestBody.formData.balanceSheet.previousReportingPeriodDate</t>
  </si>
  <si>
    <t>requestBody.formData.balanceSheet.equityAndLiabilities.shareHoldersFund.shareCapitalInCurrentDate</t>
  </si>
  <si>
    <t>AAUFC0935A</t>
  </si>
  <si>
    <t>Auditor's Firm</t>
  </si>
  <si>
    <t>000158S</t>
  </si>
  <si>
    <t>C J &amp; CO LLP</t>
  </si>
  <si>
    <t>SIGNATORIES OF BOARD REPORT</t>
  </si>
  <si>
    <t>requestBody.formData.balanceSheet.equityAndLiabilities.shareHoldersFund.shareCapitalInPreviousDate</t>
  </si>
  <si>
    <t>requestBody.formData.balanceSheet.equityAndLiabilities.shareHoldersFund.reasonForChangeInShareCapital</t>
  </si>
  <si>
    <t>6 *Date of signing of reports on the financial statements by the auditors</t>
  </si>
  <si>
    <t>requestBody.formData.balanceSheet.equityAndLiabilities.shareHoldersFund.reservsAndSurplusInCurrentDate</t>
  </si>
  <si>
    <t>requestBody.formData.balanceSheet.equityAndLiabilities.shareHoldersFund.reservsAndSurplusInPreviousDate</t>
  </si>
  <si>
    <t xml:space="preserve">AGM Details </t>
  </si>
  <si>
    <t>requestBody.formData.balanceSheet.equityAndLiabilities.shareHoldersFund.reasonForChangeInReservsAndSurplus</t>
  </si>
  <si>
    <t>requestBody.formData.balanceSheet.equityAndLiabilities.shareHoldersFund.moneyRecievedAgainestShareWarrantsInCurrentDate</t>
  </si>
  <si>
    <t>0</t>
  </si>
  <si>
    <t>requestBody.formData.balanceSheet.equityAndLiabilities.shareHoldersFund.moneyRecievedAgainestShareWarrantsInPreviousDate</t>
  </si>
  <si>
    <t>requestBody.formData.balanceSheet.equityAndLiabilities.shareHoldersFund.reasonForChangeInMoneyRecievedAgainestShareWarrants</t>
  </si>
  <si>
    <t xml:space="preserve">   (b) If yes, date of AGM (DD/MM/YYYY)</t>
  </si>
  <si>
    <t>requestBody.formData.balanceSheet.equityAndLiabilities.shareApplicationMoneyInCurrentDate</t>
  </si>
  <si>
    <t>requestBody.formData.balanceSheet.equityAndLiabilities.shareApplicationMoneyInPreviousDate</t>
  </si>
  <si>
    <t xml:space="preserve">   (c) Due date of AGM (DD/MM/YYYY)</t>
  </si>
  <si>
    <t>30/09/2022</t>
  </si>
  <si>
    <t>requestBody.formData.balanceSheet.equityAndLiabilities.reasonForChangeInShareApplicationMoney</t>
  </si>
  <si>
    <t>requestBody.formData.balanceSheet.equityAndLiabilities.nonCurrentLiabilities.longTermBorrowingsInCurrentDate</t>
  </si>
  <si>
    <t xml:space="preserve">   (d) Whether any extension for AGM granted </t>
  </si>
  <si>
    <t>requestBody.formData.balanceSheet.equityAndLiabilities.nonCurrentLiabilities.longTermBorrowingsInPreviousDate</t>
  </si>
  <si>
    <t>requestBody.formData.balanceSheet.equityAndLiabilities.nonCurrentLiabilities.reasonForChangeInLongTermBorrowings</t>
  </si>
  <si>
    <t xml:space="preserve">   (e) SRN of GNL-1</t>
  </si>
  <si>
    <t>requestBody.formData.balanceSheet.equityAndLiabilities.nonCurrentLiabilities.deferredTaxLiabilitiesInCurrentDate</t>
  </si>
  <si>
    <t>requestBody.formData.balanceSheet.equityAndLiabilities.nonCurrentLiabilities.deferredTaxLiabilitiesInPreviousDate</t>
  </si>
  <si>
    <t xml:space="preserve">   (f) Due date of AGM after grant of extension   
       (DD/MM/YYYY) </t>
  </si>
  <si>
    <t>requestBody.formData.balanceSheet.equityAndLiabilities.nonCurrentLiabilities.reasonForChangeInDeferredTaxLiabilities</t>
  </si>
  <si>
    <t>requestBody.formData.balanceSheet.equityAndLiabilities.nonCurrentLiabilities.otherLongTermLiabilitiesInCurrentDate</t>
  </si>
  <si>
    <t>requestBody.formData.balanceSheet.equityAndLiabilities.nonCurrentLiabilities.otherLongTermLiabilitiesInPreviousDate</t>
  </si>
  <si>
    <t>Subsidiary Details</t>
  </si>
  <si>
    <t>requestBody.formData.balanceSheet.equityAndLiabilities.nonCurrentLiabilities.reasonForChangeInOtherLongTermLiabilities</t>
  </si>
  <si>
    <t>requestBody.formData.balanceSheet.equityAndLiabilities.nonCurrentLiabilities.longTermProvisionsInCurrentDate</t>
  </si>
  <si>
    <t xml:space="preserve">8 (a) *Whether the company is a subsidiary company as defined under clause (87) of section 2 </t>
  </si>
  <si>
    <t>requestBody.formData.balanceSheet.equityAndLiabilities.nonCurrentLiabilities.longTermProvisionsInPreviousDate</t>
  </si>
  <si>
    <t>requestBody.formData.balanceSheet.equityAndLiabilities.nonCurrentLiabilities.reasonForChangeInLongTermProvisions</t>
  </si>
  <si>
    <t>requestBody.formData.balanceSheet.equityAndLiabilities.currentLiabilities.shortTermBorrowingsInCurrentDate</t>
  </si>
  <si>
    <t xml:space="preserve">   (b) CIN / any other registration number  of the 
         holding  company, if applicable</t>
  </si>
  <si>
    <t>requestBody.formData.balanceSheet.equityAndLiabilities.currentLiabilities.shortTermBorrowingsInPreviousDate</t>
  </si>
  <si>
    <t>requestBody.formData.balanceSheet.equityAndLiabilities.currentLiabilities.reasonForChangeInShortTermBorrowings</t>
  </si>
  <si>
    <t xml:space="preserve">   (c) Name of the holding company</t>
  </si>
  <si>
    <t>requestBody.formData.balanceSheet.equityAndLiabilities.currentLiabilities.totaloutstandingduesMicroSmallEntCurrentYear</t>
  </si>
  <si>
    <t>requestBody.formData.balanceSheet.equityAndLiabilities.currentLiabilities.totaloutstandingduesMicroSmallEntPreviousYear</t>
  </si>
  <si>
    <t xml:space="preserve">   (d) Provision pursuant to which the company has 
         become a subsidiary</t>
  </si>
  <si>
    <t>requestBody.formData.balanceSheet.equityAndLiabilities.currentLiabilities.totaloutstandingduesMicroSmallEntChangeReason</t>
  </si>
  <si>
    <t>requestBody.formData.balanceSheet.equityAndLiabilities.currentLiabilities.totaloutduesOtherthanMicroSmallEntCurrentYear</t>
  </si>
  <si>
    <t>requestBody.formData.balanceSheet.equityAndLiabilities.currentLiabilities.totaloutduesOtherThanMicroSmallEntPreviousYear</t>
  </si>
  <si>
    <t xml:space="preserve">   (e) *Whether the company has a subsidiary company as defined under clause (87) of   section 2 or the company has an 
          associate company, or a joint venture as defined under clause (6) of section 2</t>
  </si>
  <si>
    <t>requestBody.formData.balanceSheet.equityAndLiabilities.currentLiabilities.totaloutduesOtherthanMicroSmallEntChangeReason</t>
  </si>
  <si>
    <t>requestBody.formData.balanceSheet.equityAndLiabilities.currentLiabilities.otherCurrentLiabilitiesInCurrentDate</t>
  </si>
  <si>
    <t>requestBody.formData.balanceSheet.equityAndLiabilities.currentLiabilities.otherCurrentLiabilitiesInPreviousDate</t>
  </si>
  <si>
    <t>requestBody.formData.balanceSheet.equityAndLiabilities.currentLiabilities.reasonForChangeInOtherCurrentLiabilities</t>
  </si>
  <si>
    <t>Auditor Details</t>
  </si>
  <si>
    <t>requestBody.formData.balanceSheet.equityAndLiabilities.currentLiabilities.shortTermProvisionsInCurrentDate</t>
  </si>
  <si>
    <t>requestBody.formData.balanceSheet.equityAndLiabilities.currentLiabilities.shortTermProvisionsInPreviousDate</t>
  </si>
  <si>
    <t xml:space="preserve">9   *SRN of Form ADT-1 </t>
  </si>
  <si>
    <t xml:space="preserve">*Number of Auditors </t>
  </si>
  <si>
    <t>requestBody.formData.balanceSheet.equityAndLiabilities.currentLiabilities.reasonForChangeInShortTermProvisions</t>
  </si>
  <si>
    <t>AC4439048</t>
  </si>
  <si>
    <t>requestBody.formData.balanceSheet.equityAndLiabilities.totalInCurrentDate</t>
  </si>
  <si>
    <t>requestBody.formData.balanceSheet.equityAndLiabilities.totalInPreviousDate</t>
  </si>
  <si>
    <t>requestBody.formData.balanceSheet.equityAndLiabilities.reasonForChangeInTotal</t>
  </si>
  <si>
    <t>(a) *Income-tax PAN of auditor or auditor’s firm</t>
  </si>
  <si>
    <t>AOC-4 Auditor Details</t>
  </si>
  <si>
    <t xml:space="preserve">(b) *Category of auditor  firm </t>
  </si>
  <si>
    <t>requestBody.formData.balanceSheet.assets.nonCurrentAssets.propertyAndEquipmentsInCurrentDate</t>
  </si>
  <si>
    <t>requestBody.formData.balanceSheet.assets.nonCurrentAssets.propertyAndEquipmentsInPreviousDate</t>
  </si>
  <si>
    <t xml:space="preserve">(c) *Membership number of auditor or auditor’s 
      firm’s registration number </t>
  </si>
  <si>
    <t>requestBody.formData.balanceSheet.assets.nonCurrentAssets.reasonForChangeInPropertyAndEquipments</t>
  </si>
  <si>
    <t>requestBody.formData.balanceSheet.assets.nonCurrentAssets.intangibleAssetsInCurrentDate</t>
  </si>
  <si>
    <t>requestBody.formData.balanceSheet.assets.nonCurrentAssets.intangibleAssetsInPreviousDate</t>
  </si>
  <si>
    <t xml:space="preserve">(d) *Name of the auditor or auditor’s firm </t>
  </si>
  <si>
    <t>requestBody.formData.balanceSheet.assets.nonCurrentAssets.reasonForChangeInIntangibleAssets</t>
  </si>
  <si>
    <t>requestBody.formData.balanceSheet.assets.nonCurrentAssets.capitalWorkInProgressInCurrentDate</t>
  </si>
  <si>
    <t>(e) Address of the auditor or auditor’s firm</t>
  </si>
  <si>
    <t>requestBody.formData.balanceSheet.assets.nonCurrentAssets.capitalWorkInProgressInPreviousDate</t>
  </si>
  <si>
    <t>requestBody.formData.balanceSheet.assets.nonCurrentAssets.reasonForChangeInCapitalWorkInProgress</t>
  </si>
  <si>
    <t xml:space="preserve">*Address Line 1 </t>
  </si>
  <si>
    <t>requestBody.formData.balanceSheet.assets.nonCurrentAssets.intangibleAssetsUnderDevelopmentInCurrentDate</t>
  </si>
  <si>
    <t>requestBody.formData.balanceSheet.assets.nonCurrentAssets.intangibleAssetsUnderDevelopmentInPreviousDate</t>
  </si>
  <si>
    <t>Address Line 2</t>
  </si>
  <si>
    <t>requestBody.formData.balanceSheet.assets.nonCurrentAssets.reasonForChangeInIntangibleAssetsUnderDevelopment</t>
  </si>
  <si>
    <t>requestBody.formData.balanceSheet.assets.nonCurrentAssets.nonCurrentInvestmentsInCurrentDate</t>
  </si>
  <si>
    <t>*Country</t>
  </si>
  <si>
    <t>requestBody.formData.balanceSheet.assets.nonCurrentAssets.nonCurrentInvestmentsInPreviousDate</t>
  </si>
  <si>
    <t>requestBody.formData.balanceSheet.assets.nonCurrentAssets.reasonForChangeInNonCurrentInvestments</t>
  </si>
  <si>
    <t>*Pin Code/Zip Code</t>
  </si>
  <si>
    <t>requestBody.formData.balanceSheet.assets.nonCurrentAssets.deferredTaxAssetsInCurrentDate</t>
  </si>
  <si>
    <t>requestBody.formData.balanceSheet.assets.nonCurrentAssets.deferredTaxAssetsInPreviousDate</t>
  </si>
  <si>
    <t>Area/Locality</t>
  </si>
  <si>
    <t>requestBody.formData.balanceSheet.assets.nonCurrentAssets.reasonForChangeInDeferredTaxAssets</t>
  </si>
  <si>
    <t>requestBody.formData.balanceSheet.assets.nonCurrentAssets.longTermLoansInCurrentDate</t>
  </si>
  <si>
    <t xml:space="preserve">*City </t>
  </si>
  <si>
    <t>requestBody.formData.balanceSheet.assets.nonCurrentAssets.longTermLoansInPreviousDate</t>
  </si>
  <si>
    <t>requestBody.formData.balanceSheet.assets.nonCurrentAssets.reasonForChangeInLongTermLoans</t>
  </si>
  <si>
    <t xml:space="preserve">District </t>
  </si>
  <si>
    <t>requestBody.formData.balanceSheet.assets.nonCurrentAssets.otherNonCurrentAssetsInCurrentDate</t>
  </si>
  <si>
    <t>requestBody.formData.balanceSheet.assets.nonCurrentAssets.otherNonCurrentAssetsInPreviousDate</t>
  </si>
  <si>
    <t>*State/UT</t>
  </si>
  <si>
    <t>requestBody.formData.balanceSheet.assets.nonCurrentAssets.reasonForChangeInOtherNonCurrentAssets</t>
  </si>
  <si>
    <t>requestBody.formData.balanceSheet.assets.currentAssets.currentInvestmentInCurrentDate</t>
  </si>
  <si>
    <t xml:space="preserve">(f) Details of the member signing for the above firm </t>
  </si>
  <si>
    <t>requestBody.formData.balanceSheet.assets.currentAssets.currentInvestmentInPreviousDate</t>
  </si>
  <si>
    <t>requestBody.formData.balanceSheet.assets.currentAssets.reasonForChangeInCurrentInvestment</t>
  </si>
  <si>
    <t xml:space="preserve">(i) Name of the member </t>
  </si>
  <si>
    <t>requestBody.formData.balanceSheet.assets.currentAssets.inventoriesInCurrentDate</t>
  </si>
  <si>
    <t>requestBody.formData.balanceSheet.assets.currentAssets.inventoriesInPreviousDate</t>
  </si>
  <si>
    <t>(ii) Membership number</t>
  </si>
  <si>
    <t>requestBody.formData.balanceSheet.assets.currentAssets.reasonForChangeInInventories</t>
  </si>
  <si>
    <t>requestBody.formData.balanceSheet.assets.currentAssets.tradeReceivablesInCurrentDate</t>
  </si>
  <si>
    <t xml:space="preserve"> General Information and Other Applicant Details</t>
  </si>
  <si>
    <t>requestBody.formData.balanceSheet.assets.currentAssets.tradeReceivablesInPreviousDate</t>
  </si>
  <si>
    <t>requestBody.formData.balanceSheet.assets.currentAssets.reasonForChangeInTradeReceivables</t>
  </si>
  <si>
    <t xml:space="preserve">10 (a) *Type of Industry </t>
  </si>
  <si>
    <t>requestBody.formData.balanceSheet.assets.currentAssets.cashAndCashEquivalentsInCurrentDate</t>
  </si>
  <si>
    <t>Note: In case the type of industry is other than Banking or Power or Insurance or  NBFC, then select Commercial and Industrial (C&amp;I)</t>
  </si>
  <si>
    <t>requestBody.formData.balanceSheet.assets.currentAssets.cashAndCashEquivalentsInPreviousDate</t>
  </si>
  <si>
    <t>requestBody.formData.balanceSheet.assets.currentAssets.reasonForChangeInCashAndCashEquivalents</t>
  </si>
  <si>
    <t>requestBody.formData.balanceSheet.assets.currentAssets.shortTermLoansAndAdvancesInCurrentDate</t>
  </si>
  <si>
    <t xml:space="preserve">     (b) *Whether Schedule III of the Companies Act, 2013 is applicable </t>
  </si>
  <si>
    <t>requestBody.formData.balanceSheet.assets.currentAssets.shortTermLoansAndAdvancesInPreviousDate</t>
  </si>
  <si>
    <t>requestBody.formData.balanceSheet.assets.currentAssets.reasonForChangeInShortTermLoansAndAdvances</t>
  </si>
  <si>
    <t>requestBody.formData.balanceSheet.assets.currentAssets.otherCurrentAssetsInCurrentDate</t>
  </si>
  <si>
    <r>
      <rPr>
        <sz val="10"/>
        <color rgb="FF000000"/>
        <rFont val="Calibri"/>
        <family val="2"/>
      </rPr>
      <t xml:space="preserve">11 *Whether consolidated financial statements required or not  </t>
    </r>
    <r>
      <rPr>
        <sz val="11"/>
        <color theme="1"/>
        <rFont val="Calibri"/>
        <family val="2"/>
        <scheme val="minor"/>
      </rPr>
      <t xml:space="preserve">     </t>
    </r>
  </si>
  <si>
    <t>requestBody.formData.balanceSheet.assets.currentAssets.otherCurrentAssetsInPreviousDate</t>
  </si>
  <si>
    <t>requestBody.formData.balanceSheet.assets.currentAssets.reasonForChangeInOtherCurrentAssets</t>
  </si>
  <si>
    <t>requestBody.formData.balanceSheet.assets.totalInCurrentDate</t>
  </si>
  <si>
    <t xml:space="preserve">12 (a) *Whether company is maintaining books of account and other relevant books and papers in electronic form </t>
  </si>
  <si>
    <t>requestBody.formData.balanceSheet.assets.totalInPreviousDate</t>
  </si>
  <si>
    <t>requestBody.formData.balanceSheet.assets.reasonForChangeInTotal</t>
  </si>
  <si>
    <t>requestBody.formData.detailedBS.detailOfLongTermBorrowings.borrowingType</t>
  </si>
  <si>
    <t>AOC-4 Long Term Borrowing</t>
  </si>
  <si>
    <r>
      <rPr>
        <sz val="10"/>
        <color theme="1"/>
        <rFont val="Calibri"/>
        <family val="2"/>
        <scheme val="minor"/>
      </rPr>
      <t xml:space="preserve">     (</t>
    </r>
    <r>
      <rPr>
        <sz val="10"/>
        <color rgb="FF000000"/>
        <rFont val="Calibri"/>
        <family val="2"/>
      </rPr>
      <t>b) Complete Postal Address of the Place of maintenance of computer servers (Storing Accounting Data)</t>
    </r>
  </si>
  <si>
    <t>requestBody.formData.detailedBS.detailOfLongTermBorrowings.bondsDebenturesInCurrentDate</t>
  </si>
  <si>
    <t>requestBody.formData.detailedBS.detailOfLongTermBorrowings.bondsDebenturesInPreviousDate</t>
  </si>
  <si>
    <t>Address Line 1</t>
  </si>
  <si>
    <t>requestBody.formData.detailedBS.detailOfLongTermBorrowings.reasonForChangeInBondsDebentures</t>
  </si>
  <si>
    <t>requestBody.formData.detailedBS.detailOfLongTermBorrowings.termLoansFromBankInCurrentDate</t>
  </si>
  <si>
    <t xml:space="preserve">Address Line 2 </t>
  </si>
  <si>
    <t>requestBody.formData.detailedBS.detailOfLongTermBorrowings.termLoansFromBankInPreviousDate</t>
  </si>
  <si>
    <t>requestBody.formData.detailedBS.detailOfLongTermBorrowings.reasonForChangeInTermLoansFromBank</t>
  </si>
  <si>
    <t>Country</t>
  </si>
  <si>
    <t>requestBody.formData.detailedBS.detailOfLongTermBorrowings.termLoansFromOtherPartiesInCurrentDate</t>
  </si>
  <si>
    <t>requestBody.formData.detailedBS.detailOfLongTermBorrowings.termLoansFromOtherPartiesInPreviousDate</t>
  </si>
  <si>
    <t xml:space="preserve">Pin Code/Zip Code </t>
  </si>
  <si>
    <t>requestBody.formData.detailedBS.detailOfLongTermBorrowings.reasonForChangeInTermLoansFromOtherParties</t>
  </si>
  <si>
    <t>requestBody.formData.detailedBS.detailOfLongTermBorrowings.deferredPaymentLiabilitiesInCurrentDate</t>
  </si>
  <si>
    <t>Area/Locality  </t>
  </si>
  <si>
    <t>requestBody.formData.detailedBS.detailOfLongTermBorrowings.deferredPaymentLiabilitiesInPreviousDate</t>
  </si>
  <si>
    <t>requestBody.formData.detailedBS.detailOfLongTermBorrowings.reasonForChangeInDeferredPaymentLiabilities</t>
  </si>
  <si>
    <t>City</t>
  </si>
  <si>
    <t>requestBody.formData.detailedBS.detailOfLongTermBorrowings.depositsInCurrentDate</t>
  </si>
  <si>
    <t>requestBody.formData.detailedBS.detailOfLongTermBorrowings.depositsInPreviousDate</t>
  </si>
  <si>
    <t>District </t>
  </si>
  <si>
    <t>requestBody.formData.detailedBS.detailOfLongTermBorrowings.reasonForChangeInDeposits</t>
  </si>
  <si>
    <t>requestBody.formData.detailedBS.detailOfLongTermBorrowings.loansFromRelatedPartiesInCurrentDate</t>
  </si>
  <si>
    <t>State/ UT</t>
  </si>
  <si>
    <t>requestBody.formData.detailedBS.detailOfLongTermBorrowings.loansFromRelatedPartiesInPreviousDate</t>
  </si>
  <si>
    <t>requestBody.formData.detailedBS.detailOfLongTermBorrowings.reasonForChangeInLoansFromRelatedParties</t>
  </si>
  <si>
    <t xml:space="preserve">     (c) Particulars of the service provider (if any)</t>
  </si>
  <si>
    <t>requestBody.formData.detailedBS.detailOfLongTermBorrowings.longTermMaturitiesOfFinanceLeaseObligationsInCurrentDate</t>
  </si>
  <si>
    <t>requestBody.formData.detailedBS.detailOfLongTermBorrowings.longTermMaturitiesOfFinanceLeaseObligationsInPreviousDate</t>
  </si>
  <si>
    <t xml:space="preserve">          (i) Name of the service provider </t>
  </si>
  <si>
    <t>requestBody.formData.detailedBS.detailOfLongTermBorrowings.reasonForChangeInLongTermMaturitiesOfFinanceLeaseObligations</t>
  </si>
  <si>
    <t>requestBody.formData.detailedBS.detailOfLongTermBorrowings.otherLoansInCurrentDate</t>
  </si>
  <si>
    <t xml:space="preserve">          (ii) Internet protocol address of service provider</t>
  </si>
  <si>
    <t>requestBody.formData.detailedBS.detailOfLongTermBorrowings.otherLoansInPreviousDate</t>
  </si>
  <si>
    <t>requestBody.formData.detailedBS.detailOfLongTermBorrowings.reasonForChangeInOtherLoans</t>
  </si>
  <si>
    <t xml:space="preserve">          (iii) Location of the service provider</t>
  </si>
  <si>
    <t>requestBody.formData.detailedBS.detailOfLongTermBorrowings.totalBorrowingsInCurrentDate</t>
  </si>
  <si>
    <t>requestBody.formData.detailedBS.detailOfLongTermBorrowings.totalBorrowingsInPreviousDate</t>
  </si>
  <si>
    <t xml:space="preserve">          (iv) Whether books of account and other books
                and papers are maintained on cloud</t>
  </si>
  <si>
    <t>requestBody.formData.detailedBS.detailOfLongTermBorrowings.reasonForChangeInTotalBorrowings</t>
  </si>
  <si>
    <t>requestBody.formData.detailedBS.detailOfLongTermBorrowings.aggregateAmountGuaranteedInCurrentDate</t>
  </si>
  <si>
    <t>requestBody.formData.detailedBS.detailOfLongTermBorrowings.aggregateAmountGuaranteedInPreviousDate</t>
  </si>
  <si>
    <t xml:space="preserve">          (v) Address as provided by the service provider</t>
  </si>
  <si>
    <t>requestBody.formData.detailedBS.detailOfLongTermBorrowings.reasonForChangeInAggregateAmountGuaranteed</t>
  </si>
  <si>
    <t>requestBody.formData.detailedBS.detailOfShortTermBorrowings.borrowingType</t>
  </si>
  <si>
    <t>AOC-4 Short Term Borrowing</t>
  </si>
  <si>
    <t>Angamally</t>
  </si>
  <si>
    <t xml:space="preserve">I Part B - Balance Sheet </t>
  </si>
  <si>
    <t>requestBody.formData.detailedBS.detailOfShortTermBorrowings.loansRepayableFromBankInCurrentDate</t>
  </si>
  <si>
    <t>requestBody.formData.detailedBS.detailOfShortTermBorrowings.loansRepayableFromBankInPreviousDate</t>
  </si>
  <si>
    <t xml:space="preserve">PART I — BALANCE SHEET </t>
  </si>
  <si>
    <t>requestBody.formData.detailedBS.detailOfShortTermBorrowings.reasonForChangeInLoansRepayableFromBank</t>
  </si>
  <si>
    <t>Particulars</t>
  </si>
  <si>
    <t xml:space="preserve">Figures as at the end of (Current reporting period) (in Rs.)                                     (DD/MM/YYYY) </t>
  </si>
  <si>
    <t xml:space="preserve">Figures as at the end of (Previous reporting period) (InRs.)                                        (DD/MM/YYYY) </t>
  </si>
  <si>
    <t xml:space="preserve">Reason for change in pre-filled figures of previous reporting period </t>
  </si>
  <si>
    <t>requestBody.formData.detailedBS.detailOfShortTermBorrowings.loansRepayableFromOtherPartiesInCurrentDate</t>
  </si>
  <si>
    <t>31/03/2021</t>
  </si>
  <si>
    <t>requestBody.formData.detailedBS.detailOfShortTermBorrowings.loansRepayableFromOtherPartiesInPreviousDate</t>
  </si>
  <si>
    <t xml:space="preserve">I </t>
  </si>
  <si>
    <t xml:space="preserve">EQUITY AND LIABILITIES     </t>
  </si>
  <si>
    <t>requestBody.formData.detailedBS.detailOfShortTermBorrowings.reasonForChangeInLoansRepayableFromOtherParties</t>
  </si>
  <si>
    <r>
      <rPr>
        <sz val="10"/>
        <color rgb="FF000000"/>
        <rFont val="Calibri"/>
        <family val="2"/>
      </rPr>
      <t>Shareholders’ Funds</t>
    </r>
    <r>
      <rPr>
        <sz val="11"/>
        <color theme="1"/>
        <rFont val="Calibri"/>
        <family val="2"/>
        <scheme val="minor"/>
      </rPr>
      <t xml:space="preserve"> </t>
    </r>
  </si>
  <si>
    <t>requestBody.formData.detailedBS.detailOfShortTermBorrowings.loansFromRelatedPartiesInCurrentDate</t>
  </si>
  <si>
    <t>requestBody.formData.detailedBS.detailOfShortTermBorrowings.loansFromRelatedPartiesInPreviousDate</t>
  </si>
  <si>
    <t xml:space="preserve">(a) Share capital </t>
  </si>
  <si>
    <t>10000</t>
  </si>
  <si>
    <t>requestBody.formData.detailedBS.detailOfShortTermBorrowings.reasonForChangeInLoansFromRelatedParties</t>
  </si>
  <si>
    <t xml:space="preserve">(b) Reserves and surplus </t>
  </si>
  <si>
    <t>-24323</t>
  </si>
  <si>
    <t>requestBody.formData.detailedBS.detailOfShortTermBorrowings.depositsInCurrentDate</t>
  </si>
  <si>
    <t xml:space="preserve">(c) Money received against share warrants </t>
  </si>
  <si>
    <t>requestBody.formData.detailedBS.detailOfShortTermBorrowings.depositsInPreviousDate</t>
  </si>
  <si>
    <t>requestBody.formData.detailedBS.detailOfShortTermBorrowings.reasonForChangeInDeposits</t>
  </si>
  <si>
    <t xml:space="preserve">Share application money pending allotment </t>
  </si>
  <si>
    <t>requestBody.formData.detailedBS.detailOfShortTermBorrowings.otherLoansInCurrentDate</t>
  </si>
  <si>
    <t>requestBody.formData.detailedBS.detailOfShortTermBorrowings.otherLoansInPreviousDate</t>
  </si>
  <si>
    <r>
      <rPr>
        <b/>
        <sz val="11"/>
        <color rgb="FF000000"/>
        <rFont val="Calibri"/>
        <family val="2"/>
      </rPr>
      <t xml:space="preserve">Non - current liabilities </t>
    </r>
  </si>
  <si>
    <t>requestBody.formData.detailedBS.detailOfShortTermBorrowings.reasonForChangeInOtherLoans</t>
  </si>
  <si>
    <t>requestBody.formData.detailedBS.detailOfShortTermBorrowings.totalBorrowingsInCurrentDate</t>
  </si>
  <si>
    <t xml:space="preserve">(a) Long term borrowings </t>
  </si>
  <si>
    <t>815620</t>
  </si>
  <si>
    <t>requestBody.formData.detailedBS.detailOfShortTermBorrowings.totalBorrowingsInPreviousDate</t>
  </si>
  <si>
    <r>
      <rPr>
        <sz val="10"/>
        <color rgb="FF000000"/>
        <rFont val="Calibri"/>
        <family val="2"/>
      </rPr>
      <t>(b) Deferred tax liabilities (net)</t>
    </r>
    <r>
      <rPr>
        <sz val="11"/>
        <color theme="1"/>
        <rFont val="Calibri"/>
        <family val="2"/>
        <scheme val="minor"/>
      </rPr>
      <t xml:space="preserve"> </t>
    </r>
  </si>
  <si>
    <t xml:space="preserve">
</t>
  </si>
  <si>
    <t>requestBody.formData.detailedBS.detailOfShortTermBorrowings.reasonForChangeInTotalBorrowings</t>
  </si>
  <si>
    <t xml:space="preserve">(c) Other long-term liabilities </t>
  </si>
  <si>
    <t>requestBody.formData.detailedBS.detailOfShortTermBorrowings.aggregateAmountGuaranteedInCurrentDate</t>
  </si>
  <si>
    <t xml:space="preserve">(d) Long term provisions </t>
  </si>
  <si>
    <t>requestBody.formData.detailedBS.detailOfShortTermBorrowings.aggregateAmountGuaranteedInPreviousDate</t>
  </si>
  <si>
    <t xml:space="preserve">Current liabilities </t>
  </si>
  <si>
    <t>requestBody.formData.detailedBS.detailOfShortTermBorrowings.reasonForChangeInAggregateAmountGuaranteed</t>
  </si>
  <si>
    <t>requestBody.formData.detailedBS.detailsOfLongTermLoansGood.type</t>
  </si>
  <si>
    <t>AOC-4 LongTerm Loans Advances</t>
  </si>
  <si>
    <t xml:space="preserve">(a) Short term borrowings </t>
  </si>
  <si>
    <t>requestBody.formData.detailedBS.detailsOfLongTermLoansGood.subType</t>
  </si>
  <si>
    <t>Unsecured,considered good</t>
  </si>
  <si>
    <t xml:space="preserve">(b) Trade payables </t>
  </si>
  <si>
    <t>requestBody.formData.detailedBS.detailsOfLongTermLoansGood.capitalAdvancesInCurrentDate</t>
  </si>
  <si>
    <t xml:space="preserve">     (i) Total outstanding dues of micro enterprises 
          and small enterprises</t>
  </si>
  <si>
    <t/>
  </si>
  <si>
    <t>requestBody.formData.detailedBS.detailsOfLongTermLoansGood.capitalAdvancesInPreviousDate</t>
  </si>
  <si>
    <t xml:space="preserve">     (ii) Total outstanding dues of creditors other than
          micro enterprises and small enterprises</t>
  </si>
  <si>
    <t>requestBody.formData.detailedBS.detailsOfLongTermLoansGood.reasonForChangeInCapitalAdvances</t>
  </si>
  <si>
    <t xml:space="preserve">(c) Other current liabilities </t>
  </si>
  <si>
    <t>7500</t>
  </si>
  <si>
    <t>requestBody.formData.detailedBS.detailsOfLongTermLoansGood.loansToRelatedPartiesInCurrentDate</t>
  </si>
  <si>
    <t xml:space="preserve">(d) Short term provisions </t>
  </si>
  <si>
    <t>requestBody.formData.detailedBS.detailsOfLongTermLoansGood.loansToRelatedPartiesInPreviousDate</t>
  </si>
  <si>
    <t xml:space="preserve">Total </t>
  </si>
  <si>
    <t>requestBody.formData.detailedBS.detailsOfLongTermLoansGood.reasonForChangeInLoansToRelatedParties</t>
  </si>
  <si>
    <t xml:space="preserve">II </t>
  </si>
  <si>
    <t xml:space="preserve">ASSETS </t>
  </si>
  <si>
    <t>requestBody.formData.detailedBS.detailsOfLongTermLoansGood.otherLoansInCurrentDate</t>
  </si>
  <si>
    <t xml:space="preserve">Non-current assets </t>
  </si>
  <si>
    <t>requestBody.formData.detailedBS.detailsOfLongTermLoansGood.otherLoansInPreviousDate</t>
  </si>
  <si>
    <r>
      <rPr>
        <sz val="10"/>
        <color theme="1"/>
        <rFont val="Calibri"/>
        <family val="2"/>
        <scheme val="minor"/>
      </rPr>
      <t>(a</t>
    </r>
    <r>
      <rPr>
        <sz val="10"/>
        <color rgb="FF000000"/>
        <rFont val="Calibri"/>
        <family val="2"/>
      </rPr>
      <t xml:space="preserve">) Property Plant and Equipment and Intangible Assets </t>
    </r>
  </si>
  <si>
    <t>requestBody.formData.detailedBS.detailsOfLongTermLoansGood.reasonForChangeInOtherLoans</t>
  </si>
  <si>
    <t>requestBody.formData.detailedBS.detailsOfLongTermLoansGood.totalInCurrentDate</t>
  </si>
  <si>
    <t xml:space="preserve">    (i) Property Plant and Equipment</t>
  </si>
  <si>
    <t>requestBody.formData.detailedBS.detailsOfLongTermLoansGood.totalInPreviousDate</t>
  </si>
  <si>
    <t>requestBody.formData.detailedBS.detailsOfLongTermLoansGood.reasonForChangeInTotal</t>
  </si>
  <si>
    <t xml:space="preserve">    (ii) Intangible assets</t>
  </si>
  <si>
    <t>requestBody.formData.detailedBS.detailsOfLongTermLoansGood.fromRelatedPartiesInCurrentDate</t>
  </si>
  <si>
    <t xml:space="preserve">    (iii) Capital work -in- progress</t>
  </si>
  <si>
    <t>135226</t>
  </si>
  <si>
    <t>requestBody.formData.detailedBS.detailsOfLongTermLoansGood.fromRelatedPartiesInPreviousDate</t>
  </si>
  <si>
    <t xml:space="preserve">    (iv) Intangible assets under development </t>
  </si>
  <si>
    <t>requestBody.formData.detailedBS.detailsOfLongTermLoansGood.reasonForChangeInFromRelatedParties</t>
  </si>
  <si>
    <r>
      <rPr>
        <sz val="10"/>
        <color rgb="FF000000"/>
        <rFont val="Calibri"/>
        <family val="2"/>
      </rPr>
      <t>(b) Non-current Investments</t>
    </r>
    <r>
      <rPr>
        <sz val="11"/>
        <color theme="1"/>
        <rFont val="Calibri"/>
        <family val="2"/>
        <scheme val="minor"/>
      </rPr>
      <t xml:space="preserve"> </t>
    </r>
  </si>
  <si>
    <t>requestBody.formData.detailedBS.detailsOfLongTermLoansGood.fromOthersInCurrentDate</t>
  </si>
  <si>
    <t xml:space="preserve">(c) Deferred tax assets (net) </t>
  </si>
  <si>
    <t>3926</t>
  </si>
  <si>
    <t>requestBody.formData.detailedBS.detailsOfLongTermLoansGood.fromOthersInPreviousDate</t>
  </si>
  <si>
    <t xml:space="preserve">(d) Long term loans and advances </t>
  </si>
  <si>
    <t>requestBody.formData.detailedBS.detailsOfLongTermLoansGood.reasonForChangeInFromOthers</t>
  </si>
  <si>
    <t xml:space="preserve">(e) Other non-current assets </t>
  </si>
  <si>
    <t>requestBody.formData.detailedBS.detailsOfLongTermLoansGood.netLongTermLoansInCurrentDate</t>
  </si>
  <si>
    <t xml:space="preserve">Current assets </t>
  </si>
  <si>
    <t>requestBody.formData.detailedBS.detailsOfLongTermLoansGood.netLongTermLoansInPreviousDate</t>
  </si>
  <si>
    <r>
      <rPr>
        <sz val="10"/>
        <color rgb="FF000000"/>
        <rFont val="Calibri"/>
        <family val="2"/>
      </rPr>
      <t>(a) Current Investments</t>
    </r>
    <r>
      <rPr>
        <sz val="11"/>
        <color theme="1"/>
        <rFont val="Calibri"/>
        <family val="2"/>
        <scheme val="minor"/>
      </rPr>
      <t xml:space="preserve"> </t>
    </r>
  </si>
  <si>
    <t>requestBody.formData.detailedBS.detailsOfLongTermLoansGood.reasonForChangeInNetLongTermLoans</t>
  </si>
  <si>
    <t xml:space="preserve">(b) Inventories </t>
  </si>
  <si>
    <t>requestBody.formData.detailedBS.detailsOfLongTermLoansGood.loansDueByDirectorsInCurrentDate</t>
  </si>
  <si>
    <t xml:space="preserve">(c) Trade receivables </t>
  </si>
  <si>
    <t>requestBody.formData.detailedBS.detailsOfLongTermLoansGood.loansDueByDirectorsInPreviousDate</t>
  </si>
  <si>
    <t xml:space="preserve">(d) Cash and cash equivalents </t>
  </si>
  <si>
    <t>69645</t>
  </si>
  <si>
    <t>requestBody.formData.detailedBS.detailsOfLongTermLoansGood.reasonForChangeInLoansDueByDirectors</t>
  </si>
  <si>
    <t xml:space="preserve">(e) Short term loans and advances </t>
  </si>
  <si>
    <t>requestBody.formData.detailedBS.detailsOfLongTermLoansDoubtful.type</t>
  </si>
  <si>
    <t xml:space="preserve">(f) Other current assets </t>
  </si>
  <si>
    <t>600000</t>
  </si>
  <si>
    <t>requestBody.formData.detailedBS.detailsOfLongTermLoansDoubtful.subType</t>
  </si>
  <si>
    <t>doubtful</t>
  </si>
  <si>
    <t>requestBody.formData.detailedBS.detailsOfLongTermLoansDoubtful.capitalAdvancesInCurrentDate</t>
  </si>
  <si>
    <t>requestBody.formData.detailedBS.detailsOfLongTermLoansDoubtful.capitalAdvancesInPreviousDate</t>
  </si>
  <si>
    <t>II Break-up of figures in Balance sheet (Amount in Rupees)</t>
  </si>
  <si>
    <t>requestBody.formData.detailedBS.detailsOfLongTermLoansDoubtful.reasonForChangeInCapitalAdvances</t>
  </si>
  <si>
    <t>requestBody.formData.detailedBS.detailsOfLongTermLoansDoubtful.loansToRelatedPartiesInCurrentDate</t>
  </si>
  <si>
    <t xml:space="preserve">A Details of long term borrowings (unsecured) </t>
  </si>
  <si>
    <t>requestBody.formData.detailedBS.detailsOfLongTermLoansDoubtful.loansToRelatedPartiesInPreviousDate</t>
  </si>
  <si>
    <t xml:space="preserve">Particulars </t>
  </si>
  <si>
    <t xml:space="preserve">Current reporting period </t>
  </si>
  <si>
    <t xml:space="preserve">Previous reporting period </t>
  </si>
  <si>
    <t>requestBody.formData.detailedBS.detailsOfLongTermLoansDoubtful.reasonForChangeInLoansToRelatedParties</t>
  </si>
  <si>
    <t>requestBody.formData.detailedBS.detailsOfLongTermLoansDoubtful.otherLoansInCurrentDate</t>
  </si>
  <si>
    <t>Bonds/ debentures</t>
  </si>
  <si>
    <t>requestBody.formData.detailedBS.detailsOfLongTermLoansDoubtful.otherLoansInPreviousDate</t>
  </si>
  <si>
    <t>Term Loans</t>
  </si>
  <si>
    <t>requestBody.formData.detailedBS.detailsOfLongTermLoansDoubtful.reasonForChangeInOtherLoans</t>
  </si>
  <si>
    <t xml:space="preserve">          a From banks</t>
  </si>
  <si>
    <t>requestBody.formData.detailedBS.detailsOfLongTermLoansDoubtful.totalInCurrentDate</t>
  </si>
  <si>
    <t xml:space="preserve">          b From other parties</t>
  </si>
  <si>
    <t>requestBody.formData.detailedBS.detailsOfLongTermLoansDoubtful.totalInPreviousDate</t>
  </si>
  <si>
    <t xml:space="preserve">Deferred payment liabilities  </t>
  </si>
  <si>
    <t>requestBody.formData.detailedBS.detailsOfLongTermLoansDoubtful.reasonForChangeInTotal</t>
  </si>
  <si>
    <t>Deposits</t>
  </si>
  <si>
    <t>requestBody.formData.detailedBS.detailsOfLongTermLoansDoubtful.fromRelatedPartiesInCurrentDate</t>
  </si>
  <si>
    <t xml:space="preserve">Loans and advances from related parties  </t>
  </si>
  <si>
    <t>requestBody.formData.detailedBS.detailsOfLongTermLoansDoubtful.fromRelatedPartiesInPreviousDate</t>
  </si>
  <si>
    <t>requestBody.formData.detailedBS.detailsOfLongTermLoansDoubtful.reasonForChangeInFromRelatedParties</t>
  </si>
  <si>
    <t xml:space="preserve">Long term maturities of financial lease obligations  </t>
  </si>
  <si>
    <t>requestBody.formData.detailedBS.detailsOfLongTermLoansDoubtful.fromOthersInCurrentDate</t>
  </si>
  <si>
    <t>requestBody.formData.detailedBS.detailsOfLongTermLoansDoubtful.fromOthersInPreviousDate</t>
  </si>
  <si>
    <r>
      <rPr>
        <sz val="10"/>
        <color rgb="FF000000"/>
        <rFont val="Calibri"/>
        <family val="2"/>
      </rPr>
      <t xml:space="preserve">Other loans &amp; advances </t>
    </r>
    <r>
      <rPr>
        <sz val="11"/>
        <color theme="1"/>
        <rFont val="Calibri"/>
        <family val="2"/>
        <scheme val="minor"/>
      </rPr>
      <t xml:space="preserve"> </t>
    </r>
  </si>
  <si>
    <t>requestBody.formData.detailedBS.detailsOfLongTermLoansDoubtful.reasonForChangeInFromOthers</t>
  </si>
  <si>
    <t xml:space="preserve">Total long-term borrowings (unsecured) </t>
  </si>
  <si>
    <t>requestBody.formData.detailedBS.detailsOfLongTermLoansDoubtful.netLongTermLoansInCurrentDate</t>
  </si>
  <si>
    <t>requestBody.formData.detailedBS.detailsOfLongTermLoansDoubtful.netLongTermLoansInPreviousDate</t>
  </si>
  <si>
    <t xml:space="preserve">Out of above total aggregate amount guaranteed by directors </t>
  </si>
  <si>
    <t>requestBody.formData.detailedBS.detailsOfLongTermLoansDoubtful.reasonForChangeInNetLongTermLoans</t>
  </si>
  <si>
    <t>requestBody.formData.detailedBS.detailsOfLongTermLoansDoubtful.loansDueByDirectorsInCurrentDate</t>
  </si>
  <si>
    <t>requestBody.formData.detailedBS.detailsOfLongTermLoansDoubtful.loansDueByDirectorsInPreviousDate</t>
  </si>
  <si>
    <r>
      <rPr>
        <b/>
        <sz val="10"/>
        <color rgb="FF000000"/>
        <rFont val="Calibri"/>
        <family val="2"/>
      </rPr>
      <t>B Details of short-term borrowings (unsecured)</t>
    </r>
    <r>
      <rPr>
        <sz val="11"/>
        <color theme="1"/>
        <rFont val="Calibri"/>
        <family val="2"/>
        <scheme val="minor"/>
      </rPr>
      <t xml:space="preserve"> </t>
    </r>
  </si>
  <si>
    <t>requestBody.formData.detailedBS.detailsOfLongTermLoansDoubtful.reasonForChangeInLoansDueByDirectors</t>
  </si>
  <si>
    <t>requestBody.formData.detailedBS.detailsOfTradeReceivables.type</t>
  </si>
  <si>
    <t>AOC-4 TradeReceivablesDetails</t>
  </si>
  <si>
    <t>requestBody.formData.detailedBS.detailsOfTradeReceivables.securedCurrentExceedingSixMonth</t>
  </si>
  <si>
    <t xml:space="preserve">Loans repayable on demand  </t>
  </si>
  <si>
    <t>requestBody.formData.detailedBS.detailsOfTradeReceivables.securedPreviousExceedingSixMonth</t>
  </si>
  <si>
    <t xml:space="preserve">           a From banks</t>
  </si>
  <si>
    <t>requestBody.formData.detailedBS.detailsOfTradeReceivables.reasonForChangeInSecured</t>
  </si>
  <si>
    <t xml:space="preserve">           b From other parties</t>
  </si>
  <si>
    <t>requestBody.formData.detailedBS.detailsOfTradeReceivables.unsecuredCurrentExceedingSixMonth</t>
  </si>
  <si>
    <t>requestBody.formData.detailedBS.detailsOfTradeReceivables.unsecuredPreviousExceedingSixMonth</t>
  </si>
  <si>
    <t>requestBody.formData.detailedBS.detailsOfTradeReceivables.reasonForChangeInUnsecured</t>
  </si>
  <si>
    <t xml:space="preserve">Deposits  </t>
  </si>
  <si>
    <t>requestBody.formData.detailedBS.detailsOfTradeReceivables.doubtfulCurrentExceedingSixMonth</t>
  </si>
  <si>
    <t>Other loans and advances</t>
  </si>
  <si>
    <t>requestBody.formData.detailedBS.detailsOfTradeReceivables.doubtfulPreviousExceedingSixMonth</t>
  </si>
  <si>
    <t xml:space="preserve">Total short-term borrowings (unsecured) </t>
  </si>
  <si>
    <t>requestBody.formData.detailedBS.detailsOfTradeReceivables.reasonForChangeInDoubtful</t>
  </si>
  <si>
    <t>requestBody.formData.detailedBS.detailsOfTradeReceivables.totalTradeReceivablesCurrentExceedingSixMonth</t>
  </si>
  <si>
    <t xml:space="preserve">Out of above total, aggregate amount guaranteed by directors </t>
  </si>
  <si>
    <t>requestBody.formData.detailedBS.detailsOfTradeReceivables.totalTradeReceivablesPreviousExceedingSixMonth</t>
  </si>
  <si>
    <t>requestBody.formData.detailedBS.detailsOfTradeReceivables.reasonForChangeInTotalTradeReceivables</t>
  </si>
  <si>
    <t>requestBody.formData.detailedBS.detailsOfTradeReceivables.provisionForDoubtfulDebtsCurrentExceedingSixMonth</t>
  </si>
  <si>
    <t>requestBody.formData.detailedBS.detailsOfTradeReceivables.provisionForDoubtfulDebtsPreviousExceedingSixMonth</t>
  </si>
  <si>
    <t xml:space="preserve">C Details of long-term loans and advances (unsecured, considered good) </t>
  </si>
  <si>
    <t>requestBody.formData.detailedBS.detailsOfTradeReceivables.reasonForChangeInProvisionForDoubtfulDebts</t>
  </si>
  <si>
    <t>requestBody.formData.detailedBS.detailsOfTradeReceivables.netTradeReceivablesCurrentExceedingSixMonth</t>
  </si>
  <si>
    <t>requestBody.formData.detailedBS.detailsOfTradeReceivables.netTradeReceivablesPreviousExceedingSixMonth</t>
  </si>
  <si>
    <t xml:space="preserve">Capital advances </t>
  </si>
  <si>
    <t>requestBody.formData.detailedBS.detailsOfTradeReceivables.reasonForChangeInNetTradeReceivables</t>
  </si>
  <si>
    <t xml:space="preserve">Loans and advances to other related parties </t>
  </si>
  <si>
    <t>requestBody.formData.detailedBS.detailsOfTradeReceivables.debtByDirectorsCurrentExceedingSixMonth</t>
  </si>
  <si>
    <t>requestBody.formData.detailedBS.detailsOfTradeReceivables.debtByDirectorsPreviousExceedingSixMonth</t>
  </si>
  <si>
    <r>
      <rPr>
        <sz val="10"/>
        <color rgb="FF000000"/>
        <rFont val="Calibri"/>
        <family val="2"/>
      </rPr>
      <t>Other loans and advances</t>
    </r>
    <r>
      <rPr>
        <sz val="11"/>
        <color theme="1"/>
        <rFont val="Calibri"/>
        <family val="2"/>
        <scheme val="minor"/>
      </rPr>
      <t xml:space="preserve"> </t>
    </r>
  </si>
  <si>
    <t>requestBody.formData.detailedBS.detailsOfTradeReceivables.reasonForChangeInDebtByDirectors</t>
  </si>
  <si>
    <t xml:space="preserve">Total long term loan and 
advances </t>
  </si>
  <si>
    <t>requestBody.formData.financialParameters.type</t>
  </si>
  <si>
    <t>AOC4 Financial Parameters BS</t>
  </si>
  <si>
    <t>requestBody.formData.financialParameters.amountOfIssueAlloted</t>
  </si>
  <si>
    <t xml:space="preserve">Less: Provision/ allowance for bad and doubtful loans and advances </t>
  </si>
  <si>
    <t>requestBody.formData.financialParameters.shareApplicationMoneyGiven</t>
  </si>
  <si>
    <r>
      <rPr>
        <sz val="11"/>
        <color theme="1"/>
        <rFont val="Calibri"/>
        <family val="2"/>
        <scheme val="minor"/>
      </rPr>
      <t xml:space="preserve">           a </t>
    </r>
    <r>
      <rPr>
        <sz val="10"/>
        <color rgb="FF000000"/>
        <rFont val="Calibri"/>
        <family val="2"/>
      </rPr>
      <t>From related parties</t>
    </r>
  </si>
  <si>
    <t>requestBody.formData.financialParameters.shareApplicationMoneyGivenDuringReportingPeriod</t>
  </si>
  <si>
    <t xml:space="preserve">           b From others</t>
  </si>
  <si>
    <t>requestBody.formData.financialParameters.shareApplicationMoneyReceivedDuringReportingPeriod</t>
  </si>
  <si>
    <t xml:space="preserve">Net long term loan and advances (unsecured, considered good) </t>
  </si>
  <si>
    <t>requestBody.formData.financialParameters.shareApplicationMoneyReceived</t>
  </si>
  <si>
    <t>requestBody.formData.financialParameters.paidUpCapitalHeldByFC</t>
  </si>
  <si>
    <t xml:space="preserve">Loans and advances due by directors/ other officers of the company  </t>
  </si>
  <si>
    <t>requestBody.formData.financialParameters.paidUpCapitalHeldByFHC</t>
  </si>
  <si>
    <t>requestBody.formData.financialParameters.paidupCapitalFgnCmpnyPercent</t>
  </si>
  <si>
    <t>requestBody.formData.financialParameters.paidupCapitalFgnHoldPercent</t>
  </si>
  <si>
    <t xml:space="preserve">D Details of long-term loans and advances (doubtful) </t>
  </si>
  <si>
    <t>requestBody.formData.financialParameters.numberOfSharesBoughtBackDuringReportingPeriod</t>
  </si>
  <si>
    <t>requestBody.formData.financialParameters.depositAcceptedDuringReportingPeriod</t>
  </si>
  <si>
    <t>requestBody.formData.financialParameters.depositsMaturedNotPaidPeriod</t>
  </si>
  <si>
    <t>requestBody.formData.financialParameters.depositsMaturedButNotPaid</t>
  </si>
  <si>
    <t>requestBody.formData.financialParameters.depositsMaturedButNotClaimed</t>
  </si>
  <si>
    <t>requestBody.formData.financialParameters.unclaimedMaturedDebentures</t>
  </si>
  <si>
    <t>requestBody.formData.financialParameters.debenturesClaimedButNotPaid</t>
  </si>
  <si>
    <t>requestBody.formData.financialParameters.interestAccruedAndDueNotPaid</t>
  </si>
  <si>
    <t>requestBody.formData.financialParameters.unpaidDividend</t>
  </si>
  <si>
    <t>requestBody.formData.financialParameters.investmentInSubsidiaryCompanies</t>
  </si>
  <si>
    <t>requestBody.formData.financialParameters.investmentInGovernmentCompanies</t>
  </si>
  <si>
    <t>requestBody.formData.financialParameters.capitalReserves</t>
  </si>
  <si>
    <t>requestBody.formData.financialParameters.amountDueForTransferToIEPF</t>
  </si>
  <si>
    <t>requestBody.formData.financialParameters.intercorporateDeposits</t>
  </si>
  <si>
    <t>requestBody.formData.financialParameters.grossValueOfTransactionAsPerAS18</t>
  </si>
  <si>
    <t>requestBody.formData.financialParameters.capitalSubsidies</t>
  </si>
  <si>
    <t>requestBody.formData.financialParameters.callsUnpaidByDirectors</t>
  </si>
  <si>
    <t xml:space="preserve">E Details of trade receivables </t>
  </si>
  <si>
    <t>requestBody.formData.financialParameters.callsUnpaidByOthers</t>
  </si>
  <si>
    <t>requestBody.formData.financialParameters.forfittedShares</t>
  </si>
  <si>
    <t>requestBody.formData.financialParameters.forfittedSharesReissued</t>
  </si>
  <si>
    <t>Secured, considered good</t>
  </si>
  <si>
    <t>requestBody.formData.financialParameters.borrowingFromForeignInstitutionalAgencies</t>
  </si>
  <si>
    <r>
      <rPr>
        <sz val="10"/>
        <color rgb="FF000000"/>
        <rFont val="Calibri"/>
        <family val="2"/>
      </rPr>
      <t>Unsecured, considered good</t>
    </r>
    <r>
      <rPr>
        <sz val="11"/>
        <color theme="1"/>
        <rFont val="Calibri"/>
        <family val="2"/>
        <scheme val="minor"/>
      </rPr>
      <t xml:space="preserve"> </t>
    </r>
  </si>
  <si>
    <t>requestBody.formData.financialParameters.borrowingFromFC</t>
  </si>
  <si>
    <t>Doubtful</t>
  </si>
  <si>
    <t>requestBody.formData.financialParameters.securedIntercorporateBorrowings</t>
  </si>
  <si>
    <t xml:space="preserve">Total trade receivables </t>
  </si>
  <si>
    <t>requestBody.formData.financialParameters.unSecuredIntercorporateBorrowings</t>
  </si>
  <si>
    <r>
      <rPr>
        <sz val="10"/>
        <color theme="1"/>
        <rFont val="Calibri"/>
        <family val="2"/>
        <scheme val="minor"/>
      </rPr>
      <t>Less: provision/ allowance for bad and doubtful debts</t>
    </r>
    <r>
      <rPr>
        <sz val="11"/>
        <color theme="1"/>
        <rFont val="Calibri"/>
        <family val="2"/>
        <scheme val="minor"/>
      </rPr>
      <t xml:space="preserve"> </t>
    </r>
  </si>
  <si>
    <t>requestBody.formData.financialParameters.commercialPaper</t>
  </si>
  <si>
    <t xml:space="preserve">Net trade receivables  </t>
  </si>
  <si>
    <t>requestBody.formData.financialParameters.conversionOfWarrantsInToEquityShares</t>
  </si>
  <si>
    <t xml:space="preserve">Debt due by (directors/ others officers of the company) </t>
  </si>
  <si>
    <t>requestBody.formData.financialParameters.conversionOfWarrantsInToPrefrenceShares</t>
  </si>
  <si>
    <t>requestBody.formData.financialParameters.conversionOfWarrantsInToDebentures</t>
  </si>
  <si>
    <t xml:space="preserve">III Financial parameters - Balance sheet items (Amount in Rupees) as on financial year end date </t>
  </si>
  <si>
    <t>requestBody.formData.financialParameters.warrantsIssuedInForeignCurrency</t>
  </si>
  <si>
    <t xml:space="preserve">Amount of issue allotted for contracts without payment received in cash during reporting periods </t>
  </si>
  <si>
    <t>requestBody.formData.financialParameters.warrantsIssuedInRupees</t>
  </si>
  <si>
    <t>Share application money given</t>
  </si>
  <si>
    <t>requestBody.formData.financialParameters.defaultInPaymentOfShortTermBorrowings</t>
  </si>
  <si>
    <t xml:space="preserve">Share application money given during the reporting period </t>
  </si>
  <si>
    <t>requestBody.formData.financialParameters.defaultInPaymentOfLongTermBorrowings</t>
  </si>
  <si>
    <t xml:space="preserve">Share application money received during the reporting period </t>
  </si>
  <si>
    <t>requestBody.formData.financialParameters.operatingLeaseHasBeenConverted</t>
  </si>
  <si>
    <t>Whether any operating lease has been converted to financial lease or vice-versa</t>
  </si>
  <si>
    <t xml:space="preserve">Share application money received and due for refund </t>
  </si>
  <si>
    <t>requestBody.formData.financialParameters.detailsOfConversion</t>
  </si>
  <si>
    <t xml:space="preserve">Paid-up capital held by foreign company </t>
  </si>
  <si>
    <t>requestBody.formData.financialParameters.netWorthOfCompany</t>
  </si>
  <si>
    <t xml:space="preserve">Paid-up capital held by foreign holding and/ or through its subsidiaries </t>
  </si>
  <si>
    <t>requestBody.formData.financialParameters.numberOfShareholderstoWhomeSharesAllotted</t>
  </si>
  <si>
    <t xml:space="preserve">Number of shares bought back during the reporting period </t>
  </si>
  <si>
    <t>requestBody.formData.financialParameters.securedLoan</t>
  </si>
  <si>
    <t xml:space="preserve">Deposits accepted or renewed during the reporting period </t>
  </si>
  <si>
    <t>requestBody.formData.financialParameters.grossPropertyPlantsAssets</t>
  </si>
  <si>
    <t xml:space="preserve">Deposits matured and claimed but not paid during the reporting period </t>
  </si>
  <si>
    <t>requestBody.formData.financialParameters.depreciationAndAmortization</t>
  </si>
  <si>
    <t xml:space="preserve">Deposits matured and claimed but not paid </t>
  </si>
  <si>
    <t>requestBody.formData.financialParameters.expenditureToTheExtentNotAdjuested</t>
  </si>
  <si>
    <t xml:space="preserve">Deposits matured, but not claimed </t>
  </si>
  <si>
    <t>requestBody.formData.financialParameters.unhedgedForeignExchangeExposure</t>
  </si>
  <si>
    <t xml:space="preserve">Unclaimed matured debentures </t>
  </si>
  <si>
    <t>requestBody.formData.raisedShareCapital.equityShare.type</t>
  </si>
  <si>
    <t>AOC-4 Share Capital Raised</t>
  </si>
  <si>
    <t xml:space="preserve">Debentures claimed but not paid </t>
  </si>
  <si>
    <t>requestBody.formData.raisedShareCapital.equityShare.descriptionOfClass</t>
  </si>
  <si>
    <t xml:space="preserve">Interest on deposits accrued and due but not paid </t>
  </si>
  <si>
    <t>requestBody.formData.raisedShareCapital.equityShare.atTheBeginningOfTheYearNumberOfShares</t>
  </si>
  <si>
    <t xml:space="preserve">Unpaid dividend </t>
  </si>
  <si>
    <t>requestBody.formData.raisedShareCapital.equityShare.atTheBeginningOfTheYearTotalNominalAmount</t>
  </si>
  <si>
    <t>Investment in subsidiary companies </t>
  </si>
  <si>
    <t>requestBody.formData.raisedShareCapital.equityShare.atTheBeginningOfTheYearTotalPaidupAmount</t>
  </si>
  <si>
    <t xml:space="preserve">Investment in government companies </t>
  </si>
  <si>
    <t>requestBody.formData.raisedShareCapital.equityShare.atTheBeginningOfTheYearTotalPremium</t>
  </si>
  <si>
    <t>Capital resrve</t>
  </si>
  <si>
    <t>requestBody.formData.raisedShareCapital.equityShare.increaseDuringTheYearNumberOfShares</t>
  </si>
  <si>
    <t xml:space="preserve">Amount due for transfer to Investor Education and Protection Fund (IEPF) </t>
  </si>
  <si>
    <t>requestBody.formData.raisedShareCapital.equityShare.increaseDuringTheYearTotalNominalAmount</t>
  </si>
  <si>
    <t xml:space="preserve">Inter-corporate deposits </t>
  </si>
  <si>
    <t>requestBody.formData.raisedShareCapital.equityShare.increaseDuringTheYearTotalPaidupAmount</t>
  </si>
  <si>
    <t xml:space="preserve">Gross value of transaction as per AS- 18 (if applicable) </t>
  </si>
  <si>
    <t>requestBody.formData.raisedShareCapital.equityShare.increaseDuringTheYearTotalPremium</t>
  </si>
  <si>
    <t xml:space="preserve">Capital subsidies or grants received from government authority(ies) </t>
  </si>
  <si>
    <t>requestBody.formData.raisedShareCapital.equityShare.decreaseDuringTheYearNumberOfShares</t>
  </si>
  <si>
    <t xml:space="preserve">Calls unpaid by directors </t>
  </si>
  <si>
    <t>requestBody.formData.raisedShareCapital.equityShare.decreaseDuringTheYearTotalNominalAmount</t>
  </si>
  <si>
    <t xml:space="preserve">Calls unpaid by others </t>
  </si>
  <si>
    <t>requestBody.formData.raisedShareCapital.equityShare.decreaseDuringTheYearTotalPaidupAmount</t>
  </si>
  <si>
    <t xml:space="preserve">Forfeited shares (amount originally paid-up) </t>
  </si>
  <si>
    <t>requestBody.formData.raisedShareCapital.equityShare.decreaseDuringTheYearTotalPremium</t>
  </si>
  <si>
    <t>Forfeited shares reissue</t>
  </si>
  <si>
    <t>requestBody.formData.raisedShareCapital.equityShare.atTheEndOfTheYearNumberOfShares</t>
  </si>
  <si>
    <t xml:space="preserve">Borrowing from foreign institutional agencies </t>
  </si>
  <si>
    <t>requestBody.formData.raisedShareCapital.equityShare.atTheEndOfTheYearTotalNominalAmount</t>
  </si>
  <si>
    <t xml:space="preserve">Borrowing from foreign companies </t>
  </si>
  <si>
    <t>requestBody.formData.raisedShareCapital.equityShare.atTheEndOfTheYearTotalPaidupAmount</t>
  </si>
  <si>
    <t>Inter-corporate borrowings -secured</t>
  </si>
  <si>
    <t>requestBody.formData.raisedShareCapital.equityShare.atTheEndOfTheYearTotalPremium</t>
  </si>
  <si>
    <t xml:space="preserve">Inter-corporate borrowings –unsecured   </t>
  </si>
  <si>
    <t>requestBody.formData.raisedShareCapital.equityShare.increaseAmount.publicIssueNumberOfShares</t>
  </si>
  <si>
    <t xml:space="preserve">Commercial Paper   </t>
  </si>
  <si>
    <t>requestBody.formData.raisedShareCapital.equityShare.increaseAmount.publicIssueTotalNominalAmount</t>
  </si>
  <si>
    <t xml:space="preserve">Conversion of warrants into equity shares during the reporting period </t>
  </si>
  <si>
    <t>requestBody.formData.raisedShareCapital.equityShare.increaseAmount.publicIssueTotalPaidupAmount</t>
  </si>
  <si>
    <t xml:space="preserve">Conversion of warrants into preference shares during the reporting period </t>
  </si>
  <si>
    <t>requestBody.formData.raisedShareCapital.equityShare.increaseAmount.publicIssueTotalPremium</t>
  </si>
  <si>
    <t xml:space="preserve">Conversion of warrants into debentures during the reporting period </t>
  </si>
  <si>
    <t>requestBody.formData.raisedShareCapital.equityShare.increaseAmount.rightIssueNumberOfShares</t>
  </si>
  <si>
    <t xml:space="preserve">Warrants issued during the reporting period (In foreign currency) </t>
  </si>
  <si>
    <t>requestBody.formData.raisedShareCapital.equityShare.increaseAmount.rightIssueTotalNominalAmount</t>
  </si>
  <si>
    <t xml:space="preserve">Warrants issued during the reporting period (In Rupees) </t>
  </si>
  <si>
    <t>requestBody.formData.raisedShareCapital.equityShare.increaseAmount.rightIssueTotalPaidupAmount</t>
  </si>
  <si>
    <t xml:space="preserve">Default in payment of short-term borrowings and interest thereon </t>
  </si>
  <si>
    <t>requestBody.formData.raisedShareCapital.equityShare.increaseAmount.rightIssueTotalPremium</t>
  </si>
  <si>
    <t xml:space="preserve">Default in payment of long-term borrowings and interest thereon </t>
  </si>
  <si>
    <t>requestBody.formData.raisedShareCapital.equityShare.increaseAmount.bonusIssueNumberOfShares</t>
  </si>
  <si>
    <t xml:space="preserve">Whether any operating lease has been converted to financial lease or vice-versa      </t>
  </si>
  <si>
    <t>requestBody.formData.raisedShareCapital.equityShare.increaseAmount.bonusIssueTotalNominalAmount</t>
  </si>
  <si>
    <t xml:space="preserve">         (b) Provides details of such conversions</t>
  </si>
  <si>
    <t>requestBody.formData.raisedShareCapital.equityShare.increaseAmount.bonusIssueTotalPaidupAmount</t>
  </si>
  <si>
    <t xml:space="preserve">Net Worth of the company </t>
  </si>
  <si>
    <t>requestBody.formData.raisedShareCapital.equityShare.increaseAmount.bonusIssueTotalPremium</t>
  </si>
  <si>
    <t xml:space="preserve">Number of shareholders to whom shares allotted under private placement during the reporting period </t>
  </si>
  <si>
    <t>requestBody.formData.raisedShareCapital.equityShare.increaseAmount.privatePlacementNumberOfShares</t>
  </si>
  <si>
    <t xml:space="preserve">Secured Loan </t>
  </si>
  <si>
    <t>requestBody.formData.raisedShareCapital.equityShare.increaseAmount.privatePlacementTotalNominalAmount</t>
  </si>
  <si>
    <t>Gross Property Plant and Equipment and Intangible Assets</t>
  </si>
  <si>
    <t>requestBody.formData.raisedShareCapital.equityShare.increaseAmount.privatePlacementTotalPaidupAmount</t>
  </si>
  <si>
    <t>Depreciation and amortization</t>
  </si>
  <si>
    <t>requestBody.formData.raisedShareCapital.equityShare.increaseAmount.privatePlacementTotalPremium</t>
  </si>
  <si>
    <t xml:space="preserve">Miscellaneous expenditure to the extent not written off or adjusted </t>
  </si>
  <si>
    <t>requestBody.formData.raisedShareCapital.equityShare.increaseAmount.esopsNumberOfShares</t>
  </si>
  <si>
    <t xml:space="preserve">Unhedged Foreign Exchange Exposure </t>
  </si>
  <si>
    <t>requestBody.formData.raisedShareCapital.equityShare.increaseAmount.esopsTotalNominalAmount</t>
  </si>
  <si>
    <t>requestBody.formData.raisedShareCapital.equityShare.increaseAmount.esopsTotalPaidupAmount</t>
  </si>
  <si>
    <t>Door No 3, Ist Floor,</t>
  </si>
  <si>
    <t>IV Share capital raised during the reporting period (Amount in Rupees)</t>
  </si>
  <si>
    <t>requestBody.formData.raisedShareCapital.equityShare.increaseAmount.esopsTotalPremium</t>
  </si>
  <si>
    <t>Number of shares</t>
  </si>
  <si>
    <t>Total Nominal Amount</t>
  </si>
  <si>
    <t>Total Paid-up amount</t>
  </si>
  <si>
    <t>Total premium</t>
  </si>
  <si>
    <t>requestBody.formData.raisedShareCapital.equityShare.increaseAmount.sweatShareAllotedNumberOfShares</t>
  </si>
  <si>
    <t xml:space="preserve">  (i) Equity shares</t>
  </si>
  <si>
    <t>requestBody.formData.raisedShareCapital.equityShare.increaseAmount.sweatShareAllotedTotalNominalAmount</t>
  </si>
  <si>
    <t xml:space="preserve">  At the beginning of the year</t>
  </si>
  <si>
    <t>requestBody.formData.raisedShareCapital.equityShare.increaseAmount.sweatShareAllotedTotalPaidupAmount</t>
  </si>
  <si>
    <t>(a) Increase during the year</t>
  </si>
  <si>
    <t>requestBody.formData.raisedShareCapital.equityShare.increaseAmount.sweatShareAllotedTotalPremium</t>
  </si>
  <si>
    <t xml:space="preserve">     i Public Issues</t>
  </si>
  <si>
    <t>requestBody.formData.raisedShareCapital.equityShare.increaseAmount.conversionOfShareNumberOfShares</t>
  </si>
  <si>
    <t xml:space="preserve">    ii Rights issue</t>
  </si>
  <si>
    <t>requestBody.formData.raisedShareCapital.equityShare.increaseAmount.conversionOfShareTotalNominalAmount</t>
  </si>
  <si>
    <t xml:space="preserve">   iii Bonus issue</t>
  </si>
  <si>
    <t>requestBody.formData.raisedShareCapital.equityShare.increaseAmount.conversionOfShareTotalPaidupAmount</t>
  </si>
  <si>
    <t xml:space="preserve">   iv Private Placement/ Preferential 
       allotment</t>
  </si>
  <si>
    <t>requestBody.formData.raisedShareCapital.equityShare.increaseAmount.conversionOfShareTotalPremium</t>
  </si>
  <si>
    <t xml:space="preserve">   v ESOPs</t>
  </si>
  <si>
    <t>requestBody.formData.raisedShareCapital.equityShare.increaseAmount.conversionOfDebenturesNumberOfShares</t>
  </si>
  <si>
    <t xml:space="preserve">  vi Sweat equity shares allotted</t>
  </si>
  <si>
    <t>requestBody.formData.raisedShareCapital.equityShare.increaseAmount.conversionOfDebenturesTotalNominalAmount</t>
  </si>
  <si>
    <t xml:space="preserve"> vii Conversion of Preference share</t>
  </si>
  <si>
    <t>requestBody.formData.raisedShareCapital.equityShare.increaseAmount.conversionOfDebenturesTotalPaidupAmount</t>
  </si>
  <si>
    <t>viii Conversion of Debentures</t>
  </si>
  <si>
    <t>requestBody.formData.raisedShareCapital.equityShare.increaseAmount.conversionOfDebenturesTotalPremium</t>
  </si>
  <si>
    <t xml:space="preserve">  ix GDRs/ADRs</t>
  </si>
  <si>
    <t>requestBody.formData.raisedShareCapital.equityShare.increaseAmount.gdrsNumberOfShares</t>
  </si>
  <si>
    <t xml:space="preserve">  x Others, specify</t>
  </si>
  <si>
    <t>requestBody.formData.raisedShareCapital.equityShare.increaseAmount.gdrsTotalNominalAmount</t>
  </si>
  <si>
    <t>requestBody.formData.raisedShareCapital.equityShare.increaseAmount.gdrsTotalPaidupAmount</t>
  </si>
  <si>
    <t>(b) Decrease during the year</t>
  </si>
  <si>
    <t>requestBody.formData.raisedShareCapital.equityShare.increaseAmount.gdrsTotalPremium</t>
  </si>
  <si>
    <t xml:space="preserve">    i Buy-back of shares</t>
  </si>
  <si>
    <t>requestBody.formData.raisedShareCapital.equityShare.increaseAmount.othersNumberOfShares</t>
  </si>
  <si>
    <t xml:space="preserve">   ii Shares forfeited</t>
  </si>
  <si>
    <t>requestBody.formData.raisedShareCapital.equityShare.increaseAmount.othersTotalNominalAmount</t>
  </si>
  <si>
    <t xml:space="preserve">  iii Reduction of share capital</t>
  </si>
  <si>
    <t>requestBody.formData.raisedShareCapital.equityShare.increaseAmount.othersTotalPaidupAmount</t>
  </si>
  <si>
    <t xml:space="preserve">  iv Others, specify</t>
  </si>
  <si>
    <t>requestBody.formData.raisedShareCapital.equityShare.increaseAmount.othersTotalPremium</t>
  </si>
  <si>
    <t>requestBody.formData.raisedShareCapital.equityShare.increaseAmount.otherValue</t>
  </si>
  <si>
    <t>(c) At the end of the year</t>
  </si>
  <si>
    <t>requestBody.formData.raisedShareCapital.equityShare.decreaseAmount.buyBackSharesNumberOfShares</t>
  </si>
  <si>
    <t>(ii) Preference shares</t>
  </si>
  <si>
    <t>requestBody.formData.raisedShareCapital.equityShare.decreaseAmount.buyBackSharesTotalNominalAmount</t>
  </si>
  <si>
    <t>At the beginning of the year</t>
  </si>
  <si>
    <t>requestBody.formData.raisedShareCapital.equityShare.decreaseAmount.buyBackSharesTotalPaidupAmount</t>
  </si>
  <si>
    <t>requestBody.formData.raisedShareCapital.equityShare.decreaseAmount.buyBackSharesTotalPremium</t>
  </si>
  <si>
    <t xml:space="preserve">    i Issues of shares</t>
  </si>
  <si>
    <t>requestBody.formData.raisedShareCapital.equityShare.decreaseAmount.sharedForfeitedNumberOfShares</t>
  </si>
  <si>
    <t xml:space="preserve">   ii Re-issue of forfeited shares</t>
  </si>
  <si>
    <t>requestBody.formData.raisedShareCapital.equityShare.decreaseAmount.sharedForfeitedTotalNominalAmount</t>
  </si>
  <si>
    <t xml:space="preserve">  iii Others, specify</t>
  </si>
  <si>
    <t>requestBody.formData.raisedShareCapital.equityShare.decreaseAmount.sharedForfeitedTotalPaidupAmount</t>
  </si>
  <si>
    <t>requestBody.formData.raisedShareCapital.equityShare.decreaseAmount.sharedForfeitedTotalPremium</t>
  </si>
  <si>
    <t>requestBody.formData.raisedShareCapital.equityShare.decreaseAmount.reductionOfShareCapitalNumberOfShares</t>
  </si>
  <si>
    <t xml:space="preserve">    i Redemption of shares</t>
  </si>
  <si>
    <t>requestBody.formData.raisedShareCapital.equityShare.decreaseAmount.reductionOfShareCapitalTotalNominalAmount</t>
  </si>
  <si>
    <t>requestBody.formData.raisedShareCapital.equityShare.decreaseAmount.reductionOfShareCapitalTotalPaidupAmount</t>
  </si>
  <si>
    <t>requestBody.formData.raisedShareCapital.equityShare.decreaseAmount.reductionOfShareCapitalTotalPremium</t>
  </si>
  <si>
    <t>requestBody.formData.raisedShareCapital.equityShare.decreaseAmount.othersNumberOfShares</t>
  </si>
  <si>
    <t>requestBody.formData.raisedShareCapital.equityShare.decreaseAmount.othersTotalNominalAmount</t>
  </si>
  <si>
    <t>requestBody.formData.raisedShareCapital.equityShare.decreaseAmount.othersTotalPaidupAmount</t>
  </si>
  <si>
    <t>requestBody.formData.raisedShareCapital.equityShare.decreaseAmount.othersTotalPremium</t>
  </si>
  <si>
    <t>M C Road, Angamaly, Cochin,</t>
  </si>
  <si>
    <t>V Details of Specified Bank Notes (SBN) held and transacted during the period from 8th November 2016, to 30th December 2016, as provided in the Table below :-</t>
  </si>
  <si>
    <t>requestBody.formData.raisedShareCapital.equityShare.decreaseAmount.otherValue</t>
  </si>
  <si>
    <t>requestBody.formData.raisedShareCapital.preferenceShare.type</t>
  </si>
  <si>
    <t>SBNs</t>
  </si>
  <si>
    <t>Other denomination notes</t>
  </si>
  <si>
    <t>Total</t>
  </si>
  <si>
    <t>requestBody.formData.raisedShareCapital.preferenceShare.descriptionOfClass</t>
  </si>
  <si>
    <t>1 Closing cash in hand as on 08.11.2016</t>
  </si>
  <si>
    <t>requestBody.formData.raisedShareCapital.preferenceShare.atTheBeginningOfTheYearNumberOfShares</t>
  </si>
  <si>
    <t>2 (+) Permitted receipts</t>
  </si>
  <si>
    <t>requestBody.formData.raisedShareCapital.preferenceShare.atTheBeginningOfTheYearTotalNominalAmount</t>
  </si>
  <si>
    <t>3 (-) Permitted payments</t>
  </si>
  <si>
    <t>requestBody.formData.raisedShareCapital.preferenceShare.atTheBeginningOfTheYearTotalPaidupAmount</t>
  </si>
  <si>
    <t>4 (-) Amount deposited in Banks</t>
  </si>
  <si>
    <t>requestBody.formData.raisedShareCapital.preferenceShare.atTheBeginningOfTheYearTotalPremium</t>
  </si>
  <si>
    <t>5 Closing cash in hand as on 30.12.2016</t>
  </si>
  <si>
    <t>requestBody.formData.raisedShareCapital.preferenceShare.increaseDuringTheYearNumberOfShares</t>
  </si>
  <si>
    <t>requestBody.formData.raisedShareCapital.preferenceShare.increaseDuringTheYearTotalNominalAmount</t>
  </si>
  <si>
    <t>683572</t>
  </si>
  <si>
    <t>VI Details related to cost records and cost audit</t>
  </si>
  <si>
    <t>requestBody.formData.raisedShareCapital.preferenceShare.increaseDuringTheYearTotalPaidupAmount</t>
  </si>
  <si>
    <t>requestBody.formData.raisedShareCapital.preferenceShare.increaseDuringTheYearTotalPremium</t>
  </si>
  <si>
    <t>1 Whether maintenance of cost records by the company has been mandated under Companies (Cost Records and Audit) Rules, 2014</t>
  </si>
  <si>
    <t>requestBody.formData.raisedShareCapital.preferenceShare.decreaseDuringTheYearNumberOfShares</t>
  </si>
  <si>
    <t>requestBody.formData.raisedShareCapital.preferenceShare.decreaseDuringTheYearTotalNominalAmount</t>
  </si>
  <si>
    <t>requestBody.formData.raisedShareCapital.preferenceShare.decreaseDuringTheYearTotalPaidupAmount</t>
  </si>
  <si>
    <t>If yes, Central Excise Tariff Act - Heading in which the product/ service is covered</t>
  </si>
  <si>
    <t>requestBody.formData.raisedShareCapital.preferenceShare.decreaseDuringTheYearTotalPremium</t>
  </si>
  <si>
    <t>requestBody.formData.raisedShareCapital.preferenceShare.atTheEndOfTheYearNumberOfShares</t>
  </si>
  <si>
    <t>requestBody.formData.raisedShareCapital.preferenceShare.atTheEndOfTheYearTotalNominalAmount</t>
  </si>
  <si>
    <t>2 Whether audit of cost records of the company has been mandated under Rules specified in SN 1</t>
  </si>
  <si>
    <t>requestBody.formData.raisedShareCapital.preferenceShare.atTheEndOfTheYearTotalPaidupAmount</t>
  </si>
  <si>
    <t>requestBody.formData.raisedShareCapital.preferenceShare.atTheEndOfTheYearTotalPremium</t>
  </si>
  <si>
    <t>requestBody.formData.raisedShareCapital.preferenceShare.increaseAmount.issueOfShareNumberOfShares</t>
  </si>
  <si>
    <t>If yes, Central Excise Tariff Act - Heading  in which the product/ service is covered</t>
  </si>
  <si>
    <t>requestBody.formData.raisedShareCapital.preferenceShare.increaseAmount.issueOfShareTotalNominalAmount</t>
  </si>
  <si>
    <t>requestBody.formData.raisedShareCapital.preferenceShare.increaseAmount.issueOfShareTotalPaidupAmount</t>
  </si>
  <si>
    <t>requestBody.formData.raisedShareCapital.preferenceShare.increaseAmount.issueOfShareTotalPremium</t>
  </si>
  <si>
    <t>SEGMENT II:  INFORMATION AND PARTICULARS IN RESPECT OF PROFIT AND LOSS ACCOUNT</t>
  </si>
  <si>
    <t>requestBody.formData.raisedShareCapital.preferenceShare.increaseAmount.reissueForfeitedShareNumberOfShares</t>
  </si>
  <si>
    <t xml:space="preserve">  I Statement of Profit and Loss</t>
  </si>
  <si>
    <t>requestBody.formData.raisedShareCapital.preferenceShare.increaseAmount.reissueForfeitedShareTotalNominalAmount</t>
  </si>
  <si>
    <r>
      <rPr>
        <sz val="11"/>
        <color theme="1"/>
        <rFont val="Calibri"/>
        <family val="2"/>
        <scheme val="minor"/>
      </rPr>
      <t xml:space="preserve">Figures for the period (Current reporting period)  
</t>
    </r>
    <r>
      <rPr>
        <b/>
        <sz val="11"/>
        <color rgb="FF000000"/>
        <rFont val="Calibri"/>
        <family val="2"/>
      </rPr>
      <t>From</t>
    </r>
  </si>
  <si>
    <r>
      <rPr>
        <sz val="11"/>
        <color theme="1"/>
        <rFont val="Calibri"/>
        <family val="2"/>
        <scheme val="minor"/>
      </rPr>
      <t xml:space="preserve">Figures for the period (Previous reporting period) 
</t>
    </r>
    <r>
      <rPr>
        <b/>
        <sz val="11"/>
        <color rgb="FF000000"/>
        <rFont val="Calibri"/>
        <family val="2"/>
      </rPr>
      <t>From</t>
    </r>
  </si>
  <si>
    <t>Reason for change in pre-filled figures of previous reporting period</t>
  </si>
  <si>
    <t>requestBody.formData.raisedShareCapital.preferenceShare.increaseAmount.reissueForfeitedShareTotalPaidupAmount</t>
  </si>
  <si>
    <t>requestBody.formData.raisedShareCapital.preferenceShare.increaseAmount.reissueForfeitedShareTotalPremium</t>
  </si>
  <si>
    <t>21/10/2020</t>
  </si>
  <si>
    <t>requestBody.formData.raisedShareCapital.preferenceShare.increaseAmount.othersNumberOfShares</t>
  </si>
  <si>
    <t>To</t>
  </si>
  <si>
    <t>requestBody.formData.raisedShareCapital.preferenceShare.increaseAmount.othersTotalNominalAmount</t>
  </si>
  <si>
    <t>requestBody.formData.raisedShareCapital.preferenceShare.increaseAmount.othersTotalPaidupAmount</t>
  </si>
  <si>
    <t>(I)</t>
  </si>
  <si>
    <t>Revenue from operations</t>
  </si>
  <si>
    <t>requestBody.formData.raisedShareCapital.preferenceShare.increaseAmount.othersTotalPremium</t>
  </si>
  <si>
    <t>Domestic turnover</t>
  </si>
  <si>
    <t>requestBody.formData.raisedShareCapital.preferenceShare.increaseAmount.otherValue</t>
  </si>
  <si>
    <t>(i) Sale of goods manufactured</t>
  </si>
  <si>
    <t>requestBody.formData.raisedShareCapital.preferenceShare.decreaseAmount.redemptionNumberOfShares</t>
  </si>
  <si>
    <t>(ii) Sale of goods traded</t>
  </si>
  <si>
    <t>requestBody.formData.raisedShareCapital.preferenceShare.decreaseAmount.redemptionTotalNominalAmount</t>
  </si>
  <si>
    <t>(iii) Sale or supply of services</t>
  </si>
  <si>
    <t>requestBody.formData.raisedShareCapital.preferenceShare.decreaseAmount.redemptionTotalPaidupAmount</t>
  </si>
  <si>
    <t>Export turnover</t>
  </si>
  <si>
    <t>requestBody.formData.raisedShareCapital.preferenceShare.decreaseAmount.redemptionTotalPremium</t>
  </si>
  <si>
    <t>requestBody.formData.raisedShareCapital.preferenceShare.decreaseAmount.sharedForfeitedNumberOfShares</t>
  </si>
  <si>
    <t>requestBody.formData.raisedShareCapital.preferenceShare.decreaseAmount.sharedForfeitedTotalNominalAmount</t>
  </si>
  <si>
    <t>requestBody.formData.raisedShareCapital.preferenceShare.decreaseAmount.sharedForfeitedTotalPaidupAmount</t>
  </si>
  <si>
    <t>(II)</t>
  </si>
  <si>
    <t>Other Income</t>
  </si>
  <si>
    <t>requestBody.formData.raisedShareCapital.preferenceShare.decreaseAmount.sharedForfeitedTotalPremium</t>
  </si>
  <si>
    <t>(i) Dividend income</t>
  </si>
  <si>
    <t>requestBody.formData.raisedShareCapital.preferenceShare.decreaseAmount.reductionOfShareCapitalNumberOfShares</t>
  </si>
  <si>
    <t>(ii) Interest income</t>
  </si>
  <si>
    <t>requestBody.formData.raisedShareCapital.preferenceShare.decreaseAmount.reductionOfShareCapitalTotalNominalAmount</t>
  </si>
  <si>
    <t>(iii) Net gain/loss on sale of investments</t>
  </si>
  <si>
    <t>requestBody.formData.raisedShareCapital.preferenceShare.decreaseAmount.reductionOfShareCapitalTotalPaidupAmount</t>
  </si>
  <si>
    <t>(iv) Other non-operating income (net of expenses 
      directly attributable to such income)</t>
  </si>
  <si>
    <t>requestBody.formData.raisedShareCapital.preferenceShare.decreaseAmount.reductionOfShareCapitalTotalPremium</t>
  </si>
  <si>
    <t>(III)</t>
  </si>
  <si>
    <t>Total Income (I+II)</t>
  </si>
  <si>
    <t>requestBody.formData.raisedShareCapital.preferenceShare.decreaseAmount.othersNumberOfShares</t>
  </si>
  <si>
    <t>(IV)</t>
  </si>
  <si>
    <t>Expenses</t>
  </si>
  <si>
    <t>requestBody.formData.raisedShareCapital.preferenceShare.decreaseAmount.othersTotalNominalAmount</t>
  </si>
  <si>
    <t>(a) Cost of materials consumed</t>
  </si>
  <si>
    <t>requestBody.formData.raisedShareCapital.preferenceShare.decreaseAmount.othersTotalPaidupAmount</t>
  </si>
  <si>
    <t>(b) Purchases of stock in trade</t>
  </si>
  <si>
    <t>requestBody.formData.raisedShareCapital.preferenceShare.decreaseAmount.othersTotalPremium</t>
  </si>
  <si>
    <t>(c) Changes in  inventories of Finished goods</t>
  </si>
  <si>
    <t>requestBody.formData.raisedShareCapital.preferenceShare.decreaseAmount.otherValue</t>
  </si>
  <si>
    <t xml:space="preserve"> -Work-in-progress</t>
  </si>
  <si>
    <t>requestBody.formData.sBNDetails.type</t>
  </si>
  <si>
    <t>AOC-4 SpecifiedBankNotesDetail</t>
  </si>
  <si>
    <t xml:space="preserve"> -Stock in trade</t>
  </si>
  <si>
    <t>requestBody.formData.sBNDetails.closingCash08112016SBN</t>
  </si>
  <si>
    <t>(d) Employee benefit expenses</t>
  </si>
  <si>
    <t>requestBody.formData.sBNDetails.closingCash08112016OtherDenominationNote</t>
  </si>
  <si>
    <t>(e) Managerial remuneration</t>
  </si>
  <si>
    <t>requestBody.formData.sBNDetails.closingCash08112016Total</t>
  </si>
  <si>
    <t>(f) Payment to Auditors</t>
  </si>
  <si>
    <t>requestBody.formData.sBNDetails.permittedReceiptsSBN</t>
  </si>
  <si>
    <t>(g) Insurance expenses</t>
  </si>
  <si>
    <t>requestBody.formData.sBNDetails.permittedReceiptsOtherDenominationNote</t>
  </si>
  <si>
    <t>(h) Power and fuel</t>
  </si>
  <si>
    <t>requestBody.formData.sBNDetails.permittedReceiptsTotal</t>
  </si>
  <si>
    <t>(i) Finance cost</t>
  </si>
  <si>
    <t>1250</t>
  </si>
  <si>
    <t>requestBody.formData.sBNDetails.permittedPaymentsSBN</t>
  </si>
  <si>
    <t>(j) Depreciation and amortization expenses</t>
  </si>
  <si>
    <t>requestBody.formData.sBNDetails.permittedPaymentsOtherDenominationNote</t>
  </si>
  <si>
    <t>(k) Other expenses</t>
  </si>
  <si>
    <t>19500</t>
  </si>
  <si>
    <t>requestBody.formData.sBNDetails.permittedPaymentsTotal</t>
  </si>
  <si>
    <t>Total expenses</t>
  </si>
  <si>
    <t>requestBody.formData.sBNDetails.amountdepositedInBanksSBN</t>
  </si>
  <si>
    <t>(V)</t>
  </si>
  <si>
    <t>Profit before exceptional and 
extraordinary items and tax (III-IV)</t>
  </si>
  <si>
    <t>requestBody.formData.sBNDetails.amountdepositedInBanksOtherDenominationNote</t>
  </si>
  <si>
    <t>(VI)</t>
  </si>
  <si>
    <t>Exceptional items</t>
  </si>
  <si>
    <t>requestBody.formData.sBNDetails.amountdepositedInBanksTotal</t>
  </si>
  <si>
    <t>(VII)</t>
  </si>
  <si>
    <t>Profit before extraordinary items and tax (V-VI)</t>
  </si>
  <si>
    <t>requestBody.formData.sBNDetails.closingCash30122016SBN</t>
  </si>
  <si>
    <t>(VIII)</t>
  </si>
  <si>
    <t>Extraordinary items</t>
  </si>
  <si>
    <t>requestBody.formData.sBNDetails.closingCash30122016OtherDenominationNote</t>
  </si>
  <si>
    <t>(IX)</t>
  </si>
  <si>
    <t>Profit before tax (VII-VIII)</t>
  </si>
  <si>
    <t>requestBody.formData.sBNDetails.closingCash30122016Total</t>
  </si>
  <si>
    <t>(X)</t>
  </si>
  <si>
    <t>Tax Expense</t>
  </si>
  <si>
    <t>requestBody.formData.costDetails.maintenanceOfCostRecordsMandated</t>
  </si>
  <si>
    <t>(i) Current tax</t>
  </si>
  <si>
    <t>requestBody.formData.costDetails.maintenanceOfCostRecordsTariff</t>
  </si>
  <si>
    <t>(ii) Deferred tax</t>
  </si>
  <si>
    <t>-3926</t>
  </si>
  <si>
    <t>requestBody.formData.costDetails.auditOfCostRecordsMandated</t>
  </si>
  <si>
    <t>(XI)</t>
  </si>
  <si>
    <t>Profit/(Loss) for the period from continuing operations (IX-X)</t>
  </si>
  <si>
    <t>requestBody.formData.costDetails.auditOfCostRecordsTarriff</t>
  </si>
  <si>
    <t>(XII)</t>
  </si>
  <si>
    <t>Profit /(Loss) from discontinuing
 operations</t>
  </si>
  <si>
    <t>requestBody.formData.statementOfProfitAndLoss.type</t>
  </si>
  <si>
    <t>AOC-4 Profit Loss</t>
  </si>
  <si>
    <t>(XIII)</t>
  </si>
  <si>
    <t>Tax expense of discontinuing operations</t>
  </si>
  <si>
    <t>requestBody.formData.statementOfProfitAndLoss.currentPeriodFromDate</t>
  </si>
  <si>
    <t>(XIV)</t>
  </si>
  <si>
    <t>Profit/ (Loss) from discontinuing 
operations (after tax) (XII-XIII)</t>
  </si>
  <si>
    <t>requestBody.formData.statementOfProfitAndLoss.currentPeriodToDate</t>
  </si>
  <si>
    <t>(XV)</t>
  </si>
  <si>
    <t>Profit /(Loss) (XI+XIV)</t>
  </si>
  <si>
    <t>requestBody.formData.statementOfProfitAndLoss.previousPeriodFromDate</t>
  </si>
  <si>
    <t>(XVI)</t>
  </si>
  <si>
    <t>Earnings per equity share before extraordinary items</t>
  </si>
  <si>
    <t>requestBody.formData.statementOfProfitAndLoss.previousPeriodToDate</t>
  </si>
  <si>
    <t>(i) Basic</t>
  </si>
  <si>
    <t>5.53</t>
  </si>
  <si>
    <t>requestBody.formData.statementOfProfitAndLoss.currentDomesticsaleOfGoodsManufactured</t>
  </si>
  <si>
    <t>(ii) Diluted</t>
  </si>
  <si>
    <t>requestBody.formData.statementOfProfitAndLoss.previouDomesticssaleOfGoodsManufactured</t>
  </si>
  <si>
    <t>(XVII)</t>
  </si>
  <si>
    <t>Earnings per equity share after extraordinary items</t>
  </si>
  <si>
    <t>requestBody.formData.statementOfProfitAndLoss.reasonForChangeInDomesticsaleOfGoodsManufactured</t>
  </si>
  <si>
    <t>requestBody.formData.statementOfProfitAndLoss.currentDomesticsaleOfGoodsTraded</t>
  </si>
  <si>
    <t>requestBody.formData.statementOfProfitAndLoss.previousDomesticsaleOfGoodsTraded</t>
  </si>
  <si>
    <t>requestBody.formData.statementOfProfitAndLoss.reasonForChangeInDomesticsaleOfGoodsTraded</t>
  </si>
  <si>
    <t>II Detailed Profit and Loss items (Amount in Rupees)</t>
  </si>
  <si>
    <t>requestBody.formData.statementOfProfitAndLoss.currentDomesticsaleOrSupplyOfServices</t>
  </si>
  <si>
    <t>A Details of earning in foreign exchange</t>
  </si>
  <si>
    <t>requestBody.formData.statementOfProfitAndLoss.previousDomesticsaleOrSupplyOfServices</t>
  </si>
  <si>
    <t>Current reporting period</t>
  </si>
  <si>
    <t>Previous reporting period</t>
  </si>
  <si>
    <t>Reason for change in pre-filled figures of
 previous reporting period</t>
  </si>
  <si>
    <t>requestBody.formData.statementOfProfitAndLoss.reasonForChangeInDomesticsaleOrSupplyOfServices</t>
  </si>
  <si>
    <t>1 Export of goods calculated on FOB     
   basis</t>
  </si>
  <si>
    <t>requestBody.formData.statementOfProfitAndLoss.currentExportsaleOfGoodsManufactured</t>
  </si>
  <si>
    <t>2 Interest and dividend</t>
  </si>
  <si>
    <t>requestBody.formData.statementOfProfitAndLoss.previousExportsaleOfGoodsManufactured</t>
  </si>
  <si>
    <t>3 Royalty</t>
  </si>
  <si>
    <t>requestBody.formData.statementOfProfitAndLoss.reasonForChangeInExportsaleOfGoodsManufactured</t>
  </si>
  <si>
    <t>4 Know- how</t>
  </si>
  <si>
    <t>requestBody.formData.statementOfProfitAndLoss.currentExportsaleOfGoodsTraded</t>
  </si>
  <si>
    <t>5 Professional and consultation fees</t>
  </si>
  <si>
    <t>requestBody.formData.statementOfProfitAndLoss.previousExportsaleOfGoodsTraded</t>
  </si>
  <si>
    <t>6 Other income</t>
  </si>
  <si>
    <t>requestBody.formData.statementOfProfitAndLoss.reasonForChangeInExportsaleOfGoodsTraded</t>
  </si>
  <si>
    <t>7 Total Earning in Foreign Exchange</t>
  </si>
  <si>
    <t>requestBody.formData.statementOfProfitAndLoss.currentExportsaleOrSupplyOfServices</t>
  </si>
  <si>
    <t>requestBody.formData.statementOfProfitAndLoss.previousExportsaleOrSupplyOfServices</t>
  </si>
  <si>
    <t>B Details of expenditure in foreign exchange</t>
  </si>
  <si>
    <t>requestBody.formData.statementOfProfitAndLoss.reasonForChangeInExportsaleOrSupplyOfServices</t>
  </si>
  <si>
    <t>Reason for change in pre-filled figures of 
previous reporting period</t>
  </si>
  <si>
    <t>requestBody.formData.statementOfProfitAndLoss.currentOtherDividendIncome</t>
  </si>
  <si>
    <t>1 Import of goods calculated on CIF basis</t>
  </si>
  <si>
    <t>requestBody.formData.statementOfProfitAndLoss.previousOtherDividendIncome</t>
  </si>
  <si>
    <t>(i) Raw material</t>
  </si>
  <si>
    <t>requestBody.formData.statementOfProfitAndLoss.reasonForChangeInOtherDividendIncome</t>
  </si>
  <si>
    <t>(ii) Component and spare 
      parts</t>
  </si>
  <si>
    <t>requestBody.formData.statementOfProfitAndLoss.currentotherIncome</t>
  </si>
  <si>
    <t>(iii) Capital goods</t>
  </si>
  <si>
    <t>requestBody.formData.statementOfProfitAndLoss.previousotherIncome</t>
  </si>
  <si>
    <t>2 Expenditure on account of</t>
  </si>
  <si>
    <t>requestBody.formData.statementOfProfitAndLoss.reasonForChangeInotherIncome</t>
  </si>
  <si>
    <t xml:space="preserve">Royalty </t>
  </si>
  <si>
    <t>requestBody.formData.statementOfProfitAndLoss.coNetGainLoss</t>
  </si>
  <si>
    <t>Know-how</t>
  </si>
  <si>
    <t>requestBody.formData.statementOfProfitAndLoss.poNetGainLoss</t>
  </si>
  <si>
    <t>Professional and consultation fees</t>
  </si>
  <si>
    <t>requestBody.formData.statementOfProfitAndLoss.rfcOtherNetGainLoss</t>
  </si>
  <si>
    <t>Interest</t>
  </si>
  <si>
    <t>requestBody.formData.statementOfProfitAndLoss.coNonOperatingIncome</t>
  </si>
  <si>
    <t>Other matters</t>
  </si>
  <si>
    <t>requestBody.formData.statementOfProfitAndLoss.poNonOperatingIncome</t>
  </si>
  <si>
    <t>Dividend paid</t>
  </si>
  <si>
    <t>requestBody.formData.statementOfProfitAndLoss.rfcOtherNonOperatingIncome</t>
  </si>
  <si>
    <t>3 Total Expenditure in foreign exchange</t>
  </si>
  <si>
    <t>requestBody.formData.statementOfProfitAndLoss.currentTotalIncome</t>
  </si>
  <si>
    <t>requestBody.formData.statementOfProfitAndLoss.prevTotalIncome</t>
  </si>
  <si>
    <t>Paravur</t>
  </si>
  <si>
    <t>III Financial parameters - Profit and loss account items (Amount in Rupees) during the reporting period</t>
  </si>
  <si>
    <t>requestBody.formData.statementOfProfitAndLoss.rfcTotalIncome</t>
  </si>
  <si>
    <t>Proposed Dividend</t>
  </si>
  <si>
    <t>requestBody.formData.statementOfProfitAndLoss.currentcostOfMaterialConsumed</t>
  </si>
  <si>
    <t>Proposed Dividend Percentage</t>
  </si>
  <si>
    <t>requestBody.formData.statementOfProfitAndLoss.previouscostOfMaterialConsumed</t>
  </si>
  <si>
    <t>Earnings per share (in Rupees)</t>
  </si>
  <si>
    <t>requestBody.formData.statementOfProfitAndLoss.reasonForChangeIncostOfMaterialConsumed</t>
  </si>
  <si>
    <t>(a) Basic</t>
  </si>
  <si>
    <t>requestBody.formData.statementOfProfitAndLoss.currentpurchaseOfStockInTrade</t>
  </si>
  <si>
    <t>(b) Diluted</t>
  </si>
  <si>
    <t>requestBody.formData.statementOfProfitAndLoss.previouspurchaseOfStockInTrade</t>
  </si>
  <si>
    <t>Income in foreign currency</t>
  </si>
  <si>
    <t>requestBody.formData.statementOfProfitAndLoss.reasonForChangeInpurchaseOfStockInTrade</t>
  </si>
  <si>
    <t>Expenditure in foreign currency</t>
  </si>
  <si>
    <t>requestBody.formData.statementOfProfitAndLoss.currentfinishedGoods</t>
  </si>
  <si>
    <t>Revenue subsidies or grants received from government authority(ies)</t>
  </si>
  <si>
    <t>requestBody.formData.statementOfProfitAndLoss.previousfinishedGoods</t>
  </si>
  <si>
    <t>Rent paid</t>
  </si>
  <si>
    <t>requestBody.formData.statementOfProfitAndLoss.reasonForChangeInfinishedGoods</t>
  </si>
  <si>
    <t>Consumption of stores and spare parts</t>
  </si>
  <si>
    <t>requestBody.formData.statementOfProfitAndLoss.currentworkInProgress</t>
  </si>
  <si>
    <t>Gross value of transaction with related parties as per AS- 18 (If applicable)</t>
  </si>
  <si>
    <t>requestBody.formData.statementOfProfitAndLoss.previousworkInProgress</t>
  </si>
  <si>
    <t>Bad debts of related parties as per AS- 18 (If applicable)</t>
  </si>
  <si>
    <t>requestBody.formData.statementOfProfitAndLoss.reasonForChangeInworkInProgress</t>
  </si>
  <si>
    <t>Contribution made under sub-section (3) of section 182</t>
  </si>
  <si>
    <t>requestBody.formData.statementOfProfitAndLoss.currentstockInTrade</t>
  </si>
  <si>
    <t>requestBody.formData.statementOfProfitAndLoss.previousstockInTrade</t>
  </si>
  <si>
    <t>IV Details related to principal products or services of the company</t>
  </si>
  <si>
    <t>requestBody.formData.statementOfProfitAndLoss.reasonForChangeInstockInTrade</t>
  </si>
  <si>
    <t>*Total number of product/ services category(ies)</t>
  </si>
  <si>
    <t>requestBody.formData.statementOfProfitAndLoss.currentemployeeBenefitExpenses</t>
  </si>
  <si>
    <t>requestBody.formData.statementOfProfitAndLoss.previousemployeeBenefitExpenses</t>
  </si>
  <si>
    <t>requestBody.formData.statementOfProfitAndLoss.reasonForChangeInemployeeBenefitExpenses</t>
  </si>
  <si>
    <t>Product or service category
 code (ITC/ NPCS 4 digit code)</t>
  </si>
  <si>
    <t>Description of the product 
or service category</t>
  </si>
  <si>
    <t>Turnover of the product or service category (in Rupees)</t>
  </si>
  <si>
    <t>Highest turnover 
contributing product or service code (ITC/NPCS 8 digit code)</t>
  </si>
  <si>
    <t>Description of the product or service</t>
  </si>
  <si>
    <t>Turnover of highest contributing product or service (in Rupees)</t>
  </si>
  <si>
    <t>requestBody.formData.statementOfProfitAndLoss.currentmanagerialRemuneration</t>
  </si>
  <si>
    <t>requestBody.formData.statementOfProfitAndLoss.previousmanagerialRemuneration</t>
  </si>
  <si>
    <t>requestBody.formData.statementOfProfitAndLoss.reasonForChangeInmanagerialRemuneration</t>
  </si>
  <si>
    <t>Note - Please refer to ‘Indian Trade Classification’ based on harmonized commodity description and coding system issues by the ministry 
of Commerce &amp; Industry for Product Codes and National Product Classification for Services (NPCS) for Services codes issued by Ministry of Statistics &amp; Programme Implementation, Government of India</t>
  </si>
  <si>
    <t>requestBody.formData.statementOfProfitAndLoss.currentpaymentOfAuditors</t>
  </si>
  <si>
    <t>requestBody.formData.statementOfProfitAndLoss.previouspaymentOfAuditors</t>
  </si>
  <si>
    <t>SEGMENT III: DISCLOSURE ABOUT RELATED PARTY TRANSACTIONS</t>
  </si>
  <si>
    <t>requestBody.formData.statementOfProfitAndLoss.reasonForChangeInpaymentOfAuditors</t>
  </si>
  <si>
    <t>1 *Whether any transactions entered with related party?</t>
  </si>
  <si>
    <t>requestBody.formData.statementOfProfitAndLoss.currentInsuranceExpenses</t>
  </si>
  <si>
    <t>requestBody.formData.statementOfProfitAndLoss.previousInsuranceExpenses</t>
  </si>
  <si>
    <t>requestBody.formData.statementOfProfitAndLoss.reasonForChangeInInsuranceExpenses</t>
  </si>
  <si>
    <t>SEGMENT IV: AUDITOR’S REPORT</t>
  </si>
  <si>
    <t>requestBody.formData.statementOfProfitAndLoss.currentpowerAndFuel</t>
  </si>
  <si>
    <t>I (a) In case of a government company, whether Comptroller and Auditor-General of India (CAG of India) has commented upon or
        supplemented the audit report under section 143 of the Companies Act, 2013</t>
  </si>
  <si>
    <t>requestBody.formData.statementOfProfitAndLoss.previouspowerAndFuel</t>
  </si>
  <si>
    <t>requestBody.formData.statementOfProfitAndLoss.reasonForChangeInpowerAndFuel</t>
  </si>
  <si>
    <t>requestBody.formData.statementOfProfitAndLoss.currentfinanceCost</t>
  </si>
  <si>
    <t>Ernakulam</t>
  </si>
  <si>
    <t xml:space="preserve">  (b) If yes, provide following details:-</t>
  </si>
  <si>
    <t>requestBody.formData.statementOfProfitAndLoss.previousfinanceCost</t>
  </si>
  <si>
    <t>S. No.</t>
  </si>
  <si>
    <t>Provide details of comment(s) or supplement(s) received from CAG of India</t>
  </si>
  <si>
    <t>Board of Director’s reply(ies) on comments received from CAG of India</t>
  </si>
  <si>
    <t>requestBody.formData.statementOfProfitAndLoss.reasonForChangeInfinanceCost</t>
  </si>
  <si>
    <t>requestBody.formData.statementOfProfitAndLoss.currentdeprecationExpenses</t>
  </si>
  <si>
    <t>requestBody.formData.statementOfProfitAndLoss.previousdeprecationExpenses</t>
  </si>
  <si>
    <t xml:space="preserve">  (c) Whether Controller and Auditor-General of India has conducted supplementary or test audit under section 143  </t>
  </si>
  <si>
    <t>requestBody.formData.statementOfProfitAndLoss.reasonForChangeIndeprecationExpenses</t>
  </si>
  <si>
    <t>requestBody.formData.statementOfProfitAndLoss.currentotherExpenses</t>
  </si>
  <si>
    <t>requestBody.formData.statementOfProfitAndLoss.previousotherExpenses</t>
  </si>
  <si>
    <t>JOMON BABU</t>
  </si>
  <si>
    <t>Whether the auditors have reported as to whether company had provided requisite disclosures in its financial statements as to holdings as well as dealings in Specified Bank Notes during the period from 8th November, 2016 to 30th December, 2016 and if so, whether these are in accordance with the books of accounts maintained by the company</t>
  </si>
  <si>
    <t>requestBody.formData.statementOfProfitAndLoss.reasonForChangeInotherExpenses</t>
  </si>
  <si>
    <t>requestBody.formData.statementOfProfitAndLoss.currenttotalExpenses</t>
  </si>
  <si>
    <t>requestBody.formData.statementOfProfitAndLoss.previoustotalExpenses</t>
  </si>
  <si>
    <t>275943</t>
  </si>
  <si>
    <t>SEGMENT-V REPORTING OF CORPORATE SOCIAL RESPONSIBILITY</t>
  </si>
  <si>
    <t>requestBody.formData.statementOfProfitAndLoss.reasonForChangeIntotalExpenses</t>
  </si>
  <si>
    <t>CSR applicability pursuant to</t>
  </si>
  <si>
    <t>requestBody.formData.statementOfProfitAndLoss.currentprofitBeforeExceptionalAndExtraordinaryItems</t>
  </si>
  <si>
    <t>requestBody.formData.statementOfProfitAndLoss.previousprofitBeforeExceptionalAndExtraordinaryItems</t>
  </si>
  <si>
    <t>requestBody.formData.statementOfProfitAndLoss.reasonForChangeInprofitBeforeExceptionalAndExtraordinaryItems</t>
  </si>
  <si>
    <t>SEGMENT-VI MISCELLANEOUS</t>
  </si>
  <si>
    <t>requestBody.formData.statementOfProfitAndLoss.currentexceptionalItems</t>
  </si>
  <si>
    <t>1 *Whether the Secretarial Audit is applicable</t>
  </si>
  <si>
    <t>requestBody.formData.statementOfProfitAndLoss.previousexceptionalItems</t>
  </si>
  <si>
    <t>requestBody.formData.statementOfProfitAndLoss.reasonForChangeInexceptionalItems</t>
  </si>
  <si>
    <t>requestBody.formData.statementOfProfitAndLoss.currentprofitBeforeExtraordinaryItems</t>
  </si>
  <si>
    <t>ADARSH KUZHITHARA RAFI</t>
  </si>
  <si>
    <t>2 Whether secretarial audit report has been qualified or has any observation or other remarks</t>
  </si>
  <si>
    <t>requestBody.formData.statementOfProfitAndLoss.previousprofitBeforeExtraordinaryItems</t>
  </si>
  <si>
    <t>requestBody.formData.statementOfProfitAndLoss.reasonForChangeInprofitBeforeExtraordinaryItems</t>
  </si>
  <si>
    <t>requestBody.formData.statementOfProfitAndLoss.currentextraordinaryItems</t>
  </si>
  <si>
    <t>Director</t>
  </si>
  <si>
    <t>3 Number of observations made</t>
  </si>
  <si>
    <t>requestBody.formData.statementOfProfitAndLoss.previousextraordinaryItems</t>
  </si>
  <si>
    <t>requestBody.formData.statementOfProfitAndLoss.reasonForChangeInextraordinaryItems</t>
  </si>
  <si>
    <t>requestBody.formData.statementOfProfitAndLoss.currentprofitBeforeTax</t>
  </si>
  <si>
    <t xml:space="preserve">4 Provide details of secretarial qualifications or observations or other remarks in  secretarial audit report </t>
  </si>
  <si>
    <t>requestBody.formData.statementOfProfitAndLoss.previousprofitBeforeTax</t>
  </si>
  <si>
    <t>requestBody.formData.statementOfProfitAndLoss.reasonForChangeInprofitBeforeTax</t>
  </si>
  <si>
    <t>requestBody.formData.statementOfProfitAndLoss.currentPeroidcurrentTax</t>
  </si>
  <si>
    <t>5 Details of signatories of secretarial audit report</t>
  </si>
  <si>
    <t>requestBody.formData.statementOfProfitAndLoss.previousPeriodcurrentTax</t>
  </si>
  <si>
    <t>(a) Category of secretarial auditor</t>
  </si>
  <si>
    <t>(b) Name of secretarial audit firm</t>
  </si>
  <si>
    <t>(c) Firms registration number of secretarial 
      audit firm</t>
  </si>
  <si>
    <t>requestBody.formData.statementOfProfitAndLoss.reasonForChangeIncurrentTax</t>
  </si>
  <si>
    <t>requestBody.formData.statementOfProfitAndLoss.currentdeferredTax</t>
  </si>
  <si>
    <t>requestBody.formData.statementOfProfitAndLoss.previousdeferredTax</t>
  </si>
  <si>
    <t>(d) Membership number of secretarial 
      auditor</t>
  </si>
  <si>
    <t>(e) Certificate of practice number of secretarial      
      auditor</t>
  </si>
  <si>
    <t>(f) Address of secretarial auditor</t>
  </si>
  <si>
    <t>requestBody.formData.statementOfProfitAndLoss.reasonForChangeIndeferredTax</t>
  </si>
  <si>
    <t>requestBody.formData.statementOfProfitAndLoss.currentPLforThePeriodFromContinuingOperations</t>
  </si>
  <si>
    <t>requestBody.formData.statementOfProfitAndLoss.previousPLforThePeriodFromContinuingOperations</t>
  </si>
  <si>
    <t>(g) Permanent account number of secretarial 
      auditor or secretarial auditor’s firm</t>
  </si>
  <si>
    <t>(h) Date of signing secretarial audit report</t>
  </si>
  <si>
    <t>requestBody.formData.statementOfProfitAndLoss.reasonForChangeInPLforThePeriodFromContinuingOperations</t>
  </si>
  <si>
    <t>requestBody.formData.statementOfProfitAndLoss.currentPLFromDiscontinuingOperations</t>
  </si>
  <si>
    <t>requestBody.formData.statementOfProfitAndLoss.previousPLFromDiscontinuingOperations</t>
  </si>
  <si>
    <t>requestBody.formData.statementOfProfitAndLoss.reasonForChangeInPLFromDiscontinuingOperations</t>
  </si>
  <si>
    <t>Declaration</t>
  </si>
  <si>
    <t>requestBody.formData.statementOfProfitAndLoss.currenttaxExpensesOfDiscontinuingOperations</t>
  </si>
  <si>
    <t>requestBody.formData.statementOfProfitAndLoss.previoustaxExpensesOfDiscontinuingOperations</t>
  </si>
  <si>
    <t xml:space="preserve">  I am authorised by the Board of Directors of the Company vide resolution number*</t>
  </si>
  <si>
    <t>requestBody.formData.statementOfProfitAndLoss.reasonForChangeIntaxExpensesOfDiscontinuingOperations</t>
  </si>
  <si>
    <t xml:space="preserve"> dated*</t>
  </si>
  <si>
    <t xml:space="preserve">   to sign this form and declare that all the requirements of Companies Act, </t>
  </si>
  <si>
    <t>requestBody.formData.statementOfProfitAndLoss.currentPLFromDiscontinuingOperationsAfterTax</t>
  </si>
  <si>
    <t xml:space="preserve"> 2013 and the rules made thereunder in respect of the subject matter of this form and matters incidental thereto have been</t>
  </si>
  <si>
    <t>requestBody.formData.statementOfProfitAndLoss.previousPLFromDiscontinuingOperationsAfterTax</t>
  </si>
  <si>
    <t xml:space="preserve"> complied with. I further declare that:</t>
  </si>
  <si>
    <t>requestBody.formData.statementOfProfitAndLoss.reasonForChangeInPLFromDiscontinuingOperationsAfterTax</t>
  </si>
  <si>
    <t>requestBody.formData.statementOfProfitAndLoss.currentPL</t>
  </si>
  <si>
    <t>1  Whatever is stated in this form and in the attachments thereto is true, correct and complete and no information</t>
  </si>
  <si>
    <t>requestBody.formData.statementOfProfitAndLoss.previousPL</t>
  </si>
  <si>
    <t>material to the subject matter of this form has been suppressed or concealed and is as per the original records</t>
  </si>
  <si>
    <t>requestBody.formData.statementOfProfitAndLoss.reasonForChangeInPL</t>
  </si>
  <si>
    <t>maintained by the company.</t>
  </si>
  <si>
    <t>requestBody.formData.statementOfProfitAndLoss.currentbasicEarningsPerEquityShareBeforeExtraordinaryItems</t>
  </si>
  <si>
    <t>requestBody.formData.statementOfProfitAndLoss.previousbasicEarningsPerEquityShareBeforeExtraordinaryItems</t>
  </si>
  <si>
    <t>2  All the required attachments have been completely and legibly attached to this form.</t>
  </si>
  <si>
    <t>requestBody.formData.statementOfProfitAndLoss.reasonForChangeInbasicEarningsPerEquityShareBeforeExtraordinaryItems</t>
  </si>
  <si>
    <t>requestBody.formData.statementOfProfitAndLoss.currentdilutedEarningsPerEquityShareBeforeExtraordinaryItems</t>
  </si>
  <si>
    <r>
      <rPr>
        <sz val="11"/>
        <color theme="1"/>
        <rFont val="Calibri"/>
        <family val="2"/>
        <scheme val="minor"/>
      </rPr>
      <t>*</t>
    </r>
    <r>
      <rPr>
        <b/>
        <sz val="11"/>
        <color theme="1"/>
        <rFont val="Calibri"/>
        <family val="2"/>
        <scheme val="minor"/>
      </rPr>
      <t>To be digitally signed by</t>
    </r>
  </si>
  <si>
    <t>DSC BOX</t>
  </si>
  <si>
    <t>requestBody.formData.statementOfProfitAndLoss.previousdilutedEarningsPerEquityShareBeforeExtraordinaryItems</t>
  </si>
  <si>
    <t>requestBody.formData.statementOfProfitAndLoss.reasonForChangeIndilutedEarningsPerEquityShareBeforeExtraordinaryItems</t>
  </si>
  <si>
    <t>*Designation</t>
  </si>
  <si>
    <t>requestBody.formData.statementOfProfitAndLoss.currentbasicEarningsPerEquityShareAfterExtraordinaryItems</t>
  </si>
  <si>
    <t xml:space="preserve">(Director/Manager/Secretary/CEO/CFO/Interim Resolution Professional (IRP)/ Resolution Professional </t>
  </si>
  <si>
    <t>requestBody.formData.statementOfProfitAndLoss.previousbasicEarningsPerEquityShareAfterExtraordinaryItems</t>
  </si>
  <si>
    <t>(RP)/Liquidator)</t>
  </si>
  <si>
    <t>requestBody.formData.statementOfProfitAndLoss.reasonForChangeInbasicEarningsPerEquityShareAfterExtraordinaryItems</t>
  </si>
  <si>
    <t>requestBody.formData.statementOfProfitAndLoss.currentdilutedEarningsPerEquityShareAfterExtraordinaryItems</t>
  </si>
  <si>
    <r>
      <rPr>
        <sz val="11"/>
        <color theme="1"/>
        <rFont val="Calibri"/>
        <family val="2"/>
        <scheme val="minor"/>
      </rPr>
      <t>*Director identification number of the director; or PAN of the manager or CEO or CFO or</t>
    </r>
  </si>
  <si>
    <t>requestBody.formData.statementOfProfitAndLoss.previousdilutedEarningsPerEquityShareAfterExtraordinaryItems</t>
  </si>
  <si>
    <r>
      <rPr>
        <sz val="11"/>
        <color theme="1"/>
        <rFont val="Calibri"/>
        <family val="2"/>
        <scheme val="minor"/>
      </rPr>
      <t xml:space="preserve">  Interim Resolution Professional (IRP) or Resolution Professional (RP) or Liquidator;</t>
    </r>
  </si>
  <si>
    <t>requestBody.formData.statementOfProfitAndLoss.reasonForChangeIndilutedEarningsPerEquityShareAfterExtraordinaryItems</t>
  </si>
  <si>
    <t xml:space="preserve">  or Membership number of the secretary</t>
  </si>
  <si>
    <t>requestBody.formData.detailedPL.earningInForex.type</t>
  </si>
  <si>
    <t>AOC-4 Earning Foreign Exchange</t>
  </si>
  <si>
    <t>requestBody.formData.detailedPL.earningInForex.currentexportOfGoodsCalculatedOnFOB</t>
  </si>
  <si>
    <t>Certificate by Practicing Professional</t>
  </si>
  <si>
    <t>requestBody.formData.detailedPL.earningInForex.previousexportOfGoodsCalculatedOnFOB</t>
  </si>
  <si>
    <t>requestBody.formData.detailedPL.earningInForex.reasonForChangeInexportOfGoodsCalculatedOnFOB</t>
  </si>
  <si>
    <t>I declare that I have been duly engaged for the purpose of certification of this form. It is hereby certified that I have gone</t>
  </si>
  <si>
    <t>requestBody.formData.detailedPL.earningInForex.currentinterestAndDividend</t>
  </si>
  <si>
    <t>through the provisions of the Companies Act, 2013 and Rules thereunder for the subject matter of this form and matters</t>
  </si>
  <si>
    <t>requestBody.formData.detailedPL.earningInForex.previousinterestAndDividend</t>
  </si>
  <si>
    <t>incidental thereto and I have verified the above particulars (including attachment(s)) from the original/certified records</t>
  </si>
  <si>
    <t>requestBody.formData.detailedPL.earningInForex.reasonForChangeIninterestAndDividend</t>
  </si>
  <si>
    <t>maintained by the Company/applicant which is subject matter of this form and found them to be true, correct and complete</t>
  </si>
  <si>
    <t>requestBody.formData.detailedPL.earningInForex.currentroyalty</t>
  </si>
  <si>
    <t>and no information material to this form has been suppressed. I further certify that:</t>
  </si>
  <si>
    <t>requestBody.formData.detailedPL.earningInForex.previousroyalty</t>
  </si>
  <si>
    <t>requestBody.formData.detailedPL.earningInForex.reasonForChangeInroyalty</t>
  </si>
  <si>
    <t>1  The said records have been properly prepared, signed by the required officers of the Company and maintained</t>
  </si>
  <si>
    <t>requestBody.formData.detailedPL.earningInForex.currentknowHow</t>
  </si>
  <si>
    <t>as per the relevant provisions of the Companies Act, 2013 and were found to be in order.</t>
  </si>
  <si>
    <t>requestBody.formData.detailedPL.earningInForex.previousknowHow</t>
  </si>
  <si>
    <t>requestBody.formData.detailedPL.earningInForex.reasonForChangeInknowHow</t>
  </si>
  <si>
    <t>requestBody.formData.detailedPL.earningInForex.currentprofessionalAndConsultionFees</t>
  </si>
  <si>
    <t>requestBody.formData.detailedPL.earningInForex.previousprofessionalAndConsultionFees</t>
  </si>
  <si>
    <t>3  It is understood that I shall be liable for action under Section 448 of the Companies Act, 2013 for wrong</t>
  </si>
  <si>
    <t>requestBody.formData.detailedPL.earningInForex.reasonForChangeInprofessionalAndConsultionFees</t>
  </si>
  <si>
    <t>certification, if any found at any stage.</t>
  </si>
  <si>
    <t>requestBody.formData.detailedPL.earningInForex.currentotherIncome</t>
  </si>
  <si>
    <t>requestBody.formData.detailedPL.earningInForex.previousotherIncome</t>
  </si>
  <si>
    <t>To be digitally signed by</t>
  </si>
  <si>
    <t>requestBody.formData.detailedPL.earningInForex.reasonForChangeInotherIncome</t>
  </si>
  <si>
    <t>requestBody.formData.detailedPL.earningInForex.currenttotal</t>
  </si>
  <si>
    <t>requestBody.formData.detailedPL.earningInForex.previoustotal</t>
  </si>
  <si>
    <t>requestBody.formData.detailedPL.earningInForex.reasonForChangeIntotal</t>
  </si>
  <si>
    <t>Whether associate or fellow:</t>
  </si>
  <si>
    <t>requestBody.formData.detailedPL.expenditureInForex.type</t>
  </si>
  <si>
    <t>AOC-4 Expense Foreign Exchange</t>
  </si>
  <si>
    <t>requestBody.formData.detailedPL.expenditureInForex.currentrawMaterial</t>
  </si>
  <si>
    <t>Membership number</t>
  </si>
  <si>
    <t>requestBody.formData.detailedPL.expenditureInForex.previousrawMaterial</t>
  </si>
  <si>
    <t>requestBody.formData.detailedPL.expenditureInForex.reasonForChangeInrawMaterial</t>
  </si>
  <si>
    <t>Certificate of practice number</t>
  </si>
  <si>
    <t>requestBody.formData.detailedPL.expenditureInForex.currentcomponentAndSpareParts</t>
  </si>
  <si>
    <t>requestBody.formData.detailedPL.expenditureInForex.previouscomponentAndSpareParts</t>
  </si>
  <si>
    <t>requestBody.formData.detailedPL.expenditureInForex.reasonForChangeIncomponentAndSpareParts</t>
  </si>
  <si>
    <t>requestBody.formData.detailedPL.expenditureInForex.currentcapitalGoods</t>
  </si>
  <si>
    <t>requestBody.formData.detailedPL.expenditureInForex.previouscapitalGoods</t>
  </si>
  <si>
    <t>requestBody.formData.detailedPL.expenditureInForex.reasonForChangeIncapitalGoods</t>
  </si>
  <si>
    <t>requestBody.formData.detailedPL.expenditureInForex.currentroyalty</t>
  </si>
  <si>
    <t>requestBody.formData.detailedPL.expenditureInForex.previousroyalty</t>
  </si>
  <si>
    <t>requestBody.formData.detailedPL.expenditureInForex.reasonForChangeInroyalty</t>
  </si>
  <si>
    <t>requestBody.formData.detailedPL.expenditureInForex.currentknowHow</t>
  </si>
  <si>
    <t>requestBody.formData.detailedPL.expenditureInForex.previousknowHow</t>
  </si>
  <si>
    <t>requestBody.formData.detailedPL.expenditureInForex.reasonForChangeInknowHow</t>
  </si>
  <si>
    <t>requestBody.formData.detailedPL.expenditureInForex.currentprofessionalAndConsultionFees</t>
  </si>
  <si>
    <t>requestBody.formData.detailedPL.expenditureInForex.previousprofessionalAndConsultionFees</t>
  </si>
  <si>
    <t>requestBody.formData.detailedPL.expenditureInForex.reasonForChangeInprofessionalAndConsultionFees</t>
  </si>
  <si>
    <t>requestBody.formData.detailedPL.expenditureInForex.currentinterest</t>
  </si>
  <si>
    <t>requestBody.formData.detailedPL.expenditureInForex.previousinterest</t>
  </si>
  <si>
    <t>requestBody.formData.detailedPL.expenditureInForex.reasonForChangeIninterest</t>
  </si>
  <si>
    <t>requestBody.formData.detailedPL.expenditureInForex.currentotherIncome</t>
  </si>
  <si>
    <t>requestBody.formData.detailedPL.expenditureInForex.previousotherIncome</t>
  </si>
  <si>
    <t>requestBody.formData.detailedPL.expenditureInForex.reasonForChangeInotherIncome</t>
  </si>
  <si>
    <t>requestBody.formData.detailedPL.expenditureInForex.currentdividendPaid</t>
  </si>
  <si>
    <t>requestBody.formData.detailedPL.expenditureInForex.previousdividendPaid</t>
  </si>
  <si>
    <t>requestBody.formData.detailedPL.expenditureInForex.reasonForChangeIndividendPaid</t>
  </si>
  <si>
    <t>requestBody.formData.detailedPL.expenditureInForex.currenttotal</t>
  </si>
  <si>
    <t>requestBody.formData.detailedPL.expenditureInForex.previoustotal</t>
  </si>
  <si>
    <t>requestBody.formData.detailedPL.expenditureInForex.reasonForChangeIntotal</t>
  </si>
  <si>
    <t>requestBody.formData.financialPM.proposedDividend</t>
  </si>
  <si>
    <t>requestBody.formData.financialPM.proposedDividendInPercent</t>
  </si>
  <si>
    <t>requestBody.formData.financialPM.basicEarningPerShare</t>
  </si>
  <si>
    <t>requestBody.formData.financialPM.diluted</t>
  </si>
  <si>
    <t>requestBody.formData.financialPM.incomeInForeignCurrency</t>
  </si>
  <si>
    <t>requestBody.formData.financialPM.expenditureInForeignCurrency</t>
  </si>
  <si>
    <t>requestBody.formData.financialPM.revenueSubsidies</t>
  </si>
  <si>
    <t>requestBody.formData.financialPM.rentPaid</t>
  </si>
  <si>
    <t>requestBody.formData.financialPM.consumptionOfStores</t>
  </si>
  <si>
    <t>requestBody.formData.financialPM.grossValueOfTransaction</t>
  </si>
  <si>
    <t>requestBody.formData.financialPM.badDebtOfRelatedParties</t>
  </si>
  <si>
    <t>requestBody.formData.financialPM.contributionUndersubsection182</t>
  </si>
  <si>
    <t>requestBody.formData.principalProducts.type</t>
  </si>
  <si>
    <t>AOC-4 PrincipalProductDetails</t>
  </si>
  <si>
    <t>requestBody.formData.principalProducts.totalNumberOfProduct</t>
  </si>
  <si>
    <t>requestBody.formData.relatedPartDetails</t>
  </si>
  <si>
    <t>requestBody.formData.auditorsReport.commentRecievedFromCAG</t>
  </si>
  <si>
    <t>I (a) In case of a government company, whether Comptroller and Auditor-General of India (CAG of India) has commented upon or supplemented the audit report under section 143 of the Companies Act, 2013</t>
  </si>
  <si>
    <t>requestBody.formData.auditorsReport.testAuditConducted</t>
  </si>
  <si>
    <t>(c) Whether Comptroller and Auditor-General of India has conducted supplementary or test audit under section 143</t>
  </si>
  <si>
    <t>requestBody.formData.auditorsReport.type</t>
  </si>
  <si>
    <t>AOC-4 CAG Report</t>
  </si>
  <si>
    <t>requestBody.formData.auditorsReport.auditorReport</t>
  </si>
  <si>
    <t>requestBody.formData.csrApplicability</t>
  </si>
  <si>
    <t>requestBody.formData.secretarialAudit.secretarialAuditApplicable</t>
  </si>
  <si>
    <t>requestBody.formData.secretarialAudit.secretarialAuditReportQualified</t>
  </si>
  <si>
    <t>requestBody.formData.secretarialAudit.numberOfObservation</t>
  </si>
  <si>
    <t>requestBody.formData.secretarialAudit.categoryOfSecretarialAuditor</t>
  </si>
  <si>
    <t>requestBody.formData.secretarialAudit.nameOfSecretarialAuditFirm</t>
  </si>
  <si>
    <t>requestBody.formData.secretarialAudit.firmsRegistrationNumber</t>
  </si>
  <si>
    <t>requestBody.formData.secretarialAudit.membershipNumberOfSecretarialAuditor</t>
  </si>
  <si>
    <t>requestBody.formData.secretarialAudit.certificateOfPracticeNumberOfSecretarialAuditor</t>
  </si>
  <si>
    <t>requestBody.formData.secretarialAudit.addressOfSecretarialAuditors</t>
  </si>
  <si>
    <t>requestBody.formData.secretarialAudit.PANOfSecretarialAuditors</t>
  </si>
  <si>
    <t>requestBody.formData.secretarialAudit.dateOfSigningSecretarialAuditReport</t>
  </si>
  <si>
    <t>requestBody.formData.resolutionNumber</t>
  </si>
  <si>
    <t>requestBody.formData.resolutionNumberDate</t>
  </si>
  <si>
    <t>requestBody.formData.designation</t>
  </si>
  <si>
    <t>requestBody.formData.identificationNumber</t>
  </si>
  <si>
    <t>requestBody.formData.membershipNumber</t>
  </si>
  <si>
    <t>requestBody.formData.declarationDigitallySignedBy</t>
  </si>
  <si>
    <t>requestBody.formData.certificateDigitallySignedBy</t>
  </si>
  <si>
    <t>requestBody.formData.certifiedBy</t>
  </si>
  <si>
    <t>requestBody.formData.associateOrFellow</t>
  </si>
  <si>
    <t>requestBody.formData.certificateOfPracticeNumber</t>
  </si>
</sst>
</file>

<file path=xl/styles.xml><?xml version="1.0" encoding="utf-8"?>
<styleSheet xmlns="http://schemas.openxmlformats.org/spreadsheetml/2006/main">
  <numFmts count="3">
    <numFmt numFmtId="177" formatCode="ggg&quot; &quot;dd\/mm\/yyyy"/>
    <numFmt numFmtId="178" formatCode="_ * #,##0.00_ ;_ * \-#,##0.00_ ;_ * &quot;-&quot;??_ ;_ @_ "/>
    <numFmt numFmtId="179" formatCode="[$-14009]dd\/mm\/yyyy;@"/>
  </numFmts>
  <fonts count="41">
    <font>
      <sz val="10"/>
      <color theme="1"/>
      <name val="Arial"/>
      <family val="2"/>
    </font>
    <font>
      <b/>
      <sz val="12"/>
      <color rgb="FF000000"/>
      <name val="Aptos Display"/>
      <family val="2"/>
    </font>
    <font>
      <sz val="11"/>
      <color theme="1"/>
      <name val="Aptos Narrow"/>
      <family val="2"/>
      <scheme val="minor"/>
    </font>
    <font>
      <sz val="12"/>
      <color rgb="FF000000"/>
      <name val="Aptos Display"/>
      <family val="2"/>
    </font>
    <font>
      <sz val="12"/>
      <color theme="1"/>
      <name val="Aptos Narrow"/>
      <family val="2"/>
      <scheme val="minor"/>
    </font>
    <font>
      <sz val="11"/>
      <color theme="1"/>
      <name val="Calibri"/>
      <family val="2"/>
      <scheme val="minor"/>
    </font>
    <font>
      <sz val="11"/>
      <color rgb="FF3F3F3F"/>
      <name val="Calibri"/>
      <family val="2"/>
      <scheme val="minor"/>
    </font>
    <font>
      <sz val="10"/>
      <color theme="1"/>
      <name val="Calibri"/>
      <family val="2"/>
      <scheme val="minor"/>
    </font>
    <font>
      <b/>
      <sz val="11"/>
      <color theme="1"/>
      <name val="Calibri"/>
      <family val="2"/>
      <scheme val="minor"/>
    </font>
    <font>
      <sz val="10"/>
      <color rgb="FF000000"/>
      <name val="Calibri"/>
      <family val="2"/>
      <scheme val="minor"/>
    </font>
    <font>
      <sz val="10"/>
      <name val="Calibri"/>
      <family val="2"/>
      <scheme val="minor"/>
    </font>
    <font>
      <sz val="10"/>
      <name val="Calibri"/>
      <family val="2"/>
    </font>
    <font>
      <b/>
      <sz val="9"/>
      <color rgb="FF000000"/>
      <name val="Calibri"/>
      <family val="2"/>
    </font>
    <font>
      <b/>
      <sz val="10"/>
      <color theme="1"/>
      <name val="Calibri"/>
      <family val="2"/>
      <scheme val="minor"/>
    </font>
    <font>
      <sz val="10"/>
      <color theme="1"/>
      <name val="Calibri bold"/>
      <family val="2"/>
    </font>
    <font>
      <i/>
      <sz val="11"/>
      <color theme="1"/>
      <name val="Calibri"/>
      <family val="2"/>
      <scheme val="minor"/>
    </font>
    <font>
      <sz val="11"/>
      <color rgb="FF000000"/>
      <name val="Calibri"/>
      <family val="2"/>
      <scheme val="minor"/>
    </font>
    <font>
      <b/>
      <sz val="11"/>
      <color rgb="FF000000"/>
      <name val="Calibri"/>
      <family val="2"/>
      <scheme val="minor"/>
    </font>
    <font>
      <b/>
      <sz val="11"/>
      <color rgb="FF3F3F3F"/>
      <name val="Calibri"/>
      <family val="2"/>
      <scheme val="minor"/>
    </font>
    <font>
      <sz val="11"/>
      <name val="Calibri"/>
      <family val="2"/>
      <scheme val="minor"/>
    </font>
    <font>
      <sz val="11"/>
      <color theme="1"/>
      <name val="Calibri bold"/>
      <family val="2"/>
    </font>
    <font>
      <sz val="8"/>
      <color theme="1"/>
      <name val="Calibri"/>
      <family val="2"/>
      <scheme val="minor"/>
    </font>
    <font>
      <sz val="11"/>
      <color rgb="FFFF0000"/>
      <name val="Calibri"/>
      <family val="2"/>
      <scheme val="minor"/>
    </font>
    <font>
      <b/>
      <sz val="10"/>
      <color rgb="FF000000"/>
      <name val="Calibri"/>
      <family val="2"/>
      <scheme val="minor"/>
    </font>
    <font>
      <b/>
      <i/>
      <sz val="12"/>
      <color rgb="FF000000"/>
      <name val="Calibri italic"/>
      <family val="2"/>
    </font>
    <font>
      <i/>
      <sz val="10"/>
      <color rgb="FF000000"/>
      <name val="Calibri italic"/>
      <family val="2"/>
    </font>
    <font>
      <sz val="11"/>
      <color theme="1"/>
      <name val="Calibri"/>
      <family val="2"/>
    </font>
    <font>
      <i/>
      <sz val="10"/>
      <color rgb="FF000000"/>
      <name val="Calibri"/>
      <family val="2"/>
      <scheme val="minor"/>
    </font>
    <font>
      <b/>
      <sz val="14"/>
      <color theme="1"/>
      <name val="Calibri"/>
      <family val="2"/>
      <scheme val="minor"/>
    </font>
    <font>
      <b/>
      <sz val="18"/>
      <color theme="1"/>
      <name val="Calibri"/>
      <family val="2"/>
      <scheme val="minor"/>
    </font>
    <font>
      <b/>
      <sz val="12"/>
      <color theme="1"/>
      <name val="Calibri"/>
      <family val="2"/>
      <scheme val="minor"/>
    </font>
    <font>
      <b/>
      <u val="single"/>
      <sz val="12"/>
      <color rgb="FF000000"/>
      <name val="Aptos Display"/>
      <family val="2"/>
    </font>
    <font>
      <b/>
      <u val="single"/>
      <sz val="14"/>
      <color rgb="FF000000"/>
      <name val="Aptos Display"/>
      <family val="2"/>
    </font>
    <font>
      <b/>
      <sz val="12"/>
      <color rgb="FF000000"/>
      <name val="Calibri"/>
      <family val="2"/>
    </font>
    <font>
      <b/>
      <sz val="11"/>
      <color rgb="FF000000"/>
      <name val="Calibri"/>
      <family val="2"/>
    </font>
    <font>
      <sz val="10"/>
      <color rgb="FF000000"/>
      <name val="Calibri"/>
      <family val="2"/>
    </font>
    <font>
      <sz val="9"/>
      <color rgb="FF000000"/>
      <name val="Calibri"/>
      <family val="2"/>
    </font>
    <font>
      <b/>
      <sz val="10"/>
      <name val="Calibri"/>
      <family val="2"/>
    </font>
    <font>
      <b/>
      <sz val="10"/>
      <color rgb="FF000000"/>
      <name val="Calibri"/>
      <family val="2"/>
    </font>
    <font>
      <b/>
      <sz val="12"/>
      <color rgb="FF000000"/>
      <name val="Times New Roman"/>
      <family val="1"/>
    </font>
    <font>
      <sz val="12"/>
      <color rgb="FF000000"/>
      <name val="Times New Roman"/>
      <family val="1"/>
    </font>
  </fonts>
  <fills count="17">
    <fill>
      <patternFill patternType="none"/>
    </fill>
    <fill>
      <patternFill patternType="gray125"/>
    </fill>
    <fill>
      <patternFill patternType="solid">
        <fgColor rgb="FFC1E5F5"/>
        <bgColor indexed="64"/>
      </patternFill>
    </fill>
    <fill>
      <patternFill patternType="solid">
        <fgColor rgb="FFFBE3D6"/>
        <bgColor indexed="64"/>
      </patternFill>
    </fill>
    <fill>
      <patternFill patternType="solid">
        <fgColor rgb="FFC2F1C8"/>
        <bgColor indexed="64"/>
      </patternFill>
    </fill>
    <fill>
      <patternFill patternType="solid">
        <fgColor theme="9" tint="0.7999799847602844"/>
        <bgColor indexed="64"/>
      </patternFill>
    </fill>
    <fill>
      <patternFill patternType="solid">
        <fgColor theme="5" tint="0.7999799847602844"/>
        <bgColor indexed="64"/>
      </patternFill>
    </fill>
    <fill>
      <patternFill patternType="solid">
        <fgColor rgb="FFF2F2F2"/>
        <bgColor indexed="64"/>
      </patternFill>
    </fill>
    <fill>
      <patternFill patternType="solid">
        <fgColor theme="0" tint="-0.04997999966144562"/>
        <bgColor indexed="64"/>
      </patternFill>
    </fill>
    <fill>
      <patternFill patternType="solid">
        <fgColor rgb="FFD9E2F3"/>
        <bgColor indexed="64"/>
      </patternFill>
    </fill>
    <fill>
      <patternFill patternType="solid">
        <fgColor theme="0"/>
        <bgColor indexed="64"/>
      </patternFill>
    </fill>
    <fill>
      <patternFill patternType="solid">
        <fgColor theme="3" tint="0.5999900102615356"/>
        <bgColor indexed="64"/>
      </patternFill>
    </fill>
    <fill>
      <patternFill patternType="solid">
        <fgColor rgb="FFCCFFFF"/>
        <bgColor indexed="64"/>
      </patternFill>
    </fill>
    <fill>
      <patternFill patternType="solid">
        <fgColor theme="2"/>
        <bgColor indexed="64"/>
      </patternFill>
    </fill>
    <fill>
      <patternFill patternType="solid">
        <fgColor theme="0" tint="-0.1499900072813034"/>
        <bgColor indexed="64"/>
      </patternFill>
    </fill>
    <fill>
      <patternFill patternType="solid">
        <fgColor rgb="FFE0FFFF"/>
        <bgColor indexed="64"/>
      </patternFill>
    </fill>
    <fill>
      <patternFill patternType="solid">
        <fgColor rgb="FFD3D3D3"/>
        <bgColor indexed="64"/>
      </patternFill>
    </fill>
  </fills>
  <borders count="47">
    <border>
      <left/>
      <right/>
      <top/>
      <bottom/>
      <diagonal/>
    </border>
    <border>
      <left style="thin">
        <color auto="1"/>
      </left>
      <right style="thin">
        <color auto="1"/>
      </right>
      <top style="thin">
        <color auto="1"/>
      </top>
      <bottom style="thin">
        <color auto="1"/>
      </bottom>
    </border>
    <border>
      <left style="thin">
        <color auto="1"/>
      </left>
      <right/>
      <top style="thin">
        <color auto="1"/>
      </top>
      <bottom/>
    </border>
    <border>
      <left/>
      <right style="thin">
        <color auto="1"/>
      </right>
      <top style="thin">
        <color auto="1"/>
      </top>
      <bottom/>
    </border>
    <border>
      <left style="thin">
        <color auto="1"/>
      </left>
      <right style="thin">
        <color auto="1"/>
      </right>
      <top style="thin">
        <color auto="1"/>
      </top>
      <bottom/>
    </border>
    <border>
      <left style="thin">
        <color auto="1"/>
      </left>
      <right style="thin">
        <color auto="1"/>
      </right>
      <top/>
      <bottom/>
    </border>
    <border>
      <left style="thin">
        <color auto="1"/>
      </left>
      <right style="thin">
        <color auto="1"/>
      </right>
      <top/>
      <bottom style="thin">
        <color auto="1"/>
      </bottom>
    </border>
    <border>
      <left style="thin">
        <color auto="1"/>
      </left>
      <right/>
      <top style="thin">
        <color auto="1"/>
      </top>
      <bottom style="thin">
        <color auto="1"/>
      </bottom>
    </border>
    <border>
      <left/>
      <right style="thin">
        <color auto="1"/>
      </right>
      <top style="thin">
        <color auto="1"/>
      </top>
      <bottom style="thin">
        <color auto="1"/>
      </bottom>
    </border>
    <border>
      <left style="thin">
        <color auto="1"/>
      </left>
      <right/>
      <top/>
      <bottom style="thin">
        <color auto="1"/>
      </bottom>
    </border>
    <border>
      <left style="thin">
        <color rgb="FF3F3F3F"/>
      </left>
      <right style="thin">
        <color rgb="FF3F3F3F"/>
      </right>
      <top style="thin">
        <color rgb="FF3F3F3F"/>
      </top>
      <bottom style="thin">
        <color rgb="FF3F3F3F"/>
      </bottom>
    </border>
    <border>
      <left/>
      <right/>
      <top style="thin">
        <color auto="1"/>
      </top>
      <bottom style="thin">
        <color auto="1"/>
      </bottom>
    </border>
    <border>
      <left/>
      <right/>
      <top style="thin">
        <color auto="1"/>
      </top>
      <bottom/>
    </border>
    <border>
      <left/>
      <right/>
      <top/>
      <bottom style="thin">
        <color auto="1"/>
      </bottom>
    </border>
    <border>
      <left/>
      <right style="thin">
        <color auto="1"/>
      </right>
      <top/>
      <bottom style="thin">
        <color auto="1"/>
      </bottom>
    </border>
    <border>
      <left style="thin">
        <color auto="1"/>
      </left>
      <right/>
      <top/>
      <bottom/>
    </border>
    <border>
      <left/>
      <right style="thin">
        <color auto="1"/>
      </right>
      <top/>
      <bottom/>
    </border>
    <border>
      <left/>
      <right style="thin">
        <color rgb="FF3F3F3F"/>
      </right>
      <top style="thin">
        <color auto="1"/>
      </top>
      <bottom style="thin">
        <color auto="1"/>
      </bottom>
    </border>
    <border>
      <left style="thin">
        <color auto="1"/>
      </left>
      <right/>
      <top style="thin">
        <color rgb="FF000000"/>
      </top>
      <bottom style="thin">
        <color auto="1"/>
      </bottom>
    </border>
    <border>
      <left style="thin">
        <color auto="1"/>
      </left>
      <right/>
      <top style="thin">
        <color rgb="FF000000"/>
      </top>
      <bottom style="thin">
        <color rgb="FF000000"/>
      </bottom>
    </border>
    <border>
      <left style="thin">
        <color rgb="FF000000"/>
      </left>
      <right/>
      <top style="thin">
        <color rgb="FF000000"/>
      </top>
      <bottom style="thin">
        <color rgb="FF000000"/>
      </bottom>
    </border>
    <border>
      <left style="thin">
        <color auto="1"/>
      </left>
      <right style="thin">
        <color rgb="FF000000"/>
      </right>
      <top style="thin">
        <color rgb="FF000000"/>
      </top>
      <bottom style="thin">
        <color rgb="FF000000"/>
      </bottom>
    </border>
    <border>
      <left/>
      <right/>
      <top/>
      <bottom style="thin">
        <color rgb="FF000000"/>
      </bottom>
    </border>
    <border>
      <left style="thin">
        <color auto="1"/>
      </left>
      <right/>
      <top style="thin">
        <color auto="1"/>
      </top>
      <bottom style="thin">
        <color rgb="FF000000"/>
      </bottom>
    </border>
    <border>
      <left/>
      <right/>
      <top style="thin">
        <color auto="1"/>
      </top>
      <bottom style="thin">
        <color rgb="FF000000"/>
      </bottom>
    </border>
    <border>
      <left/>
      <right style="thin">
        <color auto="1"/>
      </right>
      <top style="thin">
        <color auto="1"/>
      </top>
      <bottom style="thin">
        <color rgb="FF000000"/>
      </bottom>
    </border>
    <border>
      <left/>
      <right style="thin">
        <color auto="1"/>
      </right>
      <top/>
      <bottom style="thin">
        <color rgb="FF000000"/>
      </bottom>
    </border>
    <border>
      <left style="thin">
        <color auto="1"/>
      </left>
      <right/>
      <top style="thin">
        <color rgb="FF000000"/>
      </top>
      <bottom/>
    </border>
    <border>
      <left style="thin">
        <color rgb="FF000000"/>
      </left>
      <right/>
      <top style="thin">
        <color rgb="FF000000"/>
      </top>
      <bottom/>
    </border>
    <border>
      <left style="thin">
        <color rgb="FF000000"/>
      </left>
      <right/>
      <top style="thin">
        <color auto="1"/>
      </top>
      <bottom style="thin">
        <color rgb="FF000000"/>
      </bottom>
    </border>
    <border>
      <left style="thin">
        <color auto="1"/>
      </left>
      <right style="thin">
        <color rgb="FF000000"/>
      </right>
      <top style="thin">
        <color rgb="FF000000"/>
      </top>
      <bottom/>
    </border>
    <border>
      <left style="thin">
        <color auto="1"/>
      </left>
      <right style="thin">
        <color rgb="FF000000"/>
      </right>
      <top style="thin">
        <color auto="1"/>
      </top>
      <bottom style="thin">
        <color rgb="FF000000"/>
      </bottom>
    </border>
    <border>
      <left style="thin">
        <color auto="1"/>
      </left>
      <right style="thin">
        <color auto="1"/>
      </right>
      <top style="thin">
        <color rgb="FF000000"/>
      </top>
      <bottom style="thin">
        <color auto="1"/>
      </bottom>
    </border>
    <border>
      <left style="thin">
        <color auto="1"/>
      </left>
      <right style="thin">
        <color auto="1"/>
      </right>
      <top style="thin">
        <color rgb="FF000000"/>
      </top>
      <bottom style="thin">
        <color rgb="FF000000"/>
      </bottom>
    </border>
    <border>
      <left style="thin">
        <color rgb="FF000000"/>
      </left>
      <right style="thin">
        <color auto="1"/>
      </right>
      <top style="thin">
        <color rgb="FF000000"/>
      </top>
      <bottom style="thin">
        <color rgb="FF000000"/>
      </bottom>
    </border>
    <border>
      <left style="thin">
        <color auto="1"/>
      </left>
      <right style="thin">
        <color auto="1"/>
      </right>
      <top style="thin">
        <color auto="1"/>
      </top>
      <bottom style="thin">
        <color rgb="FF000000"/>
      </bottom>
    </border>
    <border>
      <left style="thin">
        <color rgb="FF000000"/>
      </left>
      <right style="thin">
        <color auto="1"/>
      </right>
      <top style="thin">
        <color rgb="FF000000"/>
      </top>
      <bottom style="thin">
        <color auto="1"/>
      </bottom>
    </border>
    <border>
      <left style="thin">
        <color rgb="FF000000"/>
      </left>
      <right style="thin">
        <color auto="1"/>
      </right>
      <top style="thin">
        <color auto="1"/>
      </top>
      <bottom style="thin">
        <color rgb="FF000000"/>
      </bottom>
    </border>
    <border>
      <left style="thin">
        <color auto="1"/>
      </left>
      <right style="thin">
        <color rgb="FF000000"/>
      </right>
      <top style="thin">
        <color rgb="FF000000"/>
      </top>
      <bottom style="thin">
        <color auto="1"/>
      </bottom>
    </border>
    <border>
      <left style="thin">
        <color auto="1"/>
      </left>
      <right/>
      <top/>
      <bottom style="thin">
        <color rgb="FF000000"/>
      </bottom>
    </border>
    <border>
      <left style="thin">
        <color rgb="FF000000"/>
      </left>
      <right/>
      <top style="thin">
        <color auto="1"/>
      </top>
      <bottom style="thin">
        <color auto="1"/>
      </bottom>
    </border>
    <border>
      <left style="thin">
        <color rgb="FF000000"/>
      </left>
      <right/>
      <top style="thin">
        <color rgb="FF000000"/>
      </top>
      <bottom style="thin">
        <color auto="1"/>
      </bottom>
    </border>
    <border>
      <left style="thin">
        <color rgb="FF000000"/>
      </left>
      <right style="thin">
        <color rgb="FF000000"/>
      </right>
      <top style="thin">
        <color rgb="FF000000"/>
      </top>
      <bottom style="thin">
        <color rgb="FF000000"/>
      </bottom>
    </border>
    <border>
      <left style="thin">
        <color rgb="FF3F3F3F"/>
      </left>
      <right style="thin">
        <color rgb="FF3F3F3F"/>
      </right>
      <top style="thin">
        <color rgb="FF000000"/>
      </top>
      <bottom style="thin">
        <color rgb="FF3F3F3F"/>
      </bottom>
    </border>
    <border>
      <left style="thin">
        <color rgb="FF3F3F3F"/>
      </left>
      <right style="thin">
        <color rgb="FF3F3F3F"/>
      </right>
      <top style="thin">
        <color rgb="FF000000"/>
      </top>
      <bottom style="thin">
        <color rgb="FF000000"/>
      </bottom>
    </border>
    <border>
      <left style="thin">
        <color rgb="FF000000"/>
      </left>
      <right style="thin">
        <color rgb="FF3F3F3F"/>
      </right>
      <top style="thin">
        <color rgb="FF000000"/>
      </top>
      <bottom style="thin">
        <color rgb="FF000000"/>
      </bottom>
    </border>
    <border>
      <left style="thin">
        <color rgb="FF3F3F3F"/>
      </left>
      <right style="thin">
        <color rgb="FF000000"/>
      </right>
      <top style="thin">
        <color rgb="FF000000"/>
      </top>
      <bottom style="thin">
        <color rgb="FF000000"/>
      </bottom>
    </border>
  </borders>
  <cellStyleXfs count="21">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0" fontId="18" fillId="7" borderId="10" applyNumberFormat="0" applyAlignment="0" applyProtection="0"/>
  </cellStyleXfs>
  <cellXfs count="794">
    <xf numFmtId="0" fontId="0" fillId="0" borderId="0" xfId="0"/>
    <xf numFmtId="0" fontId="2" fillId="0" borderId="0" xfId="0"/>
    <xf numFmtId="49" fontId="4" fillId="2" borderId="1" xfId="0" applyNumberFormat="1" applyFont="1" applyFill="1" applyBorder="1" applyAlignment="1">
      <alignment horizontal="left" vertical="top"/>
    </xf>
    <xf numFmtId="49" fontId="31" fillId="3" borderId="2" xfId="0" applyNumberFormat="1" applyFont="1" applyFill="1" applyBorder="1" applyAlignment="1">
      <alignment horizontal="center" vertical="center" wrapText="1"/>
    </xf>
    <xf numFmtId="49" fontId="31" fillId="3" borderId="3" xfId="0" applyNumberFormat="1" applyFont="1" applyFill="1" applyBorder="1" applyAlignment="1">
      <alignment horizontal="center" vertical="center" wrapText="1"/>
    </xf>
    <xf numFmtId="49" fontId="32" fillId="0" borderId="1" xfId="0" applyNumberFormat="1" applyFont="1" applyBorder="1" applyAlignment="1">
      <alignment vertical="center"/>
    </xf>
    <xf numFmtId="49" fontId="1" fillId="4" borderId="1" xfId="0" applyNumberFormat="1" applyFont="1" applyFill="1" applyBorder="1" applyAlignment="1">
      <alignment horizontal="right" vertical="top" wrapText="1"/>
    </xf>
    <xf numFmtId="49" fontId="3" fillId="4" borderId="1" xfId="0" applyNumberFormat="1" applyFont="1" applyFill="1" applyBorder="1" applyAlignment="1">
      <alignment vertical="top" wrapText="1"/>
    </xf>
    <xf numFmtId="49" fontId="1" fillId="4" borderId="4" xfId="0" applyNumberFormat="1" applyFont="1" applyFill="1" applyBorder="1" applyAlignment="1">
      <alignment horizontal="right" vertical="top" wrapText="1"/>
    </xf>
    <xf numFmtId="49" fontId="1" fillId="4" borderId="5" xfId="0" applyNumberFormat="1" applyFont="1" applyFill="1" applyBorder="1" applyAlignment="1">
      <alignment horizontal="right" vertical="top" wrapText="1"/>
    </xf>
    <xf numFmtId="49" fontId="1" fillId="4" borderId="6" xfId="0" applyNumberFormat="1" applyFont="1" applyFill="1" applyBorder="1" applyAlignment="1">
      <alignment horizontal="right" vertical="top" wrapText="1"/>
    </xf>
    <xf numFmtId="49" fontId="3" fillId="4" borderId="1" xfId="0" applyNumberFormat="1" applyFont="1" applyFill="1" applyBorder="1" applyAlignment="1" quotePrefix="1">
      <alignment vertical="top" wrapText="1"/>
    </xf>
    <xf numFmtId="49" fontId="31" fillId="3" borderId="7" xfId="0" applyNumberFormat="1" applyFont="1" applyFill="1" applyBorder="1" applyAlignment="1">
      <alignment horizontal="center" vertical="center" wrapText="1"/>
    </xf>
    <xf numFmtId="49" fontId="31" fillId="3" borderId="8" xfId="0" applyNumberFormat="1" applyFont="1" applyFill="1" applyBorder="1" applyAlignment="1">
      <alignment horizontal="center" vertical="center" wrapText="1"/>
    </xf>
    <xf numFmtId="49" fontId="1" fillId="2" borderId="6" xfId="0" applyNumberFormat="1" applyFont="1" applyFill="1" applyBorder="1" applyAlignment="1">
      <alignment horizontal="right" vertical="top" wrapText="1"/>
    </xf>
    <xf numFmtId="49" fontId="3" fillId="2" borderId="1" xfId="0" applyNumberFormat="1" applyFont="1" applyFill="1" applyBorder="1" applyAlignment="1">
      <alignment vertical="top" wrapText="1"/>
    </xf>
    <xf numFmtId="49" fontId="1" fillId="2" borderId="9" xfId="0" applyNumberFormat="1" applyFont="1" applyFill="1" applyBorder="1" applyAlignment="1">
      <alignment horizontal="right" vertical="top" wrapText="1"/>
    </xf>
    <xf numFmtId="49" fontId="4" fillId="0" borderId="1" xfId="0" applyNumberFormat="1" applyFont="1" applyBorder="1" applyAlignment="1">
      <alignment horizontal="left" vertical="top"/>
    </xf>
    <xf numFmtId="49" fontId="2" fillId="0" borderId="1" xfId="0" applyNumberFormat="1" applyBorder="1" applyAlignment="1">
      <alignment horizontal="left" vertical="top"/>
    </xf>
    <xf numFmtId="49" fontId="2" fillId="0" borderId="1" xfId="0" applyNumberFormat="1" applyBorder="1"/>
    <xf numFmtId="49" fontId="2" fillId="0" borderId="1" xfId="0" applyNumberFormat="1" applyBorder="1" applyAlignment="1">
      <alignment wrapText="1"/>
    </xf>
    <xf numFmtId="0" fontId="5" fillId="0" borderId="0" xfId="0"/>
    <xf numFmtId="0" fontId="5" fillId="0" borderId="0" xfId="0" applyProtection="1">
      <protection hidden="1"/>
    </xf>
    <xf numFmtId="0" fontId="30" fillId="0" borderId="0" xfId="0" applyFont="1" applyProtection="1">
      <protection hidden="1"/>
    </xf>
    <xf numFmtId="0" fontId="8" fillId="0" borderId="0" xfId="0" applyFont="1" applyProtection="1">
      <protection hidden="1"/>
    </xf>
    <xf numFmtId="0" fontId="8" fillId="0" borderId="0" xfId="0" applyFont="1"/>
    <xf numFmtId="0" fontId="29" fillId="0" borderId="0" xfId="0" applyFont="1"/>
    <xf numFmtId="0" fontId="28" fillId="0" borderId="0" xfId="0" applyFont="1"/>
    <xf numFmtId="0" fontId="28" fillId="0" borderId="0" xfId="0" applyFont="1" applyAlignment="1">
      <alignment horizontal="center"/>
    </xf>
    <xf numFmtId="0" fontId="5" fillId="0" borderId="0" xfId="0" applyAlignment="1">
      <alignment horizontal="left" vertical="top"/>
    </xf>
    <xf numFmtId="0" fontId="5" fillId="5" borderId="0" xfId="0" applyFill="1"/>
    <xf numFmtId="0" fontId="5" fillId="0" borderId="0" xfId="0" applyAlignment="1">
      <alignment wrapText="1"/>
    </xf>
    <xf numFmtId="0" fontId="5" fillId="6" borderId="0" xfId="0" applyFill="1" applyProtection="1">
      <protection hidden="1"/>
    </xf>
    <xf numFmtId="0" fontId="5" fillId="0" borderId="0" xfId="0" applyAlignment="1">
      <alignment vertical="top" wrapText="1"/>
    </xf>
    <xf numFmtId="0" fontId="27" fillId="0" borderId="0" xfId="0" applyFont="1"/>
    <xf numFmtId="0" fontId="26" fillId="0" borderId="0" xfId="0" applyFont="1" applyAlignment="1" applyProtection="1">
      <alignment vertical="center"/>
      <protection hidden="1"/>
    </xf>
    <xf numFmtId="0" fontId="25" fillId="0" borderId="0" xfId="0" applyFont="1" applyAlignment="1">
      <alignment horizontal="left" vertical="top" wrapText="1"/>
    </xf>
    <xf numFmtId="0" fontId="24" fillId="0" borderId="0" xfId="0" applyFont="1" applyAlignment="1">
      <alignment horizontal="left" vertical="center" wrapText="1"/>
    </xf>
    <xf numFmtId="0" fontId="23" fillId="0" borderId="0" xfId="0" applyFont="1"/>
    <xf numFmtId="0" fontId="5" fillId="6" borderId="0" xfId="0" applyFill="1"/>
    <xf numFmtId="49" fontId="9" fillId="0" borderId="0" xfId="0" applyNumberFormat="1" applyFont="1" applyAlignment="1">
      <alignment horizontal="left" vertical="top"/>
    </xf>
    <xf numFmtId="0" fontId="9" fillId="0" borderId="0" xfId="0" applyFont="1" applyAlignment="1">
      <alignment horizontal="left" vertical="top"/>
    </xf>
    <xf numFmtId="49" fontId="9" fillId="0" borderId="0" xfId="0" applyNumberFormat="1" applyFont="1" applyAlignment="1">
      <alignment horizontal="left" vertical="top" wrapText="1"/>
    </xf>
    <xf numFmtId="0" fontId="9" fillId="0" borderId="0" xfId="0" applyFont="1" applyAlignment="1">
      <alignment horizontal="left" vertical="top" wrapText="1"/>
    </xf>
    <xf numFmtId="0" fontId="18" fillId="8" borderId="7" xfId="20" applyFill="1" applyBorder="1" applyAlignment="1" applyProtection="1">
      <alignment horizontal="left" vertical="top"/>
      <protection/>
    </xf>
    <xf numFmtId="0" fontId="18" fillId="8" borderId="11" xfId="20" applyFill="1" applyBorder="1" applyAlignment="1" applyProtection="1">
      <alignment horizontal="left" vertical="top"/>
      <protection/>
    </xf>
    <xf numFmtId="0" fontId="18" fillId="8" borderId="8" xfId="20" applyFill="1" applyBorder="1" applyAlignment="1" applyProtection="1">
      <alignment horizontal="left" vertical="top"/>
      <protection/>
    </xf>
    <xf numFmtId="0" fontId="18" fillId="8" borderId="7" xfId="20" applyNumberFormat="1" applyFill="1" applyBorder="1" applyAlignment="1" applyProtection="1">
      <alignment horizontal="right" vertical="top"/>
      <protection/>
    </xf>
    <xf numFmtId="0" fontId="18" fillId="8" borderId="11" xfId="20" applyNumberFormat="1" applyFill="1" applyBorder="1" applyAlignment="1" applyProtection="1">
      <alignment horizontal="right" vertical="top"/>
      <protection/>
    </xf>
    <xf numFmtId="0" fontId="18" fillId="8" borderId="8" xfId="20" applyNumberFormat="1" applyFill="1" applyBorder="1" applyAlignment="1" applyProtection="1">
      <alignment horizontal="right" vertical="top"/>
      <protection/>
    </xf>
    <xf numFmtId="0" fontId="18" fillId="7" borderId="7" xfId="20" applyBorder="1" applyAlignment="1" applyProtection="1">
      <alignment horizontal="right" vertical="top"/>
      <protection/>
    </xf>
    <xf numFmtId="0" fontId="18" fillId="7" borderId="11" xfId="20" applyBorder="1" applyAlignment="1" applyProtection="1">
      <alignment horizontal="right" vertical="top"/>
      <protection/>
    </xf>
    <xf numFmtId="0" fontId="18" fillId="7" borderId="8" xfId="20" applyBorder="1" applyAlignment="1" applyProtection="1">
      <alignment horizontal="right" vertical="top"/>
      <protection/>
    </xf>
    <xf numFmtId="0" fontId="5" fillId="0" borderId="0" xfId="0" applyAlignment="1">
      <alignment horizontal="center"/>
    </xf>
    <xf numFmtId="0" fontId="9" fillId="0" borderId="0" xfId="0" applyFont="1" applyAlignment="1">
      <alignment vertical="top"/>
    </xf>
    <xf numFmtId="49" fontId="9" fillId="0" borderId="0" xfId="0" applyNumberFormat="1" applyFont="1" applyAlignment="1">
      <alignment horizontal="left"/>
    </xf>
    <xf numFmtId="0" fontId="9" fillId="0" borderId="0" xfId="0" applyFont="1" applyAlignment="1">
      <alignment vertical="top" wrapText="1"/>
    </xf>
    <xf numFmtId="0" fontId="18" fillId="7" borderId="1" xfId="20" applyBorder="1" applyAlignment="1" applyProtection="1">
      <alignment horizontal="left" vertical="top" wrapText="1"/>
      <protection/>
    </xf>
    <xf numFmtId="0" fontId="18" fillId="7" borderId="2" xfId="20" applyBorder="1" applyAlignment="1" applyProtection="1">
      <alignment horizontal="left" vertical="top" wrapText="1"/>
      <protection/>
    </xf>
    <xf numFmtId="0" fontId="18" fillId="7" borderId="12" xfId="20" applyBorder="1" applyAlignment="1" applyProtection="1">
      <alignment horizontal="left" vertical="top" wrapText="1"/>
      <protection/>
    </xf>
    <xf numFmtId="0" fontId="18" fillId="7" borderId="3" xfId="20" applyBorder="1" applyAlignment="1" applyProtection="1">
      <alignment horizontal="left" vertical="top" wrapText="1"/>
      <protection/>
    </xf>
    <xf numFmtId="0" fontId="18" fillId="7" borderId="7" xfId="20" applyBorder="1" applyAlignment="1" applyProtection="1">
      <alignment horizontal="left"/>
      <protection/>
    </xf>
    <xf numFmtId="0" fontId="18" fillId="7" borderId="11" xfId="20" applyBorder="1" applyAlignment="1" applyProtection="1">
      <alignment horizontal="left"/>
      <protection/>
    </xf>
    <xf numFmtId="0" fontId="18" fillId="7" borderId="8" xfId="20" applyBorder="1" applyAlignment="1" applyProtection="1">
      <alignment horizontal="left"/>
      <protection/>
    </xf>
    <xf numFmtId="49" fontId="5" fillId="0" borderId="0" xfId="0" applyNumberFormat="1"/>
    <xf numFmtId="0" fontId="18" fillId="7" borderId="9" xfId="20" applyBorder="1" applyAlignment="1" applyProtection="1">
      <alignment horizontal="left" vertical="top" wrapText="1"/>
      <protection/>
    </xf>
    <xf numFmtId="0" fontId="18" fillId="7" borderId="13" xfId="20" applyBorder="1" applyAlignment="1" applyProtection="1">
      <alignment horizontal="left" vertical="top" wrapText="1"/>
      <protection/>
    </xf>
    <xf numFmtId="0" fontId="18" fillId="7" borderId="14" xfId="20" applyBorder="1" applyAlignment="1" applyProtection="1">
      <alignment horizontal="left" vertical="top" wrapText="1"/>
      <protection/>
    </xf>
    <xf numFmtId="49" fontId="7" fillId="0" borderId="0" xfId="0" applyNumberFormat="1" applyFont="1" applyAlignment="1">
      <alignment horizontal="left" vertical="top"/>
    </xf>
    <xf numFmtId="0" fontId="7" fillId="0" borderId="0" xfId="0" applyFont="1" applyAlignment="1">
      <alignment horizontal="left" vertical="top"/>
    </xf>
    <xf numFmtId="0" fontId="7" fillId="0" borderId="0" xfId="0" applyFont="1" applyAlignment="1">
      <alignment horizontal="left"/>
    </xf>
    <xf numFmtId="14" fontId="5" fillId="0" borderId="0" xfId="0" applyNumberFormat="1"/>
    <xf numFmtId="0" fontId="9" fillId="0" borderId="0" xfId="0" applyFont="1" applyAlignment="1">
      <alignment horizontal="left"/>
    </xf>
    <xf numFmtId="179" fontId="5" fillId="0" borderId="0" xfId="0" applyNumberFormat="1"/>
    <xf numFmtId="49" fontId="18" fillId="7" borderId="7" xfId="20" applyNumberFormat="1" applyBorder="1" applyAlignment="1" applyProtection="1">
      <alignment horizontal="left" vertical="top"/>
      <protection/>
    </xf>
    <xf numFmtId="49" fontId="18" fillId="7" borderId="11" xfId="20" applyNumberFormat="1" applyBorder="1" applyAlignment="1" applyProtection="1">
      <alignment horizontal="left" vertical="top"/>
      <protection/>
    </xf>
    <xf numFmtId="49" fontId="18" fillId="7" borderId="8" xfId="20" applyNumberFormat="1" applyBorder="1" applyAlignment="1" applyProtection="1">
      <alignment horizontal="left" vertical="top"/>
      <protection/>
    </xf>
    <xf numFmtId="49" fontId="7" fillId="0" borderId="0" xfId="0" applyNumberFormat="1" applyFont="1" applyAlignment="1">
      <alignment horizontal="left" vertical="top" wrapText="1"/>
    </xf>
    <xf numFmtId="0" fontId="7" fillId="0" borderId="0" xfId="0" applyFont="1" applyAlignment="1">
      <alignment horizontal="left" vertical="top" wrapText="1"/>
    </xf>
    <xf numFmtId="0" fontId="7" fillId="0" borderId="0" xfId="0" applyFont="1"/>
    <xf numFmtId="49" fontId="9" fillId="0" borderId="0" xfId="0" applyNumberFormat="1" applyFont="1" applyAlignment="1">
      <alignment vertical="top"/>
    </xf>
    <xf numFmtId="0" fontId="5" fillId="0" borderId="0" xfId="0" quotePrefix="1"/>
    <xf numFmtId="0" fontId="18" fillId="7" borderId="7" xfId="20" applyBorder="1" applyAlignment="1" applyProtection="1">
      <alignment horizontal="left" vertical="top"/>
      <protection/>
    </xf>
    <xf numFmtId="0" fontId="18" fillId="7" borderId="11" xfId="20" applyBorder="1" applyAlignment="1" applyProtection="1">
      <alignment horizontal="left" vertical="top"/>
      <protection/>
    </xf>
    <xf numFmtId="0" fontId="18" fillId="7" borderId="8" xfId="20" applyBorder="1" applyAlignment="1" applyProtection="1">
      <alignment horizontal="left" vertical="top"/>
      <protection/>
    </xf>
    <xf numFmtId="49" fontId="7" fillId="0" borderId="0" xfId="0" applyNumberFormat="1" applyFont="1" applyAlignment="1">
      <alignment horizontal="left"/>
    </xf>
    <xf numFmtId="49" fontId="11" fillId="0" borderId="0" xfId="0" applyNumberFormat="1" applyFont="1" applyAlignment="1">
      <alignment horizontal="left" vertical="center" wrapText="1"/>
    </xf>
    <xf numFmtId="49" fontId="5" fillId="0" borderId="13" xfId="0" applyNumberFormat="1" applyBorder="1" applyAlignment="1">
      <alignment horizontal="left" vertical="center"/>
    </xf>
    <xf numFmtId="0" fontId="5" fillId="5" borderId="0" xfId="0" applyFill="1" applyProtection="1">
      <protection hidden="1"/>
    </xf>
    <xf numFmtId="49" fontId="5" fillId="0" borderId="0" xfId="0" applyNumberFormat="1" applyAlignment="1">
      <alignment horizontal="left" vertical="top"/>
    </xf>
    <xf numFmtId="0" fontId="18" fillId="7" borderId="7" xfId="20" applyNumberFormat="1" applyBorder="1" applyAlignment="1" applyProtection="1">
      <alignment horizontal="left" vertical="top"/>
      <protection/>
    </xf>
    <xf numFmtId="0" fontId="18" fillId="7" borderId="11" xfId="20" applyNumberFormat="1" applyBorder="1" applyAlignment="1" applyProtection="1">
      <alignment horizontal="left" vertical="top"/>
      <protection/>
    </xf>
    <xf numFmtId="0" fontId="18" fillId="7" borderId="8" xfId="20" applyNumberFormat="1" applyBorder="1" applyAlignment="1" applyProtection="1">
      <alignment horizontal="left" vertical="top"/>
      <protection/>
    </xf>
    <xf numFmtId="49" fontId="5" fillId="0" borderId="0" xfId="0" applyNumberFormat="1" applyProtection="1">
      <protection hidden="1"/>
    </xf>
    <xf numFmtId="0" fontId="7" fillId="0" borderId="0" xfId="0" applyFont="1" applyAlignment="1">
      <alignment horizontal="left" wrapText="1"/>
    </xf>
    <xf numFmtId="0" fontId="8" fillId="0" borderId="0" xfId="0" applyFont="1" applyAlignment="1">
      <alignment horizontal="left" vertical="top"/>
    </xf>
    <xf numFmtId="49" fontId="7" fillId="0" borderId="0" xfId="0" applyNumberFormat="1" applyFont="1" applyAlignment="1">
      <alignment horizontal="left" wrapText="1"/>
    </xf>
    <xf numFmtId="0" fontId="12" fillId="9" borderId="1" xfId="0" applyFont="1" applyFill="1" applyBorder="1" applyAlignment="1">
      <alignment horizontal="center" vertical="center" wrapText="1"/>
    </xf>
    <xf numFmtId="0" fontId="18" fillId="7" borderId="1" xfId="20" applyBorder="1" applyAlignment="1" applyProtection="1">
      <alignment horizontal="left"/>
      <protection/>
    </xf>
    <xf numFmtId="0" fontId="18" fillId="7" borderId="1" xfId="20" applyBorder="1" applyAlignment="1" applyProtection="1">
      <alignment horizontal="left" vertical="top"/>
      <protection/>
    </xf>
    <xf numFmtId="0" fontId="18" fillId="7" borderId="1" xfId="20" applyBorder="1" applyAlignment="1" applyProtection="1">
      <alignment/>
      <protection/>
    </xf>
    <xf numFmtId="49" fontId="5" fillId="0" borderId="0" xfId="0" applyNumberFormat="1" applyAlignment="1">
      <alignment horizontal="left"/>
    </xf>
    <xf numFmtId="0" fontId="5" fillId="0" borderId="0" xfId="0" applyAlignment="1">
      <alignment horizontal="left"/>
    </xf>
    <xf numFmtId="0" fontId="7" fillId="0" borderId="0" xfId="0" applyFont="1" applyAlignment="1">
      <alignment vertical="top"/>
    </xf>
    <xf numFmtId="177" fontId="18" fillId="7" borderId="7" xfId="20" applyNumberFormat="1" applyBorder="1" applyAlignment="1" applyProtection="1">
      <alignment horizontal="left" vertical="top"/>
      <protection/>
    </xf>
    <xf numFmtId="177" fontId="18" fillId="7" borderId="11" xfId="20" applyNumberFormat="1" applyBorder="1" applyAlignment="1" applyProtection="1">
      <alignment horizontal="left" vertical="top"/>
      <protection/>
    </xf>
    <xf numFmtId="177" fontId="18" fillId="7" borderId="8" xfId="20" applyNumberFormat="1" applyBorder="1" applyAlignment="1" applyProtection="1">
      <alignment horizontal="left" vertical="top"/>
      <protection/>
    </xf>
    <xf numFmtId="0" fontId="18" fillId="7" borderId="7" xfId="20" applyNumberFormat="1" applyBorder="1" applyAlignment="1" applyProtection="1">
      <alignment horizontal="left" vertical="top" wrapText="1"/>
      <protection/>
    </xf>
    <xf numFmtId="0" fontId="18" fillId="7" borderId="11" xfId="20" applyNumberFormat="1" applyBorder="1" applyAlignment="1" applyProtection="1">
      <alignment horizontal="left" vertical="top" wrapText="1"/>
      <protection/>
    </xf>
    <xf numFmtId="0" fontId="18" fillId="7" borderId="8" xfId="20" applyNumberFormat="1" applyBorder="1" applyAlignment="1" applyProtection="1">
      <alignment horizontal="left" vertical="top" wrapText="1"/>
      <protection/>
    </xf>
    <xf numFmtId="49" fontId="18" fillId="7" borderId="7" xfId="20" applyNumberFormat="1" applyBorder="1" applyAlignment="1" applyProtection="1">
      <alignment horizontal="left" vertical="top" wrapText="1"/>
      <protection/>
    </xf>
    <xf numFmtId="49" fontId="18" fillId="7" borderId="11" xfId="20" applyNumberFormat="1" applyBorder="1" applyAlignment="1" applyProtection="1">
      <alignment horizontal="left" vertical="top" wrapText="1"/>
      <protection/>
    </xf>
    <xf numFmtId="49" fontId="18" fillId="7" borderId="8" xfId="20" applyNumberFormat="1" applyBorder="1" applyAlignment="1" applyProtection="1">
      <alignment horizontal="left" vertical="top" wrapText="1"/>
      <protection/>
    </xf>
    <xf numFmtId="0" fontId="18" fillId="10" borderId="7" xfId="20" applyNumberFormat="1" applyFill="1" applyBorder="1" applyAlignment="1" applyProtection="1">
      <alignment horizontal="left" vertical="top"/>
      <protection/>
    </xf>
    <xf numFmtId="0" fontId="18" fillId="10" borderId="11" xfId="20" applyNumberFormat="1" applyFill="1" applyBorder="1" applyAlignment="1" applyProtection="1">
      <alignment horizontal="left" vertical="top"/>
      <protection/>
    </xf>
    <xf numFmtId="0" fontId="18" fillId="10" borderId="8" xfId="20" applyNumberFormat="1" applyFill="1" applyBorder="1" applyAlignment="1" applyProtection="1">
      <alignment horizontal="left" vertical="top"/>
      <protection/>
    </xf>
    <xf numFmtId="0" fontId="5" fillId="0" borderId="0" xfId="0" applyAlignment="1">
      <alignment horizontal="left" vertical="center"/>
    </xf>
    <xf numFmtId="49" fontId="7" fillId="0" borderId="0" xfId="0" applyNumberFormat="1" applyFont="1" applyAlignment="1">
      <alignment horizontal="left" vertical="center"/>
    </xf>
    <xf numFmtId="49" fontId="5" fillId="0" borderId="0" xfId="0" applyNumberFormat="1" applyAlignment="1">
      <alignment horizontal="left" vertical="center"/>
    </xf>
    <xf numFmtId="0" fontId="18" fillId="7" borderId="7" xfId="20" applyNumberFormat="1" applyBorder="1" applyAlignment="1" applyProtection="1">
      <alignment horizontal="right" vertical="top"/>
      <protection/>
    </xf>
    <xf numFmtId="0" fontId="18" fillId="7" borderId="11" xfId="20" applyNumberFormat="1" applyBorder="1" applyAlignment="1" applyProtection="1">
      <alignment horizontal="right" vertical="top"/>
      <protection/>
    </xf>
    <xf numFmtId="0" fontId="18" fillId="7" borderId="8" xfId="20" applyNumberFormat="1" applyBorder="1" applyAlignment="1" applyProtection="1">
      <alignment horizontal="right" vertical="top"/>
      <protection/>
    </xf>
    <xf numFmtId="0" fontId="5" fillId="0" borderId="2" xfId="0" applyBorder="1"/>
    <xf numFmtId="0" fontId="5" fillId="0" borderId="12" xfId="0" applyBorder="1"/>
    <xf numFmtId="0" fontId="5" fillId="0" borderId="12" xfId="0" applyBorder="1" applyAlignment="1">
      <alignment horizontal="left"/>
    </xf>
    <xf numFmtId="0" fontId="5" fillId="0" borderId="3" xfId="0" applyBorder="1"/>
    <xf numFmtId="49" fontId="7" fillId="0" borderId="15" xfId="0" applyNumberFormat="1" applyFont="1" applyBorder="1" applyAlignment="1">
      <alignment horizontal="left" vertical="top"/>
    </xf>
    <xf numFmtId="0" fontId="5" fillId="0" borderId="16" xfId="0" applyBorder="1"/>
    <xf numFmtId="0" fontId="18" fillId="7" borderId="11" xfId="20" applyBorder="1" applyAlignment="1" applyProtection="1">
      <alignment vertical="top"/>
      <protection/>
    </xf>
    <xf numFmtId="0" fontId="5" fillId="0" borderId="15" xfId="0" applyBorder="1"/>
    <xf numFmtId="49" fontId="7" fillId="0" borderId="15" xfId="0" applyNumberFormat="1" applyFont="1" applyBorder="1" applyAlignment="1">
      <alignment horizontal="left" vertical="top" wrapText="1"/>
    </xf>
    <xf numFmtId="0" fontId="18" fillId="7" borderId="2" xfId="20" applyNumberFormat="1" applyBorder="1" applyAlignment="1" applyProtection="1">
      <alignment horizontal="left" vertical="top" wrapText="1"/>
      <protection/>
    </xf>
    <xf numFmtId="0" fontId="18" fillId="7" borderId="12" xfId="20" applyNumberFormat="1" applyBorder="1" applyAlignment="1" applyProtection="1">
      <alignment horizontal="left" vertical="top" wrapText="1"/>
      <protection/>
    </xf>
    <xf numFmtId="0" fontId="18" fillId="7" borderId="3" xfId="20" applyNumberFormat="1" applyBorder="1" applyAlignment="1" applyProtection="1">
      <alignment horizontal="left" vertical="top" wrapText="1"/>
      <protection/>
    </xf>
    <xf numFmtId="0" fontId="18" fillId="7" borderId="9" xfId="20" applyNumberFormat="1" applyBorder="1" applyAlignment="1" applyProtection="1">
      <alignment horizontal="left" vertical="top" wrapText="1"/>
      <protection/>
    </xf>
    <xf numFmtId="0" fontId="18" fillId="7" borderId="13" xfId="20" applyNumberFormat="1" applyBorder="1" applyAlignment="1" applyProtection="1">
      <alignment horizontal="left" vertical="top" wrapText="1"/>
      <protection/>
    </xf>
    <xf numFmtId="0" fontId="18" fillId="7" borderId="14" xfId="20" applyNumberFormat="1" applyBorder="1" applyAlignment="1" applyProtection="1">
      <alignment horizontal="left" vertical="top" wrapText="1"/>
      <protection/>
    </xf>
    <xf numFmtId="49" fontId="7" fillId="0" borderId="15" xfId="0" applyNumberFormat="1" applyFont="1" applyBorder="1" applyAlignment="1">
      <alignment horizontal="left"/>
    </xf>
    <xf numFmtId="49" fontId="7" fillId="0" borderId="15" xfId="0" applyNumberFormat="1" applyFont="1" applyBorder="1"/>
    <xf numFmtId="0" fontId="22" fillId="0" borderId="0" xfId="0" applyFont="1"/>
    <xf numFmtId="0" fontId="5" fillId="0" borderId="9" xfId="0" applyBorder="1"/>
    <xf numFmtId="0" fontId="5" fillId="0" borderId="13" xfId="0" applyBorder="1"/>
    <xf numFmtId="0" fontId="5" fillId="0" borderId="14" xfId="0" applyBorder="1"/>
    <xf numFmtId="0" fontId="20" fillId="0" borderId="0" xfId="0" applyFont="1" applyAlignment="1">
      <alignment horizontal="left"/>
    </xf>
    <xf numFmtId="49" fontId="10" fillId="0" borderId="0" xfId="0" applyNumberFormat="1" applyFont="1" applyAlignment="1">
      <alignment horizontal="left" vertical="top"/>
    </xf>
    <xf numFmtId="49" fontId="19" fillId="0" borderId="0" xfId="0" applyNumberFormat="1" applyFont="1" applyAlignment="1">
      <alignment horizontal="left" vertical="top"/>
    </xf>
    <xf numFmtId="0" fontId="6" fillId="7" borderId="7" xfId="20" applyFont="1" applyBorder="1" applyAlignment="1" applyProtection="1">
      <alignment horizontal="left" vertical="top"/>
      <protection/>
    </xf>
    <xf numFmtId="0" fontId="6" fillId="7" borderId="11" xfId="20" applyFont="1" applyBorder="1" applyAlignment="1" applyProtection="1">
      <alignment horizontal="left" vertical="top"/>
      <protection/>
    </xf>
    <xf numFmtId="0" fontId="6" fillId="7" borderId="8" xfId="20" applyFont="1" applyBorder="1" applyAlignment="1" applyProtection="1">
      <alignment horizontal="left" vertical="top"/>
      <protection/>
    </xf>
    <xf numFmtId="0" fontId="22" fillId="0" borderId="0" xfId="0" applyFont="1" applyAlignment="1">
      <alignment vertical="top"/>
    </xf>
    <xf numFmtId="0" fontId="21" fillId="0" borderId="0" xfId="0" applyFont="1" applyAlignment="1">
      <alignment horizontal="left" vertical="top" wrapText="1"/>
    </xf>
    <xf numFmtId="0" fontId="7" fillId="0" borderId="0" xfId="0" applyFont="1" applyAlignment="1">
      <alignment wrapText="1"/>
    </xf>
    <xf numFmtId="0" fontId="18" fillId="7" borderId="7" xfId="20" applyNumberFormat="1" applyBorder="1" applyAlignment="1" applyProtection="1">
      <alignment horizontal="left" vertical="top" wrapText="1"/>
      <protection locked="0"/>
    </xf>
    <xf numFmtId="0" fontId="18" fillId="7" borderId="11" xfId="20" applyNumberFormat="1" applyBorder="1" applyAlignment="1" applyProtection="1">
      <alignment horizontal="left" vertical="top" wrapText="1"/>
      <protection locked="0"/>
    </xf>
    <xf numFmtId="0" fontId="18" fillId="7" borderId="8" xfId="20" applyNumberFormat="1" applyBorder="1" applyAlignment="1" applyProtection="1">
      <alignment horizontal="left" vertical="top" wrapText="1"/>
      <protection locked="0"/>
    </xf>
    <xf numFmtId="0" fontId="5" fillId="0" borderId="0" xfId="0" applyAlignment="1">
      <alignment vertical="top"/>
    </xf>
    <xf numFmtId="49" fontId="10" fillId="0" borderId="0" xfId="0" applyNumberFormat="1" applyFont="1" applyAlignment="1">
      <alignment horizontal="left" vertical="top" wrapText="1"/>
    </xf>
    <xf numFmtId="0" fontId="5" fillId="0" borderId="0" xfId="0" applyProtection="1">
      <protection hidden="1" locked="0"/>
    </xf>
    <xf numFmtId="49" fontId="8" fillId="0" borderId="0" xfId="0" applyNumberFormat="1" applyFont="1" applyAlignment="1">
      <alignment horizontal="left" vertical="top"/>
    </xf>
    <xf numFmtId="49" fontId="5" fillId="11" borderId="4" xfId="0" applyNumberFormat="1" applyFill="1" applyBorder="1" applyAlignment="1">
      <alignment horizontal="center"/>
    </xf>
    <xf numFmtId="49" fontId="14" fillId="11" borderId="2" xfId="0" applyNumberFormat="1" applyFont="1" applyFill="1" applyBorder="1" applyAlignment="1">
      <alignment horizontal="center" vertical="top"/>
    </xf>
    <xf numFmtId="49" fontId="14" fillId="11" borderId="12" xfId="0" applyNumberFormat="1" applyFont="1" applyFill="1" applyBorder="1" applyAlignment="1">
      <alignment horizontal="center" vertical="top"/>
    </xf>
    <xf numFmtId="49" fontId="14" fillId="11" borderId="3" xfId="0" applyNumberFormat="1" applyFont="1" applyFill="1" applyBorder="1" applyAlignment="1">
      <alignment horizontal="center" vertical="top"/>
    </xf>
    <xf numFmtId="49" fontId="14" fillId="11" borderId="7" xfId="0" applyNumberFormat="1" applyFont="1" applyFill="1" applyBorder="1" applyAlignment="1">
      <alignment horizontal="center" vertical="top" wrapText="1"/>
    </xf>
    <xf numFmtId="49" fontId="14" fillId="11" borderId="11" xfId="0" applyNumberFormat="1" applyFont="1" applyFill="1" applyBorder="1" applyAlignment="1">
      <alignment horizontal="center" vertical="top" wrapText="1"/>
    </xf>
    <xf numFmtId="49" fontId="14" fillId="11" borderId="8" xfId="0" applyNumberFormat="1" applyFont="1" applyFill="1" applyBorder="1" applyAlignment="1">
      <alignment horizontal="center" vertical="top" wrapText="1"/>
    </xf>
    <xf numFmtId="49" fontId="14" fillId="11" borderId="1" xfId="0" applyNumberFormat="1" applyFont="1" applyFill="1" applyBorder="1" applyAlignment="1">
      <alignment horizontal="center" vertical="top" wrapText="1"/>
    </xf>
    <xf numFmtId="49" fontId="5" fillId="11" borderId="6" xfId="0" applyNumberFormat="1" applyFill="1" applyBorder="1" applyAlignment="1">
      <alignment horizontal="center"/>
    </xf>
    <xf numFmtId="49" fontId="14" fillId="11" borderId="9" xfId="0" applyNumberFormat="1" applyFont="1" applyFill="1" applyBorder="1" applyAlignment="1">
      <alignment horizontal="center" vertical="top"/>
    </xf>
    <xf numFmtId="49" fontId="14" fillId="11" borderId="13" xfId="0" applyNumberFormat="1" applyFont="1" applyFill="1" applyBorder="1" applyAlignment="1">
      <alignment horizontal="center" vertical="top"/>
    </xf>
    <xf numFmtId="49" fontId="14" fillId="11" borderId="14" xfId="0" applyNumberFormat="1" applyFont="1" applyFill="1" applyBorder="1" applyAlignment="1">
      <alignment horizontal="center" vertical="top"/>
    </xf>
    <xf numFmtId="49" fontId="18" fillId="7" borderId="7" xfId="20" applyNumberFormat="1" applyBorder="1" applyAlignment="1" applyProtection="1">
      <alignment horizontal="center" vertical="top"/>
      <protection/>
    </xf>
    <xf numFmtId="49" fontId="18" fillId="7" borderId="11" xfId="20" applyNumberFormat="1" applyBorder="1" applyAlignment="1" applyProtection="1">
      <alignment horizontal="center" vertical="top"/>
      <protection/>
    </xf>
    <xf numFmtId="49" fontId="5" fillId="0" borderId="1" xfId="0" applyNumberFormat="1" applyBorder="1" applyAlignment="1">
      <alignment horizontal="right"/>
    </xf>
    <xf numFmtId="49" fontId="20" fillId="0" borderId="7" xfId="0" applyNumberFormat="1" applyFont="1" applyBorder="1" applyAlignment="1">
      <alignment horizontal="left"/>
    </xf>
    <xf numFmtId="49" fontId="20" fillId="0" borderId="11" xfId="0" applyNumberFormat="1" applyFont="1" applyBorder="1" applyAlignment="1">
      <alignment horizontal="left"/>
    </xf>
    <xf numFmtId="49" fontId="20" fillId="0" borderId="8" xfId="0" applyNumberFormat="1" applyFont="1" applyBorder="1" applyAlignment="1">
      <alignment horizontal="left"/>
    </xf>
    <xf numFmtId="49" fontId="5" fillId="0" borderId="4" xfId="0" applyNumberFormat="1" applyBorder="1" applyAlignment="1">
      <alignment horizontal="right" vertical="center"/>
    </xf>
    <xf numFmtId="49" fontId="5" fillId="0" borderId="2" xfId="0" applyNumberFormat="1" applyBorder="1" applyAlignment="1">
      <alignment horizontal="left" vertical="center"/>
    </xf>
    <xf numFmtId="49" fontId="5" fillId="0" borderId="12" xfId="0" applyNumberFormat="1" applyBorder="1" applyAlignment="1">
      <alignment horizontal="left" vertical="center"/>
    </xf>
    <xf numFmtId="49" fontId="5" fillId="0" borderId="3" xfId="0" applyNumberFormat="1" applyBorder="1" applyAlignment="1">
      <alignment horizontal="left" vertical="center"/>
    </xf>
    <xf numFmtId="49" fontId="5" fillId="0" borderId="6" xfId="0" applyNumberFormat="1" applyBorder="1" applyAlignment="1">
      <alignment horizontal="right" vertical="center"/>
    </xf>
    <xf numFmtId="49" fontId="5" fillId="0" borderId="9" xfId="0" applyNumberFormat="1" applyBorder="1" applyAlignment="1">
      <alignment horizontal="left" vertical="center"/>
    </xf>
    <xf numFmtId="49" fontId="5" fillId="0" borderId="14" xfId="0" applyNumberFormat="1" applyBorder="1" applyAlignment="1">
      <alignment horizontal="left" vertical="center"/>
    </xf>
    <xf numFmtId="49" fontId="5" fillId="0" borderId="4" xfId="0" applyNumberFormat="1" applyBorder="1" applyAlignment="1">
      <alignment horizontal="right"/>
    </xf>
    <xf numFmtId="49" fontId="7" fillId="0" borderId="7" xfId="0" applyNumberFormat="1" applyFont="1" applyBorder="1" applyAlignment="1">
      <alignment horizontal="left" vertical="center"/>
    </xf>
    <xf numFmtId="49" fontId="7" fillId="0" borderId="11" xfId="0" applyNumberFormat="1" applyFont="1" applyBorder="1" applyAlignment="1">
      <alignment horizontal="left" vertical="center"/>
    </xf>
    <xf numFmtId="49" fontId="7" fillId="0" borderId="8" xfId="0" applyNumberFormat="1" applyFont="1" applyBorder="1" applyAlignment="1">
      <alignment horizontal="left" vertical="center"/>
    </xf>
    <xf numFmtId="49" fontId="5" fillId="0" borderId="7" xfId="0" applyNumberFormat="1" applyBorder="1" applyAlignment="1">
      <alignment horizontal="right" vertical="top"/>
    </xf>
    <xf numFmtId="49" fontId="5" fillId="0" borderId="11" xfId="0" applyNumberFormat="1" applyBorder="1" applyAlignment="1">
      <alignment horizontal="right" vertical="top"/>
    </xf>
    <xf numFmtId="49" fontId="5" fillId="0" borderId="8" xfId="0" applyNumberFormat="1" applyBorder="1" applyAlignment="1">
      <alignment horizontal="right" vertical="top"/>
    </xf>
    <xf numFmtId="49" fontId="5" fillId="0" borderId="7" xfId="0" applyNumberFormat="1" applyBorder="1" applyAlignment="1">
      <alignment horizontal="left" vertical="top"/>
    </xf>
    <xf numFmtId="49" fontId="5" fillId="0" borderId="11" xfId="0" applyNumberFormat="1" applyBorder="1" applyAlignment="1">
      <alignment horizontal="left" vertical="top"/>
    </xf>
    <xf numFmtId="49" fontId="5" fillId="0" borderId="8" xfId="0" applyNumberFormat="1" applyBorder="1" applyAlignment="1">
      <alignment horizontal="left" vertical="top"/>
    </xf>
    <xf numFmtId="49" fontId="5" fillId="0" borderId="5" xfId="0" applyNumberFormat="1" applyBorder="1" applyAlignment="1">
      <alignment horizontal="right"/>
    </xf>
    <xf numFmtId="49" fontId="7" fillId="0" borderId="7" xfId="0" applyNumberFormat="1" applyFont="1" applyBorder="1" applyAlignment="1">
      <alignment horizontal="left" vertical="top"/>
    </xf>
    <xf numFmtId="49" fontId="7" fillId="0" borderId="11" xfId="0" applyNumberFormat="1" applyFont="1" applyBorder="1" applyAlignment="1">
      <alignment horizontal="left" vertical="top"/>
    </xf>
    <xf numFmtId="49" fontId="7" fillId="0" borderId="8" xfId="0" applyNumberFormat="1" applyFont="1" applyBorder="1" applyAlignment="1">
      <alignment horizontal="left" vertical="top"/>
    </xf>
    <xf numFmtId="49" fontId="7" fillId="0" borderId="2" xfId="0" applyNumberFormat="1" applyFont="1" applyBorder="1" applyAlignment="1">
      <alignment horizontal="left" vertical="top" wrapText="1"/>
    </xf>
    <xf numFmtId="49" fontId="7" fillId="0" borderId="12" xfId="0" applyNumberFormat="1" applyFont="1" applyBorder="1" applyAlignment="1">
      <alignment horizontal="left" vertical="top" wrapText="1"/>
    </xf>
    <xf numFmtId="49" fontId="7" fillId="0" borderId="3" xfId="0" applyNumberFormat="1" applyFont="1" applyBorder="1" applyAlignment="1">
      <alignment horizontal="left" vertical="top" wrapText="1"/>
    </xf>
    <xf numFmtId="49" fontId="5" fillId="0" borderId="2" xfId="0" applyNumberFormat="1" applyBorder="1" applyAlignment="1">
      <alignment horizontal="right" vertical="top"/>
    </xf>
    <xf numFmtId="49" fontId="5" fillId="0" borderId="12" xfId="0" applyNumberFormat="1" applyBorder="1" applyAlignment="1">
      <alignment horizontal="right" vertical="top"/>
    </xf>
    <xf numFmtId="49" fontId="5" fillId="0" borderId="3" xfId="0" applyNumberFormat="1" applyBorder="1" applyAlignment="1">
      <alignment horizontal="right" vertical="top"/>
    </xf>
    <xf numFmtId="49" fontId="5" fillId="0" borderId="2" xfId="0" applyNumberFormat="1" applyBorder="1" applyAlignment="1">
      <alignment horizontal="left" vertical="top"/>
    </xf>
    <xf numFmtId="49" fontId="5" fillId="0" borderId="12" xfId="0" applyNumberFormat="1" applyBorder="1" applyAlignment="1">
      <alignment horizontal="left" vertical="top"/>
    </xf>
    <xf numFmtId="49" fontId="5" fillId="0" borderId="3" xfId="0" applyNumberFormat="1" applyBorder="1" applyAlignment="1">
      <alignment horizontal="left" vertical="top"/>
    </xf>
    <xf numFmtId="49" fontId="5" fillId="0" borderId="6" xfId="0" applyNumberFormat="1" applyBorder="1" applyAlignment="1">
      <alignment horizontal="right"/>
    </xf>
    <xf numFmtId="49" fontId="7" fillId="0" borderId="9" xfId="0" applyNumberFormat="1" applyFont="1" applyBorder="1" applyAlignment="1">
      <alignment horizontal="left" vertical="top" wrapText="1"/>
    </xf>
    <xf numFmtId="49" fontId="7" fillId="0" borderId="13" xfId="0" applyNumberFormat="1" applyFont="1" applyBorder="1" applyAlignment="1">
      <alignment horizontal="left" vertical="top" wrapText="1"/>
    </xf>
    <xf numFmtId="49" fontId="7" fillId="0" borderId="14" xfId="0" applyNumberFormat="1" applyFont="1" applyBorder="1" applyAlignment="1">
      <alignment horizontal="left" vertical="top" wrapText="1"/>
    </xf>
    <xf numFmtId="49" fontId="5" fillId="0" borderId="9" xfId="0" applyNumberFormat="1" applyBorder="1" applyAlignment="1">
      <alignment horizontal="right" vertical="top"/>
    </xf>
    <xf numFmtId="49" fontId="5" fillId="0" borderId="13" xfId="0" applyNumberFormat="1" applyBorder="1" applyAlignment="1">
      <alignment horizontal="right" vertical="top"/>
    </xf>
    <xf numFmtId="49" fontId="5" fillId="0" borderId="14" xfId="0" applyNumberFormat="1" applyBorder="1" applyAlignment="1">
      <alignment horizontal="right" vertical="top"/>
    </xf>
    <xf numFmtId="49" fontId="5" fillId="0" borderId="9" xfId="0" applyNumberFormat="1" applyBorder="1" applyAlignment="1">
      <alignment horizontal="left" vertical="top"/>
    </xf>
    <xf numFmtId="49" fontId="5" fillId="0" borderId="13" xfId="0" applyNumberFormat="1" applyBorder="1" applyAlignment="1">
      <alignment horizontal="left" vertical="top"/>
    </xf>
    <xf numFmtId="49" fontId="5" fillId="0" borderId="14" xfId="0" applyNumberFormat="1" applyBorder="1" applyAlignment="1">
      <alignment horizontal="left" vertical="top"/>
    </xf>
    <xf numFmtId="49" fontId="8" fillId="0" borderId="2" xfId="0" applyNumberFormat="1" applyFont="1" applyBorder="1" applyAlignment="1">
      <alignment horizontal="left" vertical="top" wrapText="1"/>
    </xf>
    <xf numFmtId="49" fontId="8" fillId="0" borderId="12" xfId="0" applyNumberFormat="1" applyFont="1" applyBorder="1" applyAlignment="1">
      <alignment horizontal="left" vertical="top" wrapText="1"/>
    </xf>
    <xf numFmtId="49" fontId="8" fillId="0" borderId="3" xfId="0" applyNumberFormat="1" applyFont="1" applyBorder="1" applyAlignment="1">
      <alignment horizontal="left" vertical="top" wrapText="1"/>
    </xf>
    <xf numFmtId="49" fontId="8" fillId="0" borderId="9" xfId="0" applyNumberFormat="1" applyFont="1" applyBorder="1" applyAlignment="1">
      <alignment horizontal="left" vertical="top" wrapText="1"/>
    </xf>
    <xf numFmtId="49" fontId="8" fillId="0" borderId="13" xfId="0" applyNumberFormat="1" applyFont="1" applyBorder="1" applyAlignment="1">
      <alignment horizontal="left" vertical="top" wrapText="1"/>
    </xf>
    <xf numFmtId="49" fontId="8" fillId="0" borderId="14" xfId="0" applyNumberFormat="1" applyFont="1" applyBorder="1" applyAlignment="1">
      <alignment horizontal="left" vertical="top" wrapText="1"/>
    </xf>
    <xf numFmtId="49" fontId="8" fillId="0" borderId="2" xfId="0" applyNumberFormat="1" applyFont="1" applyBorder="1" applyAlignment="1">
      <alignment horizontal="left" vertical="center"/>
    </xf>
    <xf numFmtId="49" fontId="8" fillId="0" borderId="12" xfId="0" applyNumberFormat="1" applyFont="1" applyBorder="1" applyAlignment="1">
      <alignment horizontal="left" vertical="center"/>
    </xf>
    <xf numFmtId="49" fontId="8" fillId="0" borderId="3" xfId="0" applyNumberFormat="1" applyFont="1" applyBorder="1" applyAlignment="1">
      <alignment horizontal="left" vertical="center"/>
    </xf>
    <xf numFmtId="49" fontId="8" fillId="0" borderId="9" xfId="0" applyNumberFormat="1" applyFont="1" applyBorder="1" applyAlignment="1">
      <alignment horizontal="left" vertical="center"/>
    </xf>
    <xf numFmtId="49" fontId="8" fillId="0" borderId="13" xfId="0" applyNumberFormat="1" applyFont="1" applyBorder="1" applyAlignment="1">
      <alignment horizontal="left" vertical="center"/>
    </xf>
    <xf numFmtId="49" fontId="8" fillId="0" borderId="14" xfId="0" applyNumberFormat="1" applyFont="1" applyBorder="1" applyAlignment="1">
      <alignment horizontal="left" vertical="center"/>
    </xf>
    <xf numFmtId="0" fontId="5" fillId="0" borderId="0" xfId="0" applyAlignment="1" applyProtection="1">
      <alignment wrapText="1"/>
      <protection hidden="1"/>
    </xf>
    <xf numFmtId="49" fontId="7" fillId="0" borderId="7" xfId="0" applyNumberFormat="1" applyFont="1" applyBorder="1" applyAlignment="1">
      <alignment horizontal="left" vertical="top" wrapText="1"/>
    </xf>
    <xf numFmtId="49" fontId="7" fillId="0" borderId="11" xfId="0" applyNumberFormat="1" applyFont="1" applyBorder="1" applyAlignment="1">
      <alignment horizontal="left" vertical="top" wrapText="1"/>
    </xf>
    <xf numFmtId="49" fontId="7" fillId="0" borderId="8" xfId="0" applyNumberFormat="1" applyFont="1" applyBorder="1" applyAlignment="1">
      <alignment horizontal="left" vertical="top" wrapText="1"/>
    </xf>
    <xf numFmtId="49" fontId="8" fillId="0" borderId="7" xfId="0" applyNumberFormat="1" applyFont="1" applyBorder="1" applyAlignment="1">
      <alignment horizontal="left" vertical="top"/>
    </xf>
    <xf numFmtId="49" fontId="8" fillId="0" borderId="11" xfId="0" applyNumberFormat="1" applyFont="1" applyBorder="1" applyAlignment="1">
      <alignment horizontal="left" vertical="top"/>
    </xf>
    <xf numFmtId="49" fontId="8" fillId="0" borderId="8" xfId="0" applyNumberFormat="1" applyFont="1" applyBorder="1" applyAlignment="1">
      <alignment horizontal="left" vertical="top"/>
    </xf>
    <xf numFmtId="49" fontId="7" fillId="0" borderId="7" xfId="0" applyNumberFormat="1" applyFont="1" applyBorder="1" applyAlignment="1">
      <alignment horizontal="left"/>
    </xf>
    <xf numFmtId="49" fontId="7" fillId="0" borderId="11" xfId="0" applyNumberFormat="1" applyFont="1" applyBorder="1" applyAlignment="1">
      <alignment horizontal="left"/>
    </xf>
    <xf numFmtId="49" fontId="7" fillId="0" borderId="8" xfId="0" applyNumberFormat="1" applyFont="1" applyBorder="1" applyAlignment="1">
      <alignment horizontal="left"/>
    </xf>
    <xf numFmtId="49" fontId="5" fillId="0" borderId="1" xfId="0" applyNumberFormat="1" applyBorder="1" applyAlignment="1">
      <alignment horizontal="right" vertical="top"/>
    </xf>
    <xf numFmtId="49" fontId="5" fillId="0" borderId="1" xfId="0" applyNumberFormat="1" applyBorder="1" applyAlignment="1">
      <alignment horizontal="left" vertical="top"/>
    </xf>
    <xf numFmtId="49" fontId="5" fillId="11" borderId="1" xfId="0" applyNumberFormat="1" applyFill="1" applyBorder="1" applyAlignment="1">
      <alignment horizontal="center"/>
    </xf>
    <xf numFmtId="49" fontId="13" fillId="11" borderId="1" xfId="0" applyNumberFormat="1" applyFont="1" applyFill="1" applyBorder="1" applyAlignment="1">
      <alignment horizontal="center" vertical="top"/>
    </xf>
    <xf numFmtId="49" fontId="13" fillId="11" borderId="1" xfId="0" applyNumberFormat="1" applyFont="1" applyFill="1" applyBorder="1" applyAlignment="1">
      <alignment horizontal="center" vertical="top" wrapText="1"/>
    </xf>
    <xf numFmtId="49" fontId="7" fillId="0" borderId="1" xfId="0" applyNumberFormat="1" applyFont="1" applyBorder="1" applyAlignment="1">
      <alignment horizontal="left" vertical="top"/>
    </xf>
    <xf numFmtId="49" fontId="5" fillId="0" borderId="4" xfId="0" applyNumberFormat="1" applyBorder="1" applyAlignment="1">
      <alignment horizontal="right" vertical="top"/>
    </xf>
    <xf numFmtId="49" fontId="5" fillId="0" borderId="6" xfId="0" applyNumberFormat="1" applyBorder="1" applyAlignment="1">
      <alignment horizontal="right" vertical="top"/>
    </xf>
    <xf numFmtId="49" fontId="7" fillId="0" borderId="1" xfId="0" applyNumberFormat="1" applyFont="1" applyBorder="1" applyAlignment="1">
      <alignment horizontal="left" vertical="top" wrapText="1"/>
    </xf>
    <xf numFmtId="49" fontId="7" fillId="0" borderId="1" xfId="0" applyNumberFormat="1" applyFont="1" applyBorder="1" applyAlignment="1">
      <alignment horizontal="left"/>
    </xf>
    <xf numFmtId="49" fontId="5" fillId="0" borderId="5" xfId="0" applyNumberFormat="1" applyBorder="1" applyAlignment="1">
      <alignment horizontal="right" vertical="top"/>
    </xf>
    <xf numFmtId="49" fontId="7" fillId="0" borderId="2" xfId="0" applyNumberFormat="1" applyFont="1" applyBorder="1" applyAlignment="1">
      <alignment horizontal="left" vertical="top"/>
    </xf>
    <xf numFmtId="49" fontId="7" fillId="0" borderId="12" xfId="0" applyNumberFormat="1" applyFont="1" applyBorder="1" applyAlignment="1">
      <alignment horizontal="left" vertical="top"/>
    </xf>
    <xf numFmtId="49" fontId="7" fillId="0" borderId="3" xfId="0" applyNumberFormat="1" applyFont="1" applyBorder="1" applyAlignment="1">
      <alignment horizontal="left" vertical="top"/>
    </xf>
    <xf numFmtId="49" fontId="5" fillId="0" borderId="15" xfId="0" applyNumberFormat="1" applyBorder="1" applyAlignment="1">
      <alignment horizontal="right" vertical="top"/>
    </xf>
    <xf numFmtId="49" fontId="5" fillId="0" borderId="0" xfId="0" applyNumberFormat="1" applyAlignment="1">
      <alignment horizontal="right" vertical="top"/>
    </xf>
    <xf numFmtId="49" fontId="5" fillId="0" borderId="16" xfId="0" applyNumberFormat="1" applyBorder="1" applyAlignment="1">
      <alignment horizontal="right" vertical="top"/>
    </xf>
    <xf numFmtId="49" fontId="7" fillId="0" borderId="1" xfId="0" applyNumberFormat="1" applyFont="1" applyBorder="1" applyAlignment="1">
      <alignment horizontal="right" vertical="center"/>
    </xf>
    <xf numFmtId="49" fontId="7" fillId="0" borderId="7" xfId="0" applyNumberFormat="1" applyFont="1" applyBorder="1" applyAlignment="1">
      <alignment horizontal="right" vertical="top"/>
    </xf>
    <xf numFmtId="49" fontId="7" fillId="0" borderId="11" xfId="0" applyNumberFormat="1" applyFont="1" applyBorder="1" applyAlignment="1">
      <alignment horizontal="right" vertical="top"/>
    </xf>
    <xf numFmtId="49" fontId="7" fillId="0" borderId="8" xfId="0" applyNumberFormat="1" applyFont="1" applyBorder="1" applyAlignment="1">
      <alignment horizontal="right" vertical="top"/>
    </xf>
    <xf numFmtId="49" fontId="7" fillId="0" borderId="1" xfId="0" applyNumberFormat="1" applyFont="1" applyBorder="1" applyAlignment="1">
      <alignment vertical="top"/>
    </xf>
    <xf numFmtId="0" fontId="5" fillId="0" borderId="0" xfId="0" applyAlignment="1">
      <alignment vertical="center"/>
    </xf>
    <xf numFmtId="0" fontId="5" fillId="0" borderId="0" xfId="0" applyAlignment="1" applyProtection="1">
      <alignment vertical="center"/>
      <protection hidden="1"/>
    </xf>
    <xf numFmtId="49" fontId="7" fillId="0" borderId="7" xfId="0" applyNumberFormat="1" applyFont="1" applyBorder="1" applyAlignment="1">
      <alignment horizontal="left" vertical="center" wrapText="1"/>
    </xf>
    <xf numFmtId="49" fontId="7" fillId="0" borderId="11" xfId="0" applyNumberFormat="1" applyFont="1" applyBorder="1" applyAlignment="1">
      <alignment horizontal="left" vertical="center" wrapText="1"/>
    </xf>
    <xf numFmtId="49" fontId="7" fillId="0" borderId="8" xfId="0" applyNumberFormat="1" applyFont="1" applyBorder="1" applyAlignment="1">
      <alignment horizontal="left" vertical="center" wrapText="1"/>
    </xf>
    <xf numFmtId="49" fontId="5" fillId="0" borderId="1" xfId="0" applyNumberFormat="1" applyBorder="1" applyAlignment="1">
      <alignment horizontal="right" vertical="center"/>
    </xf>
    <xf numFmtId="49" fontId="8" fillId="0" borderId="1" xfId="0" applyNumberFormat="1" applyFont="1" applyBorder="1" applyAlignment="1">
      <alignment horizontal="center" vertical="center" wrapText="1"/>
    </xf>
    <xf numFmtId="49" fontId="8" fillId="0" borderId="1" xfId="0" applyNumberFormat="1" applyFont="1" applyBorder="1" applyAlignment="1">
      <alignment horizontal="center" vertical="center"/>
    </xf>
    <xf numFmtId="49" fontId="8" fillId="0" borderId="7" xfId="0" applyNumberFormat="1" applyFont="1" applyBorder="1" applyAlignment="1">
      <alignment horizontal="center" vertical="top"/>
    </xf>
    <xf numFmtId="49" fontId="8" fillId="0" borderId="11" xfId="0" applyNumberFormat="1" applyFont="1" applyBorder="1" applyAlignment="1">
      <alignment horizontal="center" vertical="top"/>
    </xf>
    <xf numFmtId="49" fontId="8" fillId="0" borderId="8" xfId="0" applyNumberFormat="1" applyFont="1" applyBorder="1" applyAlignment="1">
      <alignment horizontal="center" vertical="top"/>
    </xf>
    <xf numFmtId="49" fontId="8" fillId="0" borderId="7" xfId="0" applyNumberFormat="1" applyFont="1" applyBorder="1" applyAlignment="1">
      <alignment horizontal="center" vertical="center"/>
    </xf>
    <xf numFmtId="49" fontId="8" fillId="0" borderId="8" xfId="0" applyNumberFormat="1" applyFont="1" applyBorder="1" applyAlignment="1">
      <alignment horizontal="center" vertical="center"/>
    </xf>
    <xf numFmtId="0" fontId="7" fillId="0" borderId="0" xfId="0" applyFont="1" applyAlignment="1">
      <alignment horizontal="left" vertical="center" wrapText="1"/>
    </xf>
    <xf numFmtId="49" fontId="5" fillId="0" borderId="1" xfId="0" applyNumberFormat="1" applyBorder="1" applyAlignment="1">
      <alignment horizontal="left" vertical="center"/>
    </xf>
    <xf numFmtId="49" fontId="8" fillId="0" borderId="1" xfId="0" applyNumberFormat="1" applyFont="1" applyBorder="1" applyAlignment="1">
      <alignment horizontal="left" vertical="center"/>
    </xf>
    <xf numFmtId="49" fontId="5" fillId="0" borderId="1" xfId="0" applyNumberFormat="1" applyBorder="1" applyAlignment="1">
      <alignment vertical="center"/>
    </xf>
    <xf numFmtId="49" fontId="5" fillId="0" borderId="7" xfId="0" applyNumberFormat="1" applyBorder="1" applyAlignment="1">
      <alignment horizontal="left" vertical="center"/>
    </xf>
    <xf numFmtId="49" fontId="5" fillId="0" borderId="11" xfId="0" applyNumberFormat="1" applyBorder="1" applyAlignment="1">
      <alignment horizontal="left" vertical="center"/>
    </xf>
    <xf numFmtId="49" fontId="5" fillId="0" borderId="8" xfId="0" applyNumberFormat="1" applyBorder="1" applyAlignment="1">
      <alignment horizontal="left" vertical="center"/>
    </xf>
    <xf numFmtId="49" fontId="5" fillId="0" borderId="1" xfId="0" applyNumberFormat="1" applyBorder="1" applyAlignment="1">
      <alignment horizontal="left" vertical="center" wrapText="1"/>
    </xf>
    <xf numFmtId="49" fontId="5" fillId="0" borderId="1" xfId="0" applyNumberFormat="1" applyBorder="1" applyAlignment="1">
      <alignment horizontal="left" vertical="top" wrapText="1"/>
    </xf>
    <xf numFmtId="0" fontId="7" fillId="0" borderId="0" xfId="0" applyFont="1" applyAlignment="1" applyProtection="1">
      <alignment horizontal="left" vertical="center" wrapText="1"/>
      <protection hidden="1"/>
    </xf>
    <xf numFmtId="49" fontId="8" fillId="0" borderId="1" xfId="0" applyNumberFormat="1" applyFont="1" applyBorder="1" applyAlignment="1">
      <alignment horizontal="left" vertical="top" wrapText="1"/>
    </xf>
    <xf numFmtId="49" fontId="8" fillId="0" borderId="1" xfId="0" applyNumberFormat="1" applyFont="1" applyBorder="1" applyAlignment="1">
      <alignment horizontal="left" vertical="top"/>
    </xf>
    <xf numFmtId="49" fontId="5" fillId="0" borderId="1" xfId="0" applyNumberFormat="1" applyBorder="1" applyAlignment="1">
      <alignment horizontal="left"/>
    </xf>
    <xf numFmtId="49" fontId="8" fillId="0" borderId="0" xfId="0" applyNumberFormat="1" applyFont="1" applyAlignment="1">
      <alignment horizontal="left" vertical="top" wrapText="1"/>
    </xf>
    <xf numFmtId="0" fontId="8" fillId="0" borderId="0" xfId="0" applyFont="1" applyAlignment="1">
      <alignment horizontal="center" vertical="center"/>
    </xf>
    <xf numFmtId="49" fontId="7" fillId="0" borderId="1" xfId="0" applyNumberFormat="1" applyFont="1" applyBorder="1" applyAlignment="1">
      <alignment horizontal="left" vertical="center"/>
    </xf>
    <xf numFmtId="0" fontId="5" fillId="0" borderId="0" xfId="0" applyAlignment="1">
      <alignment horizontal="center" vertical="center"/>
    </xf>
    <xf numFmtId="49" fontId="7" fillId="0" borderId="1" xfId="0" applyNumberFormat="1" applyFont="1" applyBorder="1" applyAlignment="1">
      <alignment horizontal="left" vertical="center" wrapText="1"/>
    </xf>
    <xf numFmtId="49" fontId="8" fillId="0" borderId="0" xfId="0" applyNumberFormat="1" applyFont="1" applyAlignment="1">
      <alignment horizontal="left" vertical="center"/>
    </xf>
    <xf numFmtId="49" fontId="5" fillId="0" borderId="0" xfId="0" applyNumberFormat="1" applyAlignment="1">
      <alignment horizontal="left" vertical="top" wrapText="1"/>
    </xf>
    <xf numFmtId="49" fontId="5" fillId="0" borderId="0" xfId="0" applyNumberFormat="1" applyAlignment="1">
      <alignment horizontal="center"/>
    </xf>
    <xf numFmtId="49" fontId="5" fillId="0" borderId="0" xfId="18" applyNumberFormat="1" applyFont="1" applyAlignment="1" applyProtection="1">
      <alignment horizontal="center"/>
      <protection/>
    </xf>
    <xf numFmtId="0" fontId="8" fillId="0" borderId="0" xfId="0" applyFont="1" applyAlignment="1">
      <alignment horizontal="left" vertical="center"/>
    </xf>
    <xf numFmtId="49" fontId="5" fillId="0" borderId="4" xfId="0" applyNumberFormat="1" applyBorder="1" applyAlignment="1">
      <alignment horizontal="center"/>
    </xf>
    <xf numFmtId="49" fontId="5" fillId="0" borderId="2" xfId="0" applyNumberFormat="1" applyBorder="1" applyAlignment="1">
      <alignment horizontal="center" vertical="top"/>
    </xf>
    <xf numFmtId="49" fontId="5" fillId="0" borderId="12" xfId="0" applyNumberFormat="1" applyBorder="1" applyAlignment="1">
      <alignment horizontal="center" vertical="top"/>
    </xf>
    <xf numFmtId="49" fontId="5" fillId="0" borderId="3" xfId="0" applyNumberFormat="1" applyBorder="1" applyAlignment="1">
      <alignment horizontal="center" vertical="top"/>
    </xf>
    <xf numFmtId="49" fontId="5" fillId="0" borderId="2" xfId="0" applyNumberFormat="1" applyBorder="1" applyAlignment="1">
      <alignment horizontal="center" vertical="top" wrapText="1"/>
    </xf>
    <xf numFmtId="49" fontId="5" fillId="0" borderId="12" xfId="0" applyNumberFormat="1" applyBorder="1" applyAlignment="1">
      <alignment horizontal="center" vertical="top" wrapText="1"/>
    </xf>
    <xf numFmtId="49" fontId="5" fillId="0" borderId="3" xfId="0" applyNumberFormat="1" applyBorder="1" applyAlignment="1">
      <alignment horizontal="center" vertical="top" wrapText="1"/>
    </xf>
    <xf numFmtId="49" fontId="5" fillId="0" borderId="5" xfId="0" applyNumberFormat="1" applyBorder="1" applyAlignment="1">
      <alignment horizontal="center"/>
    </xf>
    <xf numFmtId="49" fontId="5" fillId="0" borderId="15" xfId="0" applyNumberFormat="1" applyBorder="1" applyAlignment="1">
      <alignment horizontal="center" vertical="top"/>
    </xf>
    <xf numFmtId="49" fontId="5" fillId="0" borderId="0" xfId="0" applyNumberFormat="1" applyAlignment="1">
      <alignment horizontal="center" vertical="top"/>
    </xf>
    <xf numFmtId="49" fontId="5" fillId="0" borderId="16" xfId="0" applyNumberFormat="1" applyBorder="1" applyAlignment="1">
      <alignment horizontal="center" vertical="top"/>
    </xf>
    <xf numFmtId="49" fontId="5" fillId="0" borderId="9" xfId="0" applyNumberFormat="1" applyBorder="1" applyAlignment="1">
      <alignment horizontal="center" vertical="top" wrapText="1"/>
    </xf>
    <xf numFmtId="49" fontId="5" fillId="0" borderId="13" xfId="0" applyNumberFormat="1" applyBorder="1" applyAlignment="1">
      <alignment horizontal="center" vertical="top" wrapText="1"/>
    </xf>
    <xf numFmtId="49" fontId="5" fillId="0" borderId="14" xfId="0" applyNumberFormat="1" applyBorder="1" applyAlignment="1">
      <alignment horizontal="center" vertical="top" wrapText="1"/>
    </xf>
    <xf numFmtId="49" fontId="5" fillId="0" borderId="15" xfId="0" applyNumberFormat="1" applyBorder="1" applyAlignment="1">
      <alignment horizontal="center" vertical="top" wrapText="1"/>
    </xf>
    <xf numFmtId="49" fontId="5" fillId="0" borderId="0" xfId="0" applyNumberFormat="1" applyAlignment="1">
      <alignment horizontal="center" vertical="top" wrapText="1"/>
    </xf>
    <xf numFmtId="49" fontId="5" fillId="0" borderId="16" xfId="0" applyNumberFormat="1" applyBorder="1" applyAlignment="1">
      <alignment horizontal="center" vertical="top" wrapText="1"/>
    </xf>
    <xf numFmtId="49" fontId="18" fillId="7" borderId="17" xfId="20" applyNumberFormat="1" applyBorder="1" applyAlignment="1" applyProtection="1">
      <alignment horizontal="center" vertical="top"/>
      <protection/>
    </xf>
    <xf numFmtId="49" fontId="5" fillId="0" borderId="6" xfId="0" applyNumberFormat="1" applyBorder="1" applyAlignment="1">
      <alignment horizontal="center"/>
    </xf>
    <xf numFmtId="49" fontId="5" fillId="0" borderId="9" xfId="0" applyNumberFormat="1" applyBorder="1" applyAlignment="1">
      <alignment horizontal="center" vertical="top"/>
    </xf>
    <xf numFmtId="49" fontId="5" fillId="0" borderId="13" xfId="0" applyNumberFormat="1" applyBorder="1" applyAlignment="1">
      <alignment horizontal="center" vertical="top"/>
    </xf>
    <xf numFmtId="49" fontId="5" fillId="0" borderId="14" xfId="0" applyNumberFormat="1" applyBorder="1" applyAlignment="1">
      <alignment horizontal="center" vertical="top"/>
    </xf>
    <xf numFmtId="49" fontId="8" fillId="0" borderId="7" xfId="0" applyNumberFormat="1" applyFont="1" applyBorder="1" applyAlignment="1">
      <alignment horizontal="left" vertical="center"/>
    </xf>
    <xf numFmtId="49" fontId="8" fillId="0" borderId="11" xfId="0" applyNumberFormat="1" applyFont="1" applyBorder="1" applyAlignment="1">
      <alignment horizontal="left" vertical="center"/>
    </xf>
    <xf numFmtId="49" fontId="8" fillId="0" borderId="8" xfId="0" applyNumberFormat="1" applyFont="1" applyBorder="1" applyAlignment="1">
      <alignment horizontal="left" vertical="center"/>
    </xf>
    <xf numFmtId="49" fontId="5" fillId="0" borderId="2" xfId="0" applyNumberFormat="1" applyBorder="1" applyAlignment="1">
      <alignment horizontal="left" vertical="top" wrapText="1"/>
    </xf>
    <xf numFmtId="49" fontId="5" fillId="0" borderId="12" xfId="0" applyNumberFormat="1" applyBorder="1" applyAlignment="1">
      <alignment horizontal="left" vertical="top" wrapText="1"/>
    </xf>
    <xf numFmtId="49" fontId="5" fillId="0" borderId="3" xfId="0" applyNumberFormat="1" applyBorder="1" applyAlignment="1">
      <alignment horizontal="left" vertical="top" wrapText="1"/>
    </xf>
    <xf numFmtId="0" fontId="5" fillId="0" borderId="0" xfId="0" applyAlignment="1" applyProtection="1">
      <alignment horizontal="left" vertical="center"/>
      <protection hidden="1"/>
    </xf>
    <xf numFmtId="49" fontId="8" fillId="0" borderId="7" xfId="0" applyNumberFormat="1" applyFont="1" applyBorder="1" applyAlignment="1">
      <alignment horizontal="left" vertical="top" wrapText="1"/>
    </xf>
    <xf numFmtId="49" fontId="8" fillId="0" borderId="11" xfId="0" applyNumberFormat="1" applyFont="1" applyBorder="1" applyAlignment="1">
      <alignment horizontal="left" vertical="top" wrapText="1"/>
    </xf>
    <xf numFmtId="49" fontId="8" fillId="0" borderId="8" xfId="0" applyNumberFormat="1" applyFont="1" applyBorder="1" applyAlignment="1">
      <alignment horizontal="left" vertical="top" wrapText="1"/>
    </xf>
    <xf numFmtId="178" fontId="5" fillId="0" borderId="0" xfId="0" applyNumberFormat="1"/>
    <xf numFmtId="49" fontId="5" fillId="0" borderId="0" xfId="0" applyNumberFormat="1" applyAlignment="1">
      <alignment vertical="center"/>
    </xf>
    <xf numFmtId="49" fontId="5" fillId="0" borderId="1" xfId="0" applyNumberFormat="1" applyBorder="1" applyAlignment="1">
      <alignment horizontal="right" vertical="center" wrapText="1"/>
    </xf>
    <xf numFmtId="49" fontId="5" fillId="0" borderId="7" xfId="0" applyNumberFormat="1" applyBorder="1" applyAlignment="1">
      <alignment horizontal="left" vertical="top" wrapText="1"/>
    </xf>
    <xf numFmtId="49" fontId="5" fillId="0" borderId="11" xfId="0" applyNumberFormat="1" applyBorder="1" applyAlignment="1">
      <alignment horizontal="left" vertical="top" wrapText="1"/>
    </xf>
    <xf numFmtId="49" fontId="5" fillId="0" borderId="8" xfId="0" applyNumberFormat="1" applyBorder="1" applyAlignment="1">
      <alignment horizontal="left" vertical="top" wrapText="1"/>
    </xf>
    <xf numFmtId="49" fontId="8" fillId="0" borderId="0" xfId="0" applyNumberFormat="1" applyFont="1" applyAlignment="1">
      <alignment horizontal="left" vertical="center" wrapText="1"/>
    </xf>
    <xf numFmtId="49" fontId="6" fillId="0" borderId="7" xfId="20" applyNumberFormat="1" applyFont="1" applyFill="1" applyBorder="1" applyAlignment="1" applyProtection="1">
      <alignment horizontal="right" vertical="top"/>
      <protection/>
    </xf>
    <xf numFmtId="49" fontId="6" fillId="0" borderId="11" xfId="20" applyNumberFormat="1" applyFont="1" applyFill="1" applyBorder="1" applyAlignment="1" applyProtection="1">
      <alignment horizontal="right" vertical="top"/>
      <protection/>
    </xf>
    <xf numFmtId="49" fontId="6" fillId="0" borderId="8" xfId="20" applyNumberFormat="1" applyFont="1" applyFill="1" applyBorder="1" applyAlignment="1" applyProtection="1">
      <alignment horizontal="right" vertical="top"/>
      <protection/>
    </xf>
    <xf numFmtId="49" fontId="6" fillId="0" borderId="1" xfId="20" applyNumberFormat="1" applyFont="1" applyFill="1" applyBorder="1" applyAlignment="1" applyProtection="1">
      <alignment horizontal="right" vertical="top"/>
      <protection/>
    </xf>
    <xf numFmtId="49" fontId="5" fillId="0" borderId="0" xfId="0" applyNumberFormat="1" applyAlignment="1">
      <alignment horizontal="left" vertical="center" wrapText="1"/>
    </xf>
    <xf numFmtId="1" fontId="6" fillId="0" borderId="1" xfId="20" applyNumberFormat="1" applyFont="1" applyFill="1" applyBorder="1" applyAlignment="1" applyProtection="1">
      <alignment horizontal="right" vertical="top"/>
      <protection locked="0"/>
    </xf>
    <xf numFmtId="49" fontId="8" fillId="0" borderId="0" xfId="0" applyNumberFormat="1" applyFont="1" applyAlignment="1">
      <alignment horizontal="center" vertical="center"/>
    </xf>
    <xf numFmtId="49" fontId="5" fillId="0" borderId="0" xfId="0" applyNumberFormat="1" applyAlignment="1">
      <alignment horizontal="center" vertical="center"/>
    </xf>
    <xf numFmtId="49" fontId="5" fillId="0" borderId="7" xfId="0" applyNumberFormat="1" applyBorder="1" applyAlignment="1">
      <alignment horizontal="center" vertical="top" wrapText="1"/>
    </xf>
    <xf numFmtId="49" fontId="5" fillId="0" borderId="8" xfId="0" applyNumberFormat="1" applyBorder="1" applyAlignment="1">
      <alignment horizontal="center" vertical="top" wrapText="1"/>
    </xf>
    <xf numFmtId="49" fontId="5" fillId="0" borderId="11" xfId="0" applyNumberFormat="1" applyBorder="1" applyAlignment="1">
      <alignment horizontal="center" vertical="top" wrapText="1"/>
    </xf>
    <xf numFmtId="49" fontId="5" fillId="0" borderId="1" xfId="0" applyNumberFormat="1" applyBorder="1" applyAlignment="1">
      <alignment horizontal="center" vertical="top" wrapText="1"/>
    </xf>
    <xf numFmtId="49" fontId="5" fillId="12" borderId="7" xfId="0" applyNumberFormat="1" applyFill="1" applyBorder="1" applyAlignment="1" applyProtection="1">
      <alignment horizontal="left" vertical="top" wrapText="1"/>
      <protection locked="0"/>
    </xf>
    <xf numFmtId="49" fontId="5" fillId="12" borderId="8" xfId="0" applyNumberFormat="1" applyFill="1" applyBorder="1" applyAlignment="1" applyProtection="1">
      <alignment horizontal="left" vertical="top" wrapText="1"/>
      <protection locked="0"/>
    </xf>
    <xf numFmtId="49" fontId="5" fillId="13" borderId="7" xfId="0" applyNumberFormat="1" applyFill="1" applyBorder="1" applyAlignment="1">
      <alignment horizontal="left" vertical="top" wrapText="1"/>
    </xf>
    <xf numFmtId="49" fontId="5" fillId="13" borderId="11" xfId="0" applyNumberFormat="1" applyFill="1" applyBorder="1" applyAlignment="1">
      <alignment horizontal="left" vertical="top" wrapText="1"/>
    </xf>
    <xf numFmtId="49" fontId="5" fillId="13" borderId="8" xfId="0" applyNumberFormat="1" applyFill="1" applyBorder="1" applyAlignment="1">
      <alignment horizontal="left" vertical="top" wrapText="1"/>
    </xf>
    <xf numFmtId="49" fontId="5" fillId="12" borderId="7" xfId="0" applyNumberFormat="1" applyFill="1" applyBorder="1" applyAlignment="1" applyProtection="1">
      <alignment horizontal="right" vertical="top" wrapText="1"/>
      <protection locked="0"/>
    </xf>
    <xf numFmtId="49" fontId="5" fillId="12" borderId="8" xfId="0" applyNumberFormat="1" applyFill="1" applyBorder="1" applyAlignment="1" applyProtection="1">
      <alignment horizontal="right" vertical="top" wrapText="1"/>
      <protection locked="0"/>
    </xf>
    <xf numFmtId="49" fontId="5" fillId="12" borderId="1" xfId="0" applyNumberFormat="1" applyFill="1" applyBorder="1" applyAlignment="1" applyProtection="1">
      <alignment horizontal="left" vertical="top" wrapText="1"/>
      <protection locked="0"/>
    </xf>
    <xf numFmtId="49" fontId="5" fillId="12" borderId="1" xfId="0" applyNumberFormat="1" applyFill="1" applyBorder="1" applyAlignment="1" applyProtection="1">
      <alignment horizontal="right" vertical="top"/>
      <protection locked="0"/>
    </xf>
    <xf numFmtId="49" fontId="19" fillId="0" borderId="0" xfId="0" applyNumberFormat="1" applyFont="1" applyAlignment="1">
      <alignment horizontal="left" vertical="top" wrapText="1"/>
    </xf>
    <xf numFmtId="49" fontId="5" fillId="0" borderId="1" xfId="0" applyNumberFormat="1" applyBorder="1" applyAlignment="1">
      <alignment horizontal="right" wrapText="1"/>
    </xf>
    <xf numFmtId="49" fontId="5" fillId="0" borderId="1" xfId="0" applyNumberFormat="1" applyBorder="1" applyAlignment="1">
      <alignment horizontal="center" wrapText="1"/>
    </xf>
    <xf numFmtId="49" fontId="5" fillId="12" borderId="1" xfId="0" applyNumberFormat="1" applyFill="1" applyBorder="1" applyAlignment="1" applyProtection="1">
      <alignment horizontal="right" vertical="top" wrapText="1"/>
      <protection locked="0"/>
    </xf>
    <xf numFmtId="49" fontId="5" fillId="8" borderId="1" xfId="0" applyNumberFormat="1" applyFill="1" applyBorder="1" applyAlignment="1">
      <alignment horizontal="left"/>
    </xf>
    <xf numFmtId="0" fontId="5" fillId="0" borderId="0" xfId="0" applyAlignment="1">
      <alignment horizontal="left" vertical="center" wrapText="1"/>
    </xf>
    <xf numFmtId="1" fontId="18" fillId="7" borderId="10" xfId="20" applyNumberFormat="1" applyAlignment="1" applyProtection="1">
      <alignment horizontal="right" vertical="top"/>
      <protection/>
    </xf>
    <xf numFmtId="49" fontId="5" fillId="12" borderId="11" xfId="0" applyNumberFormat="1" applyFill="1" applyBorder="1" applyAlignment="1" applyProtection="1">
      <alignment horizontal="left" vertical="top" wrapText="1"/>
      <protection locked="0"/>
    </xf>
    <xf numFmtId="49" fontId="5" fillId="0" borderId="0" xfId="18" applyNumberFormat="1" applyFont="1" applyAlignment="1" applyProtection="1">
      <alignment horizontal="left" vertical="top"/>
      <protection/>
    </xf>
    <xf numFmtId="49" fontId="18" fillId="7" borderId="10" xfId="20" applyNumberFormat="1" applyAlignment="1" applyProtection="1">
      <alignment horizontal="left" vertical="top"/>
      <protection/>
    </xf>
    <xf numFmtId="49" fontId="17" fillId="0" borderId="0" xfId="0" applyNumberFormat="1" applyFont="1" applyAlignment="1">
      <alignment vertical="center"/>
    </xf>
    <xf numFmtId="49" fontId="16" fillId="0" borderId="0" xfId="0" applyNumberFormat="1" applyFont="1"/>
    <xf numFmtId="49" fontId="7" fillId="0" borderId="0" xfId="0" applyNumberFormat="1" applyFont="1"/>
    <xf numFmtId="49" fontId="5" fillId="0" borderId="7" xfId="0" applyNumberFormat="1" applyBorder="1" applyAlignment="1">
      <alignment horizontal="left"/>
    </xf>
    <xf numFmtId="49" fontId="5" fillId="0" borderId="11" xfId="0" applyNumberFormat="1" applyBorder="1" applyAlignment="1">
      <alignment horizontal="left"/>
    </xf>
    <xf numFmtId="49" fontId="5" fillId="0" borderId="8" xfId="0" applyNumberFormat="1" applyBorder="1" applyAlignment="1">
      <alignment horizontal="left"/>
    </xf>
    <xf numFmtId="49" fontId="16" fillId="0" borderId="0" xfId="0" applyNumberFormat="1" applyFont="1" applyAlignment="1">
      <alignment vertical="center"/>
    </xf>
    <xf numFmtId="0" fontId="5" fillId="0" borderId="0" xfId="0" applyAlignment="1">
      <alignment horizontal="left" wrapText="1"/>
    </xf>
    <xf numFmtId="49" fontId="5" fillId="14" borderId="1" xfId="0" applyNumberFormat="1" applyFill="1" applyBorder="1" applyAlignment="1">
      <alignment horizontal="left"/>
    </xf>
    <xf numFmtId="49" fontId="15" fillId="0" borderId="0" xfId="0" applyNumberFormat="1" applyFont="1" applyAlignment="1">
      <alignment vertical="center"/>
    </xf>
    <xf numFmtId="49" fontId="8" fillId="0" borderId="0" xfId="0" applyNumberFormat="1" applyFont="1" applyAlignment="1">
      <alignment vertical="center"/>
    </xf>
    <xf numFmtId="49" fontId="5" fillId="0" borderId="0" xfId="0" applyNumberFormat="1" applyAlignment="1">
      <alignment horizontal="left" wrapText="1"/>
    </xf>
    <xf numFmtId="49" fontId="6" fillId="15" borderId="7" xfId="20" applyNumberFormat="1" applyFont="1" applyFill="1" applyBorder="1" applyAlignment="1" applyProtection="1">
      <alignment horizontal="left" vertical="top" wrapText="1"/>
      <protection locked="0"/>
    </xf>
    <xf numFmtId="49" fontId="6" fillId="15" borderId="18" xfId="20" applyNumberFormat="1" applyFont="1" applyFill="1" applyBorder="1" applyAlignment="1" applyProtection="1">
      <alignment horizontal="left" vertical="top" wrapText="1"/>
      <protection locked="0"/>
    </xf>
    <xf numFmtId="49" fontId="6" fillId="15" borderId="19" xfId="20" applyNumberFormat="1" applyFont="1" applyFill="1" applyBorder="1" applyAlignment="1" applyProtection="1">
      <alignment horizontal="left" vertical="top" wrapText="1"/>
      <protection locked="0"/>
    </xf>
    <xf numFmtId="49" fontId="6" fillId="15" borderId="20" xfId="20" applyNumberFormat="1" applyFont="1" applyFill="1" applyBorder="1" applyAlignment="1" applyProtection="1">
      <alignment horizontal="left" vertical="top" wrapText="1"/>
      <protection locked="0"/>
    </xf>
    <xf numFmtId="49" fontId="6" fillId="15" borderId="21" xfId="20" applyNumberFormat="1" applyFont="1" applyFill="1" applyBorder="1" applyAlignment="1" applyProtection="1">
      <alignment horizontal="left" vertical="top" wrapText="1"/>
      <protection locked="0"/>
    </xf>
    <xf numFmtId="0" fontId="6" fillId="15" borderId="7" xfId="20" applyNumberFormat="1" applyFont="1" applyFill="1" applyBorder="1" applyAlignment="1" applyProtection="1">
      <alignment horizontal="left" vertical="top"/>
      <protection locked="0"/>
    </xf>
    <xf numFmtId="0" fontId="6" fillId="15" borderId="18" xfId="20" applyNumberFormat="1" applyFont="1" applyFill="1" applyBorder="1" applyAlignment="1" applyProtection="1">
      <alignment horizontal="left" vertical="top"/>
      <protection locked="0"/>
    </xf>
    <xf numFmtId="0" fontId="6" fillId="15" borderId="19" xfId="20" applyNumberFormat="1" applyFont="1" applyFill="1" applyBorder="1" applyAlignment="1" applyProtection="1">
      <alignment horizontal="left" vertical="top"/>
      <protection locked="0"/>
    </xf>
    <xf numFmtId="0" fontId="6" fillId="15" borderId="20" xfId="20" applyNumberFormat="1" applyFont="1" applyFill="1" applyBorder="1" applyAlignment="1" applyProtection="1">
      <alignment horizontal="left" vertical="top"/>
      <protection locked="0"/>
    </xf>
    <xf numFmtId="0" fontId="6" fillId="15" borderId="21" xfId="20" applyNumberFormat="1" applyFont="1" applyFill="1" applyBorder="1" applyAlignment="1" applyProtection="1">
      <alignment horizontal="left" vertical="top"/>
      <protection locked="0"/>
    </xf>
    <xf numFmtId="0" fontId="6" fillId="15" borderId="7" xfId="20" applyNumberFormat="1" applyFont="1" applyFill="1" applyBorder="1" applyAlignment="1" applyProtection="1">
      <alignment horizontal="left" vertical="top" wrapText="1"/>
      <protection locked="0"/>
    </xf>
    <xf numFmtId="0" fontId="6" fillId="15" borderId="18" xfId="20" applyNumberFormat="1" applyFont="1" applyFill="1" applyBorder="1" applyAlignment="1" applyProtection="1">
      <alignment horizontal="left" vertical="top" wrapText="1"/>
      <protection locked="0"/>
    </xf>
    <xf numFmtId="0" fontId="6" fillId="15" borderId="19" xfId="20" applyNumberFormat="1" applyFont="1" applyFill="1" applyBorder="1" applyAlignment="1" applyProtection="1">
      <alignment horizontal="left" vertical="top" wrapText="1"/>
      <protection locked="0"/>
    </xf>
    <xf numFmtId="0" fontId="6" fillId="15" borderId="20" xfId="20" applyNumberFormat="1" applyFont="1" applyFill="1" applyBorder="1" applyAlignment="1" applyProtection="1">
      <alignment horizontal="left" vertical="top" wrapText="1"/>
      <protection locked="0"/>
    </xf>
    <xf numFmtId="0" fontId="6" fillId="15" borderId="21" xfId="20" applyNumberFormat="1" applyFont="1" applyFill="1" applyBorder="1" applyAlignment="1" applyProtection="1">
      <alignment horizontal="left" vertical="top" wrapText="1"/>
      <protection locked="0"/>
    </xf>
    <xf numFmtId="0" fontId="5" fillId="0" borderId="22" xfId="0" applyBorder="1" applyAlignment="1">
      <alignment vertical="top"/>
    </xf>
    <xf numFmtId="0" fontId="5" fillId="15" borderId="0" xfId="0" applyFont="1" applyFill="1" applyProtection="1">
      <protection hidden="1" locked="0"/>
    </xf>
    <xf numFmtId="49" fontId="6" fillId="15" borderId="7" xfId="20" applyNumberFormat="1" applyFont="1" applyFill="1" applyBorder="1" applyAlignment="1" applyProtection="1">
      <alignment horizontal="center" vertical="top"/>
      <protection locked="0"/>
    </xf>
    <xf numFmtId="49" fontId="6" fillId="15" borderId="18" xfId="20" applyNumberFormat="1" applyFont="1" applyFill="1" applyBorder="1" applyAlignment="1" applyProtection="1">
      <alignment horizontal="center" vertical="top"/>
      <protection locked="0"/>
    </xf>
    <xf numFmtId="49" fontId="14" fillId="11" borderId="23" xfId="0" applyNumberFormat="1" applyFont="1" applyFill="1" applyBorder="1" applyAlignment="1">
      <alignment horizontal="center" vertical="top" wrapText="1"/>
    </xf>
    <xf numFmtId="49" fontId="14" fillId="11" borderId="24" xfId="0" applyNumberFormat="1" applyFont="1" applyFill="1" applyBorder="1" applyAlignment="1">
      <alignment horizontal="center" vertical="top" wrapText="1"/>
    </xf>
    <xf numFmtId="49" fontId="14" fillId="11" borderId="25" xfId="0" applyNumberFormat="1" applyFont="1" applyFill="1" applyBorder="1" applyAlignment="1">
      <alignment horizontal="center" vertical="top" wrapText="1"/>
    </xf>
    <xf numFmtId="49" fontId="6" fillId="15" borderId="19" xfId="20" applyNumberFormat="1" applyFont="1" applyFill="1" applyBorder="1" applyAlignment="1" applyProtection="1">
      <alignment horizontal="center" vertical="top"/>
      <protection locked="0"/>
    </xf>
    <xf numFmtId="49" fontId="6" fillId="15" borderId="20" xfId="20" applyNumberFormat="1" applyFont="1" applyFill="1" applyBorder="1" applyAlignment="1" applyProtection="1">
      <alignment horizontal="center" vertical="top"/>
      <protection locked="0"/>
    </xf>
    <xf numFmtId="49" fontId="6" fillId="15" borderId="21" xfId="20" applyNumberFormat="1" applyFont="1" applyFill="1" applyBorder="1" applyAlignment="1" applyProtection="1">
      <alignment horizontal="center" vertical="top"/>
      <protection locked="0"/>
    </xf>
    <xf numFmtId="49" fontId="5" fillId="15" borderId="7" xfId="0" applyNumberFormat="1" applyFont="1" applyFill="1" applyBorder="1" applyAlignment="1" applyProtection="1">
      <alignment horizontal="right" vertical="top"/>
      <protection locked="0"/>
    </xf>
    <xf numFmtId="49" fontId="5" fillId="15" borderId="18" xfId="0" applyNumberFormat="1" applyFont="1" applyFill="1" applyBorder="1" applyAlignment="1" applyProtection="1">
      <alignment horizontal="right" vertical="top"/>
      <protection locked="0"/>
    </xf>
    <xf numFmtId="49" fontId="5" fillId="0" borderId="22" xfId="0" applyNumberFormat="1" applyBorder="1" applyAlignment="1">
      <alignment horizontal="left" vertical="center"/>
    </xf>
    <xf numFmtId="49" fontId="5" fillId="15" borderId="19" xfId="0" applyNumberFormat="1" applyFont="1" applyFill="1" applyBorder="1" applyAlignment="1" applyProtection="1">
      <alignment horizontal="right" vertical="top"/>
      <protection locked="0"/>
    </xf>
    <xf numFmtId="49" fontId="5" fillId="15" borderId="20" xfId="0" applyNumberFormat="1" applyFont="1" applyFill="1" applyBorder="1" applyAlignment="1" applyProtection="1">
      <alignment horizontal="right" vertical="top"/>
      <protection locked="0"/>
    </xf>
    <xf numFmtId="49" fontId="5" fillId="15" borderId="21" xfId="0" applyNumberFormat="1" applyFont="1" applyFill="1" applyBorder="1" applyAlignment="1" applyProtection="1">
      <alignment horizontal="right" vertical="top"/>
      <protection locked="0"/>
    </xf>
    <xf numFmtId="49" fontId="5" fillId="15" borderId="7" xfId="0" applyNumberFormat="1" applyFont="1" applyFill="1" applyBorder="1" applyAlignment="1" applyProtection="1">
      <alignment horizontal="left" vertical="top"/>
      <protection locked="0"/>
    </xf>
    <xf numFmtId="49" fontId="5" fillId="15" borderId="18" xfId="0" applyNumberFormat="1" applyFont="1" applyFill="1" applyBorder="1" applyAlignment="1" applyProtection="1">
      <alignment horizontal="left" vertical="top"/>
      <protection locked="0"/>
    </xf>
    <xf numFmtId="49" fontId="5" fillId="0" borderId="26" xfId="0" applyNumberFormat="1" applyBorder="1" applyAlignment="1">
      <alignment horizontal="left" vertical="center"/>
    </xf>
    <xf numFmtId="49" fontId="5" fillId="15" borderId="19" xfId="0" applyNumberFormat="1" applyFont="1" applyFill="1" applyBorder="1" applyAlignment="1" applyProtection="1">
      <alignment horizontal="left" vertical="top"/>
      <protection locked="0"/>
    </xf>
    <xf numFmtId="49" fontId="5" fillId="15" borderId="20" xfId="0" applyNumberFormat="1" applyFont="1" applyFill="1" applyBorder="1" applyAlignment="1" applyProtection="1">
      <alignment horizontal="left" vertical="top"/>
      <protection locked="0"/>
    </xf>
    <xf numFmtId="49" fontId="5" fillId="15" borderId="21" xfId="0" applyNumberFormat="1" applyFont="1" applyFill="1" applyBorder="1" applyAlignment="1" applyProtection="1">
      <alignment horizontal="left" vertical="top"/>
      <protection locked="0"/>
    </xf>
    <xf numFmtId="49" fontId="5" fillId="15" borderId="2" xfId="0" applyNumberFormat="1" applyFont="1" applyFill="1" applyBorder="1" applyAlignment="1" applyProtection="1">
      <alignment horizontal="right" vertical="top"/>
      <protection locked="0"/>
    </xf>
    <xf numFmtId="49" fontId="5" fillId="15" borderId="27" xfId="0" applyNumberFormat="1" applyFont="1" applyFill="1" applyBorder="1" applyAlignment="1" applyProtection="1">
      <alignment horizontal="right" vertical="top"/>
      <protection locked="0"/>
    </xf>
    <xf numFmtId="49" fontId="5" fillId="15" borderId="23" xfId="0" applyNumberFormat="1" applyFont="1" applyFill="1" applyBorder="1" applyAlignment="1" applyProtection="1">
      <alignment horizontal="right" vertical="top"/>
      <protection locked="0"/>
    </xf>
    <xf numFmtId="49" fontId="5" fillId="15" borderId="28" xfId="0" applyNumberFormat="1" applyFont="1" applyFill="1" applyBorder="1" applyAlignment="1" applyProtection="1">
      <alignment horizontal="right" vertical="top"/>
      <protection locked="0"/>
    </xf>
    <xf numFmtId="49" fontId="5" fillId="15" borderId="29" xfId="0" applyNumberFormat="1" applyFont="1" applyFill="1" applyBorder="1" applyAlignment="1" applyProtection="1">
      <alignment horizontal="right" vertical="top"/>
      <protection locked="0"/>
    </xf>
    <xf numFmtId="49" fontId="5" fillId="15" borderId="30" xfId="0" applyNumberFormat="1" applyFont="1" applyFill="1" applyBorder="1" applyAlignment="1" applyProtection="1">
      <alignment horizontal="right" vertical="top"/>
      <protection locked="0"/>
    </xf>
    <xf numFmtId="49" fontId="5" fillId="15" borderId="31" xfId="0" applyNumberFormat="1" applyFont="1" applyFill="1" applyBorder="1" applyAlignment="1" applyProtection="1">
      <alignment horizontal="right" vertical="top"/>
      <protection locked="0"/>
    </xf>
    <xf numFmtId="49" fontId="5" fillId="15" borderId="2" xfId="0" applyNumberFormat="1" applyFont="1" applyFill="1" applyBorder="1" applyAlignment="1" applyProtection="1">
      <alignment horizontal="left" vertical="top"/>
      <protection locked="0"/>
    </xf>
    <xf numFmtId="49" fontId="5" fillId="15" borderId="27" xfId="0" applyNumberFormat="1" applyFont="1" applyFill="1" applyBorder="1" applyAlignment="1" applyProtection="1">
      <alignment horizontal="left" vertical="top"/>
      <protection locked="0"/>
    </xf>
    <xf numFmtId="49" fontId="5" fillId="15" borderId="23" xfId="0" applyNumberFormat="1" applyFont="1" applyFill="1" applyBorder="1" applyAlignment="1" applyProtection="1">
      <alignment horizontal="left" vertical="top"/>
      <protection locked="0"/>
    </xf>
    <xf numFmtId="49" fontId="5" fillId="15" borderId="28" xfId="0" applyNumberFormat="1" applyFont="1" applyFill="1" applyBorder="1" applyAlignment="1" applyProtection="1">
      <alignment horizontal="left" vertical="top"/>
      <protection locked="0"/>
    </xf>
    <xf numFmtId="49" fontId="5" fillId="15" borderId="29" xfId="0" applyNumberFormat="1" applyFont="1" applyFill="1" applyBorder="1" applyAlignment="1" applyProtection="1">
      <alignment horizontal="left" vertical="top"/>
      <protection locked="0"/>
    </xf>
    <xf numFmtId="49" fontId="5" fillId="15" borderId="30" xfId="0" applyNumberFormat="1" applyFont="1" applyFill="1" applyBorder="1" applyAlignment="1" applyProtection="1">
      <alignment horizontal="left" vertical="top"/>
      <protection locked="0"/>
    </xf>
    <xf numFmtId="49" fontId="5" fillId="15" borderId="31" xfId="0" applyNumberFormat="1" applyFont="1" applyFill="1" applyBorder="1" applyAlignment="1" applyProtection="1">
      <alignment horizontal="left" vertical="top"/>
      <protection locked="0"/>
    </xf>
    <xf numFmtId="49" fontId="8" fillId="0" borderId="22" xfId="0" applyNumberFormat="1" applyFont="1" applyBorder="1" applyAlignment="1">
      <alignment horizontal="left" vertical="center"/>
    </xf>
    <xf numFmtId="49" fontId="8" fillId="0" borderId="26" xfId="0" applyNumberFormat="1" applyFont="1" applyBorder="1" applyAlignment="1">
      <alignment horizontal="left" vertical="center"/>
    </xf>
    <xf numFmtId="49" fontId="7" fillId="0" borderId="24" xfId="0" applyNumberFormat="1" applyFont="1" applyBorder="1" applyAlignment="1">
      <alignment horizontal="left" vertical="top"/>
    </xf>
    <xf numFmtId="49" fontId="7" fillId="0" borderId="25" xfId="0" applyNumberFormat="1" applyFont="1" applyBorder="1" applyAlignment="1">
      <alignment horizontal="left" vertical="top"/>
    </xf>
    <xf numFmtId="49" fontId="7" fillId="0" borderId="22" xfId="0" applyNumberFormat="1" applyFont="1" applyBorder="1" applyAlignment="1">
      <alignment horizontal="left" vertical="top" wrapText="1"/>
    </xf>
    <xf numFmtId="49" fontId="7" fillId="0" borderId="26" xfId="0" applyNumberFormat="1" applyFont="1" applyBorder="1" applyAlignment="1">
      <alignment horizontal="left" vertical="top" wrapText="1"/>
    </xf>
    <xf numFmtId="49" fontId="5" fillId="15" borderId="1" xfId="0" applyNumberFormat="1" applyFont="1" applyFill="1" applyBorder="1" applyAlignment="1" applyProtection="1">
      <alignment horizontal="right" vertical="top"/>
      <protection locked="0"/>
    </xf>
    <xf numFmtId="49" fontId="5" fillId="15" borderId="32" xfId="0" applyNumberFormat="1" applyFont="1" applyFill="1" applyBorder="1" applyAlignment="1" applyProtection="1">
      <alignment horizontal="right" vertical="top"/>
      <protection locked="0"/>
    </xf>
    <xf numFmtId="49" fontId="5" fillId="15" borderId="33" xfId="0" applyNumberFormat="1" applyFont="1" applyFill="1" applyBorder="1" applyAlignment="1" applyProtection="1">
      <alignment horizontal="right" vertical="top"/>
      <protection locked="0"/>
    </xf>
    <xf numFmtId="49" fontId="5" fillId="15" borderId="34" xfId="0" applyNumberFormat="1" applyFont="1" applyFill="1" applyBorder="1" applyAlignment="1" applyProtection="1">
      <alignment horizontal="right" vertical="top"/>
      <protection locked="0"/>
    </xf>
    <xf numFmtId="49" fontId="8" fillId="0" borderId="24" xfId="0" applyNumberFormat="1" applyFont="1" applyBorder="1" applyAlignment="1">
      <alignment horizontal="left" vertical="center"/>
    </xf>
    <xf numFmtId="49" fontId="8" fillId="0" borderId="25" xfId="0" applyNumberFormat="1" applyFont="1" applyBorder="1" applyAlignment="1">
      <alignment horizontal="left" vertical="center"/>
    </xf>
    <xf numFmtId="49" fontId="5" fillId="15" borderId="1" xfId="0" applyNumberFormat="1" applyFont="1" applyFill="1" applyBorder="1" applyAlignment="1" applyProtection="1">
      <alignment horizontal="left" vertical="top"/>
      <protection locked="0"/>
    </xf>
    <xf numFmtId="49" fontId="5" fillId="15" borderId="32" xfId="0" applyNumberFormat="1" applyFont="1" applyFill="1" applyBorder="1" applyAlignment="1" applyProtection="1">
      <alignment horizontal="left" vertical="top"/>
      <protection locked="0"/>
    </xf>
    <xf numFmtId="49" fontId="5" fillId="15" borderId="33" xfId="0" applyNumberFormat="1" applyFont="1" applyFill="1" applyBorder="1" applyAlignment="1" applyProtection="1">
      <alignment horizontal="left" vertical="top"/>
      <protection locked="0"/>
    </xf>
    <xf numFmtId="49" fontId="5" fillId="15" borderId="34" xfId="0" applyNumberFormat="1" applyFont="1" applyFill="1" applyBorder="1" applyAlignment="1" applyProtection="1">
      <alignment horizontal="left" vertical="top"/>
      <protection locked="0"/>
    </xf>
    <xf numFmtId="49" fontId="13" fillId="11" borderId="35" xfId="0" applyNumberFormat="1" applyFont="1" applyFill="1" applyBorder="1" applyAlignment="1">
      <alignment horizontal="center" vertical="top" wrapText="1"/>
    </xf>
    <xf numFmtId="49" fontId="13" fillId="11" borderId="35" xfId="0" applyNumberFormat="1" applyFont="1" applyFill="1" applyBorder="1" applyAlignment="1">
      <alignment horizontal="center" vertical="top"/>
    </xf>
    <xf numFmtId="49" fontId="7" fillId="0" borderId="35" xfId="0" applyNumberFormat="1" applyFont="1" applyBorder="1" applyAlignment="1">
      <alignment horizontal="left" vertical="top"/>
    </xf>
    <xf numFmtId="49" fontId="5" fillId="15" borderId="35" xfId="0" applyNumberFormat="1" applyFont="1" applyFill="1" applyBorder="1" applyAlignment="1" applyProtection="1">
      <alignment horizontal="right" vertical="top"/>
      <protection locked="0"/>
    </xf>
    <xf numFmtId="49" fontId="5" fillId="15" borderId="36" xfId="0" applyNumberFormat="1" applyFont="1" applyFill="1" applyBorder="1" applyAlignment="1" applyProtection="1">
      <alignment horizontal="right" vertical="top"/>
      <protection locked="0"/>
    </xf>
    <xf numFmtId="49" fontId="5" fillId="15" borderId="37" xfId="0" applyNumberFormat="1" applyFont="1" applyFill="1" applyBorder="1" applyAlignment="1" applyProtection="1">
      <alignment horizontal="right" vertical="top"/>
      <protection locked="0"/>
    </xf>
    <xf numFmtId="49" fontId="5" fillId="15" borderId="38" xfId="0" applyNumberFormat="1" applyFont="1" applyFill="1" applyBorder="1" applyAlignment="1" applyProtection="1">
      <alignment horizontal="right" vertical="top"/>
      <protection locked="0"/>
    </xf>
    <xf numFmtId="49" fontId="5" fillId="15" borderId="35" xfId="0" applyNumberFormat="1" applyFont="1" applyFill="1" applyBorder="1" applyAlignment="1" applyProtection="1">
      <alignment horizontal="left" vertical="top"/>
      <protection locked="0"/>
    </xf>
    <xf numFmtId="49" fontId="5" fillId="15" borderId="36" xfId="0" applyNumberFormat="1" applyFont="1" applyFill="1" applyBorder="1" applyAlignment="1" applyProtection="1">
      <alignment horizontal="left" vertical="top"/>
      <protection locked="0"/>
    </xf>
    <xf numFmtId="49" fontId="5" fillId="15" borderId="37" xfId="0" applyNumberFormat="1" applyFont="1" applyFill="1" applyBorder="1" applyAlignment="1" applyProtection="1">
      <alignment horizontal="left" vertical="top"/>
      <protection locked="0"/>
    </xf>
    <xf numFmtId="49" fontId="5" fillId="15" borderId="38" xfId="0" applyNumberFormat="1" applyFont="1" applyFill="1" applyBorder="1" applyAlignment="1" applyProtection="1">
      <alignment horizontal="left" vertical="top"/>
      <protection locked="0"/>
    </xf>
    <xf numFmtId="49" fontId="5" fillId="0" borderId="35" xfId="0" applyNumberFormat="1" applyBorder="1" applyAlignment="1">
      <alignment horizontal="right" vertical="top"/>
    </xf>
    <xf numFmtId="49" fontId="7" fillId="0" borderId="35" xfId="0" applyNumberFormat="1" applyFont="1" applyBorder="1" applyAlignment="1">
      <alignment horizontal="left"/>
    </xf>
    <xf numFmtId="49" fontId="5" fillId="0" borderId="39" xfId="0" applyNumberFormat="1" applyBorder="1" applyAlignment="1">
      <alignment horizontal="right" vertical="top"/>
    </xf>
    <xf numFmtId="49" fontId="5" fillId="0" borderId="22" xfId="0" applyNumberFormat="1" applyBorder="1" applyAlignment="1">
      <alignment horizontal="right" vertical="top"/>
    </xf>
    <xf numFmtId="49" fontId="5" fillId="0" borderId="26" xfId="0" applyNumberFormat="1" applyBorder="1" applyAlignment="1">
      <alignment horizontal="right" vertical="top"/>
    </xf>
    <xf numFmtId="49" fontId="5" fillId="0" borderId="23" xfId="0" applyNumberFormat="1" applyBorder="1" applyAlignment="1">
      <alignment horizontal="right" vertical="top"/>
    </xf>
    <xf numFmtId="49" fontId="5" fillId="0" borderId="24" xfId="0" applyNumberFormat="1" applyBorder="1" applyAlignment="1">
      <alignment horizontal="right" vertical="top"/>
    </xf>
    <xf numFmtId="49" fontId="5" fillId="0" borderId="25" xfId="0" applyNumberFormat="1" applyBorder="1" applyAlignment="1">
      <alignment horizontal="right" vertical="top"/>
    </xf>
    <xf numFmtId="49" fontId="7" fillId="15" borderId="7" xfId="0" applyNumberFormat="1" applyFont="1" applyFill="1" applyBorder="1" applyAlignment="1" applyProtection="1">
      <alignment horizontal="right" vertical="top"/>
      <protection locked="0"/>
    </xf>
    <xf numFmtId="49" fontId="7" fillId="15" borderId="18" xfId="0" applyNumberFormat="1" applyFont="1" applyFill="1" applyBorder="1" applyAlignment="1" applyProtection="1">
      <alignment horizontal="right" vertical="top"/>
      <protection locked="0"/>
    </xf>
    <xf numFmtId="49" fontId="5" fillId="0" borderId="22" xfId="0" applyNumberFormat="1" applyBorder="1"/>
    <xf numFmtId="49" fontId="5" fillId="0" borderId="22" xfId="0" applyNumberFormat="1" applyBorder="1" applyProtection="1">
      <protection hidden="1"/>
    </xf>
    <xf numFmtId="49" fontId="7" fillId="15" borderId="19" xfId="0" applyNumberFormat="1" applyFont="1" applyFill="1" applyBorder="1" applyAlignment="1" applyProtection="1">
      <alignment horizontal="right" vertical="top"/>
      <protection locked="0"/>
    </xf>
    <xf numFmtId="49" fontId="7" fillId="15" borderId="20" xfId="0" applyNumberFormat="1" applyFont="1" applyFill="1" applyBorder="1" applyAlignment="1" applyProtection="1">
      <alignment horizontal="right" vertical="top"/>
      <protection locked="0"/>
    </xf>
    <xf numFmtId="49" fontId="7" fillId="15" borderId="21" xfId="0" applyNumberFormat="1" applyFont="1" applyFill="1" applyBorder="1" applyAlignment="1" applyProtection="1">
      <alignment horizontal="right" vertical="top"/>
      <protection locked="0"/>
    </xf>
    <xf numFmtId="49" fontId="7" fillId="0" borderId="35" xfId="0" applyNumberFormat="1" applyFont="1" applyBorder="1" applyAlignment="1">
      <alignment vertical="top"/>
    </xf>
    <xf numFmtId="0" fontId="5" fillId="15" borderId="0" xfId="0" applyFont="1" applyFill="1" applyAlignment="1" applyProtection="1">
      <alignment vertical="center"/>
      <protection hidden="1" locked="0"/>
    </xf>
    <xf numFmtId="49" fontId="7" fillId="15" borderId="7" xfId="0" applyNumberFormat="1" applyFont="1" applyFill="1" applyBorder="1" applyAlignment="1" applyProtection="1">
      <alignment horizontal="left" vertical="top" wrapText="1"/>
      <protection locked="0"/>
    </xf>
    <xf numFmtId="49" fontId="7" fillId="15" borderId="18" xfId="0" applyNumberFormat="1" applyFont="1" applyFill="1" applyBorder="1" applyAlignment="1" applyProtection="1">
      <alignment horizontal="left" vertical="top" wrapText="1"/>
      <protection locked="0"/>
    </xf>
    <xf numFmtId="49" fontId="7" fillId="0" borderId="24" xfId="0" applyNumberFormat="1" applyFont="1" applyBorder="1" applyAlignment="1">
      <alignment horizontal="left" vertical="center" wrapText="1"/>
    </xf>
    <xf numFmtId="49" fontId="7" fillId="0" borderId="25" xfId="0" applyNumberFormat="1" applyFont="1" applyBorder="1" applyAlignment="1">
      <alignment horizontal="left" vertical="center" wrapText="1"/>
    </xf>
    <xf numFmtId="49" fontId="7" fillId="15" borderId="19" xfId="0" applyNumberFormat="1" applyFont="1" applyFill="1" applyBorder="1" applyAlignment="1" applyProtection="1">
      <alignment horizontal="left" vertical="top" wrapText="1"/>
      <protection locked="0"/>
    </xf>
    <xf numFmtId="49" fontId="7" fillId="15" borderId="20" xfId="0" applyNumberFormat="1" applyFont="1" applyFill="1" applyBorder="1" applyAlignment="1" applyProtection="1">
      <alignment horizontal="left" vertical="top" wrapText="1"/>
      <protection locked="0"/>
    </xf>
    <xf numFmtId="49" fontId="7" fillId="15" borderId="21" xfId="0" applyNumberFormat="1" applyFont="1" applyFill="1" applyBorder="1" applyAlignment="1" applyProtection="1">
      <alignment horizontal="left" vertical="top" wrapText="1"/>
      <protection locked="0"/>
    </xf>
    <xf numFmtId="49" fontId="8" fillId="0" borderId="24" xfId="0" applyNumberFormat="1" applyFont="1" applyBorder="1" applyAlignment="1">
      <alignment horizontal="left" vertical="top"/>
    </xf>
    <xf numFmtId="49" fontId="5" fillId="0" borderId="23" xfId="0" applyNumberFormat="1" applyBorder="1" applyAlignment="1">
      <alignment horizontal="left" vertical="top"/>
    </xf>
    <xf numFmtId="49" fontId="5" fillId="0" borderId="24" xfId="0" applyNumberFormat="1" applyBorder="1" applyAlignment="1">
      <alignment horizontal="left" vertical="top"/>
    </xf>
    <xf numFmtId="49" fontId="5" fillId="0" borderId="25" xfId="0" applyNumberFormat="1" applyBorder="1" applyAlignment="1">
      <alignment horizontal="left" vertical="top"/>
    </xf>
    <xf numFmtId="49" fontId="5" fillId="15" borderId="1" xfId="0" applyNumberFormat="1" applyFont="1" applyFill="1" applyBorder="1" applyAlignment="1" applyProtection="1">
      <alignment horizontal="left"/>
      <protection locked="0"/>
    </xf>
    <xf numFmtId="49" fontId="5" fillId="15" borderId="32" xfId="0" applyNumberFormat="1" applyFont="1" applyFill="1" applyBorder="1" applyAlignment="1" applyProtection="1">
      <alignment horizontal="left"/>
      <protection locked="0"/>
    </xf>
    <xf numFmtId="49" fontId="5" fillId="0" borderId="35" xfId="0" applyNumberFormat="1" applyBorder="1" applyAlignment="1">
      <alignment horizontal="left"/>
    </xf>
    <xf numFmtId="49" fontId="5" fillId="15" borderId="33" xfId="0" applyNumberFormat="1" applyFont="1" applyFill="1" applyBorder="1" applyAlignment="1" applyProtection="1">
      <alignment horizontal="left"/>
      <protection locked="0"/>
    </xf>
    <xf numFmtId="49" fontId="5" fillId="15" borderId="34" xfId="0" applyNumberFormat="1" applyFont="1" applyFill="1" applyBorder="1" applyAlignment="1" applyProtection="1">
      <alignment horizontal="left"/>
      <protection locked="0"/>
    </xf>
    <xf numFmtId="49" fontId="5" fillId="15" borderId="21" xfId="0" applyNumberFormat="1" applyFont="1" applyFill="1" applyBorder="1" applyAlignment="1" applyProtection="1">
      <alignment horizontal="left"/>
      <protection locked="0"/>
    </xf>
    <xf numFmtId="49" fontId="5" fillId="0" borderId="35" xfId="0" applyNumberFormat="1" applyBorder="1" applyAlignment="1">
      <alignment horizontal="left" vertical="center"/>
    </xf>
    <xf numFmtId="49" fontId="8" fillId="0" borderId="35" xfId="0" applyNumberFormat="1" applyFont="1" applyBorder="1" applyAlignment="1">
      <alignment horizontal="center" vertical="center"/>
    </xf>
    <xf numFmtId="0" fontId="5" fillId="15" borderId="0" xfId="0" applyFont="1" applyFill="1" applyProtection="1">
      <protection locked="0"/>
    </xf>
    <xf numFmtId="49" fontId="5" fillId="0" borderId="22" xfId="0" applyNumberFormat="1" applyBorder="1" applyAlignment="1">
      <alignment horizontal="left" vertical="top" wrapText="1"/>
    </xf>
    <xf numFmtId="49" fontId="5" fillId="0" borderId="39" xfId="0" applyNumberFormat="1" applyBorder="1" applyAlignment="1">
      <alignment horizontal="center" vertical="top" wrapText="1"/>
    </xf>
    <xf numFmtId="49" fontId="5" fillId="0" borderId="22" xfId="0" applyNumberFormat="1" applyBorder="1" applyAlignment="1">
      <alignment horizontal="center" vertical="top" wrapText="1"/>
    </xf>
    <xf numFmtId="49" fontId="5" fillId="0" borderId="26" xfId="0" applyNumberFormat="1" applyBorder="1" applyAlignment="1">
      <alignment horizontal="center" vertical="top" wrapText="1"/>
    </xf>
    <xf numFmtId="49" fontId="8" fillId="0" borderId="35" xfId="0" applyNumberFormat="1" applyFont="1" applyBorder="1" applyAlignment="1">
      <alignment horizontal="center" vertical="center" wrapText="1"/>
    </xf>
    <xf numFmtId="49" fontId="5" fillId="15" borderId="1" xfId="0" applyNumberFormat="1" applyFont="1" applyFill="1" applyBorder="1" applyAlignment="1" applyProtection="1">
      <alignment horizontal="right"/>
      <protection locked="0"/>
    </xf>
    <xf numFmtId="49" fontId="5" fillId="15" borderId="32" xfId="0" applyNumberFormat="1" applyFont="1" applyFill="1" applyBorder="1" applyAlignment="1" applyProtection="1">
      <alignment horizontal="right"/>
      <protection locked="0"/>
    </xf>
    <xf numFmtId="49" fontId="5" fillId="15" borderId="33" xfId="0" applyNumberFormat="1" applyFont="1" applyFill="1" applyBorder="1" applyAlignment="1" applyProtection="1">
      <alignment horizontal="right"/>
      <protection locked="0"/>
    </xf>
    <xf numFmtId="49" fontId="5" fillId="15" borderId="34" xfId="0" applyNumberFormat="1" applyFont="1" applyFill="1" applyBorder="1" applyAlignment="1" applyProtection="1">
      <alignment horizontal="right"/>
      <protection locked="0"/>
    </xf>
    <xf numFmtId="49" fontId="5" fillId="15" borderId="21" xfId="0" applyNumberFormat="1" applyFont="1" applyFill="1" applyBorder="1" applyAlignment="1" applyProtection="1">
      <alignment horizontal="right"/>
      <protection locked="0"/>
    </xf>
    <xf numFmtId="49" fontId="5" fillId="15" borderId="40" xfId="0" applyNumberFormat="1" applyFont="1" applyFill="1" applyBorder="1" applyAlignment="1" applyProtection="1">
      <alignment horizontal="left" vertical="top"/>
      <protection locked="0"/>
    </xf>
    <xf numFmtId="49" fontId="5" fillId="15" borderId="41" xfId="0" applyNumberFormat="1" applyFont="1" applyFill="1" applyBorder="1" applyAlignment="1" applyProtection="1">
      <alignment horizontal="left" vertical="top"/>
      <protection locked="0"/>
    </xf>
    <xf numFmtId="49" fontId="5" fillId="15" borderId="42" xfId="0" applyNumberFormat="1" applyFont="1" applyFill="1" applyBorder="1" applyAlignment="1" applyProtection="1">
      <alignment horizontal="left" vertical="top"/>
      <protection locked="0"/>
    </xf>
    <xf numFmtId="49" fontId="6" fillId="15" borderId="7" xfId="20" applyNumberFormat="1" applyFont="1" applyFill="1" applyBorder="1" applyAlignment="1" applyProtection="1">
      <alignment horizontal="right" vertical="top"/>
      <protection locked="0"/>
    </xf>
    <xf numFmtId="49" fontId="6" fillId="15" borderId="18" xfId="20" applyNumberFormat="1" applyFont="1" applyFill="1" applyBorder="1" applyAlignment="1" applyProtection="1">
      <alignment horizontal="right" vertical="top"/>
      <protection locked="0"/>
    </xf>
    <xf numFmtId="49" fontId="6" fillId="15" borderId="19" xfId="20" applyNumberFormat="1" applyFont="1" applyFill="1" applyBorder="1" applyAlignment="1" applyProtection="1">
      <alignment horizontal="right" vertical="top"/>
      <protection locked="0"/>
    </xf>
    <xf numFmtId="49" fontId="6" fillId="15" borderId="20" xfId="20" applyNumberFormat="1" applyFont="1" applyFill="1" applyBorder="1" applyAlignment="1" applyProtection="1">
      <alignment horizontal="right" vertical="top"/>
      <protection locked="0"/>
    </xf>
    <xf numFmtId="49" fontId="6" fillId="15" borderId="21" xfId="20" applyNumberFormat="1" applyFont="1" applyFill="1" applyBorder="1" applyAlignment="1" applyProtection="1">
      <alignment horizontal="right" vertical="top"/>
      <protection locked="0"/>
    </xf>
    <xf numFmtId="49" fontId="6" fillId="15" borderId="1" xfId="20" applyNumberFormat="1" applyFont="1" applyFill="1" applyBorder="1" applyAlignment="1" applyProtection="1">
      <alignment horizontal="right" vertical="top"/>
      <protection locked="0"/>
    </xf>
    <xf numFmtId="49" fontId="6" fillId="15" borderId="32" xfId="20" applyNumberFormat="1" applyFont="1" applyFill="1" applyBorder="1" applyAlignment="1" applyProtection="1">
      <alignment horizontal="right" vertical="top"/>
      <protection locked="0"/>
    </xf>
    <xf numFmtId="49" fontId="6" fillId="15" borderId="33" xfId="20" applyNumberFormat="1" applyFont="1" applyFill="1" applyBorder="1" applyAlignment="1" applyProtection="1">
      <alignment horizontal="right" vertical="top"/>
      <protection locked="0"/>
    </xf>
    <xf numFmtId="49" fontId="6" fillId="15" borderId="34" xfId="20" applyNumberFormat="1" applyFont="1" applyFill="1" applyBorder="1" applyAlignment="1" applyProtection="1">
      <alignment horizontal="right" vertical="top"/>
      <protection locked="0"/>
    </xf>
    <xf numFmtId="49" fontId="6" fillId="15" borderId="1" xfId="20" applyNumberFormat="1" applyFont="1" applyFill="1" applyBorder="1" applyAlignment="1" applyProtection="1">
      <alignment horizontal="right" vertical="top"/>
      <protection hidden="1" locked="0"/>
    </xf>
    <xf numFmtId="49" fontId="6" fillId="15" borderId="32" xfId="20" applyNumberFormat="1" applyFont="1" applyFill="1" applyBorder="1" applyAlignment="1" applyProtection="1">
      <alignment horizontal="right" vertical="top"/>
      <protection hidden="1" locked="0"/>
    </xf>
    <xf numFmtId="49" fontId="5" fillId="0" borderId="24" xfId="0" applyNumberFormat="1" applyBorder="1" applyAlignment="1">
      <alignment horizontal="left" vertical="center"/>
    </xf>
    <xf numFmtId="49" fontId="5" fillId="0" borderId="25" xfId="0" applyNumberFormat="1" applyBorder="1" applyAlignment="1">
      <alignment horizontal="left" vertical="center"/>
    </xf>
    <xf numFmtId="49" fontId="6" fillId="15" borderId="33" xfId="20" applyNumberFormat="1" applyFont="1" applyFill="1" applyBorder="1" applyAlignment="1" applyProtection="1">
      <alignment horizontal="right" vertical="top"/>
      <protection hidden="1" locked="0"/>
    </xf>
    <xf numFmtId="49" fontId="6" fillId="15" borderId="34" xfId="20" applyNumberFormat="1" applyFont="1" applyFill="1" applyBorder="1" applyAlignment="1" applyProtection="1">
      <alignment horizontal="right" vertical="top"/>
      <protection hidden="1" locked="0"/>
    </xf>
    <xf numFmtId="49" fontId="6" fillId="15" borderId="21" xfId="20" applyNumberFormat="1" applyFont="1" applyFill="1" applyBorder="1" applyAlignment="1" applyProtection="1">
      <alignment horizontal="right" vertical="top"/>
      <protection hidden="1" locked="0"/>
    </xf>
    <xf numFmtId="1" fontId="6" fillId="15" borderId="1" xfId="20" applyNumberFormat="1" applyFont="1" applyFill="1" applyBorder="1" applyAlignment="1" applyProtection="1">
      <alignment horizontal="right" vertical="top"/>
      <protection locked="0"/>
    </xf>
    <xf numFmtId="1" fontId="6" fillId="15" borderId="32" xfId="20" applyNumberFormat="1" applyFont="1" applyFill="1" applyBorder="1" applyAlignment="1" applyProtection="1">
      <alignment horizontal="right" vertical="top"/>
      <protection locked="0"/>
    </xf>
    <xf numFmtId="49" fontId="5" fillId="0" borderId="22" xfId="0" applyNumberFormat="1" applyBorder="1" applyAlignment="1">
      <alignment horizontal="left" vertical="center" wrapText="1"/>
    </xf>
    <xf numFmtId="1" fontId="6" fillId="15" borderId="33" xfId="20" applyNumberFormat="1" applyFont="1" applyFill="1" applyBorder="1" applyAlignment="1" applyProtection="1">
      <alignment horizontal="right" vertical="top"/>
      <protection locked="0"/>
    </xf>
    <xf numFmtId="1" fontId="6" fillId="15" borderId="34" xfId="20" applyNumberFormat="1" applyFont="1" applyFill="1" applyBorder="1" applyAlignment="1" applyProtection="1">
      <alignment horizontal="right" vertical="top"/>
      <protection locked="0"/>
    </xf>
    <xf numFmtId="1" fontId="6" fillId="15" borderId="21" xfId="20" applyNumberFormat="1" applyFont="1" applyFill="1" applyBorder="1" applyAlignment="1" applyProtection="1">
      <alignment horizontal="right" vertical="top"/>
      <protection locked="0"/>
    </xf>
    <xf numFmtId="49" fontId="6" fillId="15" borderId="10" xfId="20" applyNumberFormat="1" applyFont="1" applyFill="1" applyAlignment="1" applyProtection="1">
      <alignment horizontal="left" vertical="top"/>
      <protection locked="0"/>
    </xf>
    <xf numFmtId="49" fontId="6" fillId="15" borderId="43" xfId="20" applyNumberFormat="1" applyFont="1" applyFill="1" applyBorder="1" applyAlignment="1" applyProtection="1">
      <alignment horizontal="left" vertical="top"/>
      <protection locked="0"/>
    </xf>
    <xf numFmtId="49" fontId="5" fillId="0" borderId="22" xfId="0" applyNumberFormat="1" applyBorder="1" applyAlignment="1">
      <alignment horizontal="left" vertical="top"/>
    </xf>
    <xf numFmtId="49" fontId="6" fillId="15" borderId="44" xfId="20" applyNumberFormat="1" applyFont="1" applyFill="1" applyBorder="1" applyAlignment="1" applyProtection="1">
      <alignment horizontal="left" vertical="top"/>
      <protection locked="0"/>
    </xf>
    <xf numFmtId="49" fontId="6" fillId="15" borderId="45" xfId="20" applyNumberFormat="1" applyFont="1" applyFill="1" applyBorder="1" applyAlignment="1" applyProtection="1">
      <alignment horizontal="left" vertical="top"/>
      <protection locked="0"/>
    </xf>
    <xf numFmtId="49" fontId="6" fillId="15" borderId="46" xfId="20" applyNumberFormat="1" applyFont="1" applyFill="1" applyBorder="1" applyAlignment="1" applyProtection="1">
      <alignment horizontal="left" vertical="top"/>
      <protection locked="0"/>
    </xf>
    <xf numFmtId="49" fontId="5" fillId="15" borderId="7" xfId="0" applyNumberFormat="1" applyFont="1" applyFill="1" applyBorder="1" applyAlignment="1" applyProtection="1">
      <alignment horizontal="left"/>
      <protection locked="0"/>
    </xf>
    <xf numFmtId="49" fontId="5" fillId="15" borderId="18" xfId="0" applyNumberFormat="1" applyFont="1" applyFill="1" applyBorder="1" applyAlignment="1" applyProtection="1">
      <alignment horizontal="left"/>
      <protection locked="0"/>
    </xf>
    <xf numFmtId="49" fontId="5" fillId="15" borderId="19" xfId="0" applyNumberFormat="1" applyFont="1" applyFill="1" applyBorder="1" applyAlignment="1" applyProtection="1">
      <alignment horizontal="left"/>
      <protection locked="0"/>
    </xf>
    <xf numFmtId="49" fontId="5" fillId="15" borderId="20" xfId="0" applyNumberFormat="1" applyFont="1" applyFill="1" applyBorder="1" applyAlignment="1" applyProtection="1">
      <alignment horizontal="left"/>
      <protection locked="0"/>
    </xf>
    <xf numFmtId="49" fontId="6" fillId="16" borderId="34" xfId="20" applyNumberFormat="1" applyFont="1" applyFill="1" applyBorder="1" applyAlignment="1" applyProtection="1">
      <alignment horizontal="center" vertical="top"/>
      <protection/>
    </xf>
    <xf numFmtId="49" fontId="6" fillId="16" borderId="42" xfId="20" applyNumberFormat="1" applyFont="1" applyFill="1" applyBorder="1" applyAlignment="1" applyProtection="1">
      <alignment horizontal="center" vertical="top"/>
      <protection/>
    </xf>
    <xf numFmtId="49" fontId="5" fillId="16" borderId="34" xfId="0" applyNumberFormat="1" applyFont="1" applyFill="1" applyBorder="1" applyAlignment="1" applyProtection="1">
      <alignment horizontal="left"/>
      <protection/>
    </xf>
    <xf numFmtId="49" fontId="5" fillId="16" borderId="42" xfId="0" applyNumberFormat="1" applyFont="1" applyFill="1" applyBorder="1" applyAlignment="1" applyProtection="1">
      <alignment horizontal="left"/>
      <protection/>
    </xf>
    <xf numFmtId="0" fontId="6" fillId="16" borderId="7" xfId="20" applyFont="1" applyFill="1" applyBorder="1" applyAlignment="1" applyProtection="1">
      <alignment horizontal="left" vertical="top"/>
      <protection/>
    </xf>
    <xf numFmtId="0" fontId="6" fillId="16" borderId="18" xfId="20" applyFont="1" applyFill="1" applyBorder="1" applyAlignment="1" applyProtection="1">
      <alignment horizontal="left" vertical="top"/>
      <protection/>
    </xf>
    <xf numFmtId="49" fontId="9" fillId="0" borderId="22" xfId="0" applyNumberFormat="1" applyFont="1" applyBorder="1" applyAlignment="1">
      <alignment horizontal="left" vertical="top"/>
    </xf>
    <xf numFmtId="0" fontId="6" fillId="16" borderId="19" xfId="20" applyFont="1" applyFill="1" applyBorder="1" applyAlignment="1" applyProtection="1">
      <alignment horizontal="left" vertical="top"/>
      <protection/>
    </xf>
    <xf numFmtId="0" fontId="6" fillId="16" borderId="20" xfId="20" applyFont="1" applyFill="1" applyBorder="1" applyAlignment="1" applyProtection="1">
      <alignment horizontal="left" vertical="top"/>
      <protection/>
    </xf>
    <xf numFmtId="0" fontId="6" fillId="16" borderId="21" xfId="20" applyFont="1" applyFill="1" applyBorder="1" applyAlignment="1" applyProtection="1">
      <alignment horizontal="left" vertical="top"/>
      <protection/>
    </xf>
    <xf numFmtId="0" fontId="6" fillId="16" borderId="7" xfId="20" applyNumberFormat="1" applyFont="1" applyFill="1" applyBorder="1" applyAlignment="1" applyProtection="1">
      <alignment horizontal="right" vertical="top"/>
      <protection/>
    </xf>
    <xf numFmtId="0" fontId="6" fillId="16" borderId="18" xfId="20" applyNumberFormat="1" applyFont="1" applyFill="1" applyBorder="1" applyAlignment="1" applyProtection="1">
      <alignment horizontal="right" vertical="top"/>
      <protection/>
    </xf>
    <xf numFmtId="49" fontId="9" fillId="0" borderId="22" xfId="0" applyNumberFormat="1" applyFont="1" applyBorder="1" applyAlignment="1">
      <alignment horizontal="left" vertical="top" wrapText="1"/>
    </xf>
    <xf numFmtId="0" fontId="6" fillId="16" borderId="19" xfId="20" applyNumberFormat="1" applyFont="1" applyFill="1" applyBorder="1" applyAlignment="1" applyProtection="1">
      <alignment horizontal="right" vertical="top"/>
      <protection/>
    </xf>
    <xf numFmtId="0" fontId="6" fillId="16" borderId="20" xfId="20" applyNumberFormat="1" applyFont="1" applyFill="1" applyBorder="1" applyAlignment="1" applyProtection="1">
      <alignment horizontal="right" vertical="top"/>
      <protection/>
    </xf>
    <xf numFmtId="0" fontId="6" fillId="16" borderId="21" xfId="20" applyNumberFormat="1" applyFont="1" applyFill="1" applyBorder="1" applyAlignment="1" applyProtection="1">
      <alignment horizontal="right" vertical="top"/>
      <protection/>
    </xf>
    <xf numFmtId="0" fontId="6" fillId="16" borderId="7" xfId="20" applyFont="1" applyFill="1" applyBorder="1" applyAlignment="1" applyProtection="1">
      <alignment horizontal="right" vertical="top"/>
      <protection/>
    </xf>
    <xf numFmtId="0" fontId="6" fillId="16" borderId="18" xfId="20" applyFont="1" applyFill="1" applyBorder="1" applyAlignment="1" applyProtection="1">
      <alignment horizontal="right" vertical="top"/>
      <protection/>
    </xf>
    <xf numFmtId="0" fontId="6" fillId="16" borderId="19" xfId="20" applyFont="1" applyFill="1" applyBorder="1" applyAlignment="1" applyProtection="1">
      <alignment horizontal="right" vertical="top"/>
      <protection/>
    </xf>
    <xf numFmtId="0" fontId="6" fillId="16" borderId="20" xfId="20" applyFont="1" applyFill="1" applyBorder="1" applyAlignment="1" applyProtection="1">
      <alignment horizontal="right" vertical="top"/>
      <protection/>
    </xf>
    <xf numFmtId="0" fontId="6" fillId="16" borderId="21" xfId="20" applyFont="1" applyFill="1" applyBorder="1" applyAlignment="1" applyProtection="1">
      <alignment horizontal="right" vertical="top"/>
      <protection/>
    </xf>
    <xf numFmtId="0" fontId="6" fillId="16" borderId="1" xfId="20" applyFont="1" applyFill="1" applyBorder="1" applyAlignment="1" applyProtection="1">
      <alignment horizontal="left" vertical="top" wrapText="1"/>
      <protection/>
    </xf>
    <xf numFmtId="0" fontId="6" fillId="16" borderId="32" xfId="20" applyFont="1" applyFill="1" applyBorder="1" applyAlignment="1" applyProtection="1">
      <alignment horizontal="left" vertical="top" wrapText="1"/>
      <protection/>
    </xf>
    <xf numFmtId="0" fontId="6" fillId="16" borderId="35" xfId="20" applyFont="1" applyFill="1" applyBorder="1" applyAlignment="1" applyProtection="1">
      <alignment horizontal="left" vertical="top" wrapText="1"/>
      <protection/>
    </xf>
    <xf numFmtId="0" fontId="6" fillId="16" borderId="36" xfId="20" applyFont="1" applyFill="1" applyBorder="1" applyAlignment="1" applyProtection="1">
      <alignment horizontal="left" vertical="top" wrapText="1"/>
      <protection/>
    </xf>
    <xf numFmtId="0" fontId="6" fillId="16" borderId="37" xfId="20" applyFont="1" applyFill="1" applyBorder="1" applyAlignment="1" applyProtection="1">
      <alignment horizontal="left" vertical="top" wrapText="1"/>
      <protection/>
    </xf>
    <xf numFmtId="0" fontId="6" fillId="16" borderId="38" xfId="20" applyFont="1" applyFill="1" applyBorder="1" applyAlignment="1" applyProtection="1">
      <alignment horizontal="left" vertical="top" wrapText="1"/>
      <protection/>
    </xf>
    <xf numFmtId="0" fontId="6" fillId="16" borderId="31" xfId="20" applyFont="1" applyFill="1" applyBorder="1" applyAlignment="1" applyProtection="1">
      <alignment horizontal="left" vertical="top" wrapText="1"/>
      <protection/>
    </xf>
    <xf numFmtId="0" fontId="6" fillId="16" borderId="2" xfId="20" applyFont="1" applyFill="1" applyBorder="1" applyAlignment="1" applyProtection="1">
      <alignment horizontal="left" vertical="top" wrapText="1"/>
      <protection/>
    </xf>
    <xf numFmtId="0" fontId="6" fillId="16" borderId="27" xfId="20" applyFont="1" applyFill="1" applyBorder="1" applyAlignment="1" applyProtection="1">
      <alignment horizontal="left" vertical="top" wrapText="1"/>
      <protection/>
    </xf>
    <xf numFmtId="0" fontId="9" fillId="0" borderId="22" xfId="0" applyFont="1" applyBorder="1" applyAlignment="1">
      <alignment vertical="top" wrapText="1"/>
    </xf>
    <xf numFmtId="0" fontId="6" fillId="16" borderId="23" xfId="20" applyFont="1" applyFill="1" applyBorder="1" applyAlignment="1" applyProtection="1">
      <alignment horizontal="left" vertical="top" wrapText="1"/>
      <protection/>
    </xf>
    <xf numFmtId="0" fontId="6" fillId="16" borderId="28" xfId="20" applyFont="1" applyFill="1" applyBorder="1" applyAlignment="1" applyProtection="1">
      <alignment horizontal="left" vertical="top" wrapText="1"/>
      <protection/>
    </xf>
    <xf numFmtId="0" fontId="6" fillId="16" borderId="29" xfId="20" applyFont="1" applyFill="1" applyBorder="1" applyAlignment="1" applyProtection="1">
      <alignment horizontal="left" vertical="top" wrapText="1"/>
      <protection/>
    </xf>
    <xf numFmtId="0" fontId="6" fillId="16" borderId="30" xfId="20" applyFont="1" applyFill="1" applyBorder="1" applyAlignment="1" applyProtection="1">
      <alignment horizontal="left" vertical="top" wrapText="1"/>
      <protection/>
    </xf>
    <xf numFmtId="0" fontId="6" fillId="16" borderId="7" xfId="20" applyFont="1" applyFill="1" applyBorder="1" applyAlignment="1" applyProtection="1">
      <alignment horizontal="left"/>
      <protection/>
    </xf>
    <xf numFmtId="0" fontId="6" fillId="16" borderId="18" xfId="20" applyFont="1" applyFill="1" applyBorder="1" applyAlignment="1" applyProtection="1">
      <alignment horizontal="left"/>
      <protection/>
    </xf>
    <xf numFmtId="0" fontId="9" fillId="0" borderId="22" xfId="0" applyFont="1" applyBorder="1" applyAlignment="1">
      <alignment vertical="top"/>
    </xf>
    <xf numFmtId="0" fontId="6" fillId="16" borderId="19" xfId="20" applyFont="1" applyFill="1" applyBorder="1" applyAlignment="1" applyProtection="1">
      <alignment horizontal="left"/>
      <protection/>
    </xf>
    <xf numFmtId="0" fontId="6" fillId="16" borderId="20" xfId="20" applyFont="1" applyFill="1" applyBorder="1" applyAlignment="1" applyProtection="1">
      <alignment horizontal="left"/>
      <protection/>
    </xf>
    <xf numFmtId="0" fontId="6" fillId="16" borderId="21" xfId="20" applyFont="1" applyFill="1" applyBorder="1" applyAlignment="1" applyProtection="1">
      <alignment horizontal="left"/>
      <protection/>
    </xf>
    <xf numFmtId="49" fontId="6" fillId="16" borderId="7" xfId="20" applyNumberFormat="1" applyFont="1" applyFill="1" applyBorder="1" applyAlignment="1" applyProtection="1">
      <alignment horizontal="left" vertical="top"/>
      <protection/>
    </xf>
    <xf numFmtId="49" fontId="6" fillId="16" borderId="18" xfId="20" applyNumberFormat="1" applyFont="1" applyFill="1" applyBorder="1" applyAlignment="1" applyProtection="1">
      <alignment horizontal="left" vertical="top"/>
      <protection/>
    </xf>
    <xf numFmtId="49" fontId="7" fillId="0" borderId="22" xfId="0" applyNumberFormat="1" applyFont="1" applyBorder="1" applyAlignment="1">
      <alignment horizontal="left" vertical="top"/>
    </xf>
    <xf numFmtId="0" fontId="7" fillId="0" borderId="22" xfId="0" applyFont="1" applyBorder="1" applyAlignment="1">
      <alignment horizontal="left" vertical="top"/>
    </xf>
    <xf numFmtId="0" fontId="7" fillId="0" borderId="22" xfId="0" applyFont="1" applyBorder="1" applyAlignment="1">
      <alignment horizontal="left"/>
    </xf>
    <xf numFmtId="49" fontId="6" fillId="16" borderId="19" xfId="20" applyNumberFormat="1" applyFont="1" applyFill="1" applyBorder="1" applyAlignment="1" applyProtection="1">
      <alignment horizontal="left" vertical="top"/>
      <protection/>
    </xf>
    <xf numFmtId="49" fontId="6" fillId="16" borderId="20" xfId="20" applyNumberFormat="1" applyFont="1" applyFill="1" applyBorder="1" applyAlignment="1" applyProtection="1">
      <alignment horizontal="left" vertical="top"/>
      <protection/>
    </xf>
    <xf numFmtId="49" fontId="6" fillId="16" borderId="21" xfId="20" applyNumberFormat="1" applyFont="1" applyFill="1" applyBorder="1" applyAlignment="1" applyProtection="1">
      <alignment horizontal="left" vertical="top"/>
      <protection/>
    </xf>
    <xf numFmtId="49" fontId="9" fillId="0" borderId="22" xfId="0" applyNumberFormat="1" applyFont="1" applyBorder="1" applyAlignment="1">
      <alignment horizontal="left"/>
    </xf>
    <xf numFmtId="0" fontId="9" fillId="0" borderId="22" xfId="0" applyFont="1" applyBorder="1" applyAlignment="1">
      <alignment horizontal="left"/>
    </xf>
    <xf numFmtId="49" fontId="9" fillId="0" borderId="22" xfId="0" applyNumberFormat="1" applyFont="1" applyBorder="1" applyAlignment="1">
      <alignment vertical="top"/>
    </xf>
    <xf numFmtId="0" fontId="5" fillId="16" borderId="0" xfId="0" applyFont="1" applyFill="1" applyProtection="1">
      <protection/>
    </xf>
    <xf numFmtId="0" fontId="5" fillId="16" borderId="0" xfId="0" applyFont="1" applyFill="1" applyProtection="1">
      <protection hidden="1"/>
    </xf>
    <xf numFmtId="49" fontId="11" fillId="0" borderId="22" xfId="0" applyNumberFormat="1" applyFont="1" applyBorder="1" applyAlignment="1">
      <alignment horizontal="left" vertical="center" wrapText="1"/>
    </xf>
    <xf numFmtId="0" fontId="6" fillId="16" borderId="7" xfId="20" applyNumberFormat="1" applyFont="1" applyFill="1" applyBorder="1" applyAlignment="1" applyProtection="1">
      <alignment horizontal="left" vertical="top"/>
      <protection/>
    </xf>
    <xf numFmtId="0" fontId="6" fillId="16" borderId="18" xfId="20" applyNumberFormat="1" applyFont="1" applyFill="1" applyBorder="1" applyAlignment="1" applyProtection="1">
      <alignment horizontal="left" vertical="top"/>
      <protection/>
    </xf>
    <xf numFmtId="0" fontId="5" fillId="0" borderId="22" xfId="0" applyBorder="1" applyAlignment="1">
      <alignment horizontal="left" vertical="top"/>
    </xf>
    <xf numFmtId="0" fontId="6" fillId="16" borderId="19" xfId="20" applyNumberFormat="1" applyFont="1" applyFill="1" applyBorder="1" applyAlignment="1" applyProtection="1">
      <alignment horizontal="left" vertical="top"/>
      <protection/>
    </xf>
    <xf numFmtId="0" fontId="6" fillId="16" borderId="20" xfId="20" applyNumberFormat="1" applyFont="1" applyFill="1" applyBorder="1" applyAlignment="1" applyProtection="1">
      <alignment horizontal="left" vertical="top"/>
      <protection/>
    </xf>
    <xf numFmtId="0" fontId="6" fillId="16" borderId="21" xfId="20" applyNumberFormat="1" applyFont="1" applyFill="1" applyBorder="1" applyAlignment="1" applyProtection="1">
      <alignment horizontal="left" vertical="top"/>
      <protection/>
    </xf>
    <xf numFmtId="49" fontId="7" fillId="0" borderId="22" xfId="0" applyNumberFormat="1" applyFont="1" applyBorder="1" applyAlignment="1">
      <alignment horizontal="left"/>
    </xf>
    <xf numFmtId="177" fontId="6" fillId="16" borderId="7" xfId="20" applyNumberFormat="1" applyFont="1" applyFill="1" applyBorder="1" applyAlignment="1" applyProtection="1">
      <alignment horizontal="left" vertical="top"/>
      <protection/>
    </xf>
    <xf numFmtId="177" fontId="6" fillId="16" borderId="18" xfId="20" applyNumberFormat="1" applyFont="1" applyFill="1" applyBorder="1" applyAlignment="1" applyProtection="1">
      <alignment horizontal="left" vertical="top"/>
      <protection/>
    </xf>
    <xf numFmtId="177" fontId="6" fillId="16" borderId="19" xfId="20" applyNumberFormat="1" applyFont="1" applyFill="1" applyBorder="1" applyAlignment="1" applyProtection="1">
      <alignment horizontal="left" vertical="top"/>
      <protection/>
    </xf>
    <xf numFmtId="177" fontId="6" fillId="16" borderId="20" xfId="20" applyNumberFormat="1" applyFont="1" applyFill="1" applyBorder="1" applyAlignment="1" applyProtection="1">
      <alignment horizontal="left" vertical="top"/>
      <protection/>
    </xf>
    <xf numFmtId="177" fontId="6" fillId="16" borderId="21" xfId="20" applyNumberFormat="1" applyFont="1" applyFill="1" applyBorder="1" applyAlignment="1" applyProtection="1">
      <alignment horizontal="left" vertical="top"/>
      <protection/>
    </xf>
    <xf numFmtId="0" fontId="6" fillId="16" borderId="7" xfId="20" applyNumberFormat="1" applyFont="1" applyFill="1" applyBorder="1" applyAlignment="1" applyProtection="1">
      <alignment horizontal="left" vertical="top" wrapText="1"/>
      <protection/>
    </xf>
    <xf numFmtId="0" fontId="6" fillId="16" borderId="18" xfId="20" applyNumberFormat="1" applyFont="1" applyFill="1" applyBorder="1" applyAlignment="1" applyProtection="1">
      <alignment horizontal="left" vertical="top" wrapText="1"/>
      <protection/>
    </xf>
    <xf numFmtId="0" fontId="6" fillId="16" borderId="19" xfId="20" applyNumberFormat="1" applyFont="1" applyFill="1" applyBorder="1" applyAlignment="1" applyProtection="1">
      <alignment horizontal="left" vertical="top" wrapText="1"/>
      <protection/>
    </xf>
    <xf numFmtId="0" fontId="6" fillId="16" borderId="20" xfId="20" applyNumberFormat="1" applyFont="1" applyFill="1" applyBorder="1" applyAlignment="1" applyProtection="1">
      <alignment horizontal="left" vertical="top" wrapText="1"/>
      <protection/>
    </xf>
    <xf numFmtId="0" fontId="6" fillId="16" borderId="21" xfId="20" applyNumberFormat="1" applyFont="1" applyFill="1" applyBorder="1" applyAlignment="1" applyProtection="1">
      <alignment horizontal="left" vertical="top" wrapText="1"/>
      <protection/>
    </xf>
    <xf numFmtId="49" fontId="7" fillId="0" borderId="22" xfId="0" applyNumberFormat="1" applyFont="1" applyBorder="1" applyAlignment="1">
      <alignment horizontal="left" vertical="center"/>
    </xf>
    <xf numFmtId="0" fontId="5" fillId="0" borderId="22" xfId="0" applyBorder="1" applyAlignment="1">
      <alignment vertical="top" wrapText="1"/>
    </xf>
    <xf numFmtId="0" fontId="5" fillId="0" borderId="22" xfId="0" applyBorder="1" applyAlignment="1">
      <alignment horizontal="left"/>
    </xf>
    <xf numFmtId="0" fontId="5" fillId="0" borderId="22" xfId="0" applyBorder="1" applyAlignment="1">
      <alignment horizontal="center"/>
    </xf>
    <xf numFmtId="49" fontId="6" fillId="16" borderId="7" xfId="20" applyNumberFormat="1" applyFont="1" applyFill="1" applyBorder="1" applyAlignment="1" applyProtection="1">
      <alignment horizontal="center" vertical="top"/>
      <protection/>
    </xf>
    <xf numFmtId="49" fontId="6" fillId="16" borderId="18" xfId="20" applyNumberFormat="1" applyFont="1" applyFill="1" applyBorder="1" applyAlignment="1" applyProtection="1">
      <alignment horizontal="center" vertical="top"/>
      <protection/>
    </xf>
    <xf numFmtId="49" fontId="6" fillId="16" borderId="19" xfId="20" applyNumberFormat="1" applyFont="1" applyFill="1" applyBorder="1" applyAlignment="1" applyProtection="1">
      <alignment horizontal="center" vertical="top"/>
      <protection/>
    </xf>
    <xf numFmtId="49" fontId="6" fillId="16" borderId="20" xfId="20" applyNumberFormat="1" applyFont="1" applyFill="1" applyBorder="1" applyAlignment="1" applyProtection="1">
      <alignment horizontal="center" vertical="top"/>
      <protection/>
    </xf>
    <xf numFmtId="49" fontId="6" fillId="16" borderId="21" xfId="20" applyNumberFormat="1" applyFont="1" applyFill="1" applyBorder="1" applyAlignment="1" applyProtection="1">
      <alignment horizontal="center" vertical="top"/>
      <protection/>
    </xf>
    <xf numFmtId="49" fontId="5" fillId="16" borderId="7" xfId="0" applyNumberFormat="1" applyFont="1" applyFill="1" applyBorder="1" applyAlignment="1" applyProtection="1">
      <alignment horizontal="right" vertical="top"/>
      <protection hidden="1"/>
    </xf>
    <xf numFmtId="49" fontId="5" fillId="16" borderId="18" xfId="0" applyNumberFormat="1" applyFont="1" applyFill="1" applyBorder="1" applyAlignment="1" applyProtection="1">
      <alignment horizontal="right" vertical="top"/>
      <protection hidden="1"/>
    </xf>
    <xf numFmtId="49" fontId="5" fillId="16" borderId="19" xfId="0" applyNumberFormat="1" applyFont="1" applyFill="1" applyBorder="1" applyAlignment="1" applyProtection="1">
      <alignment horizontal="right" vertical="top"/>
      <protection hidden="1"/>
    </xf>
    <xf numFmtId="49" fontId="5" fillId="16" borderId="20" xfId="0" applyNumberFormat="1" applyFont="1" applyFill="1" applyBorder="1" applyAlignment="1" applyProtection="1">
      <alignment horizontal="right" vertical="top"/>
      <protection hidden="1"/>
    </xf>
    <xf numFmtId="49" fontId="5" fillId="16" borderId="21" xfId="0" applyNumberFormat="1" applyFont="1" applyFill="1" applyBorder="1" applyAlignment="1" applyProtection="1">
      <alignment horizontal="right" vertical="top"/>
      <protection hidden="1"/>
    </xf>
    <xf numFmtId="49" fontId="5" fillId="16" borderId="1" xfId="0" applyNumberFormat="1" applyFont="1" applyFill="1" applyBorder="1" applyAlignment="1" applyProtection="1">
      <alignment horizontal="right" vertical="top"/>
      <protection hidden="1"/>
    </xf>
    <xf numFmtId="49" fontId="5" fillId="16" borderId="32" xfId="0" applyNumberFormat="1" applyFont="1" applyFill="1" applyBorder="1" applyAlignment="1" applyProtection="1">
      <alignment horizontal="right" vertical="top"/>
      <protection hidden="1"/>
    </xf>
    <xf numFmtId="49" fontId="5" fillId="16" borderId="33" xfId="0" applyNumberFormat="1" applyFont="1" applyFill="1" applyBorder="1" applyAlignment="1" applyProtection="1">
      <alignment horizontal="right" vertical="top"/>
      <protection hidden="1"/>
    </xf>
    <xf numFmtId="49" fontId="5" fillId="16" borderId="34" xfId="0" applyNumberFormat="1" applyFont="1" applyFill="1" applyBorder="1" applyAlignment="1" applyProtection="1">
      <alignment horizontal="right" vertical="top"/>
      <protection hidden="1"/>
    </xf>
    <xf numFmtId="49" fontId="5" fillId="16" borderId="35" xfId="0" applyNumberFormat="1" applyFont="1" applyFill="1" applyBorder="1" applyAlignment="1" applyProtection="1">
      <alignment horizontal="right" vertical="top"/>
      <protection hidden="1"/>
    </xf>
    <xf numFmtId="49" fontId="5" fillId="16" borderId="36" xfId="0" applyNumberFormat="1" applyFont="1" applyFill="1" applyBorder="1" applyAlignment="1" applyProtection="1">
      <alignment horizontal="right" vertical="top"/>
      <protection hidden="1"/>
    </xf>
    <xf numFmtId="49" fontId="5" fillId="16" borderId="37" xfId="0" applyNumberFormat="1" applyFont="1" applyFill="1" applyBorder="1" applyAlignment="1" applyProtection="1">
      <alignment horizontal="right" vertical="top"/>
      <protection hidden="1"/>
    </xf>
    <xf numFmtId="49" fontId="5" fillId="16" borderId="38" xfId="0" applyNumberFormat="1" applyFont="1" applyFill="1" applyBorder="1" applyAlignment="1" applyProtection="1">
      <alignment horizontal="right" vertical="top"/>
      <protection hidden="1"/>
    </xf>
    <xf numFmtId="49" fontId="5" fillId="16" borderId="31" xfId="0" applyNumberFormat="1" applyFont="1" applyFill="1" applyBorder="1" applyAlignment="1" applyProtection="1">
      <alignment horizontal="right" vertical="top"/>
      <protection hidden="1"/>
    </xf>
    <xf numFmtId="49" fontId="5" fillId="16" borderId="27" xfId="0" applyNumberFormat="1" applyFont="1" applyFill="1" applyBorder="1" applyAlignment="1" applyProtection="1">
      <alignment horizontal="right" vertical="top"/>
      <protection hidden="1"/>
    </xf>
    <xf numFmtId="49" fontId="5" fillId="16" borderId="28" xfId="0" applyNumberFormat="1" applyFont="1" applyFill="1" applyBorder="1" applyAlignment="1" applyProtection="1">
      <alignment horizontal="right" vertical="top"/>
      <protection hidden="1"/>
    </xf>
    <xf numFmtId="49" fontId="5" fillId="16" borderId="30" xfId="0" applyNumberFormat="1" applyFont="1" applyFill="1" applyBorder="1" applyAlignment="1" applyProtection="1">
      <alignment horizontal="right" vertical="top"/>
      <protection hidden="1"/>
    </xf>
    <xf numFmtId="49" fontId="5" fillId="16" borderId="23" xfId="0" applyNumberFormat="1" applyFont="1" applyFill="1" applyBorder="1" applyAlignment="1" applyProtection="1">
      <alignment horizontal="right" vertical="top"/>
      <protection hidden="1"/>
    </xf>
    <xf numFmtId="49" fontId="7" fillId="16" borderId="1" xfId="0" applyNumberFormat="1" applyFont="1" applyFill="1" applyBorder="1" applyAlignment="1" applyProtection="1">
      <alignment vertical="top"/>
      <protection hidden="1"/>
    </xf>
    <xf numFmtId="49" fontId="7" fillId="16" borderId="35" xfId="0" applyNumberFormat="1" applyFont="1" applyFill="1" applyBorder="1" applyAlignment="1" applyProtection="1">
      <alignment vertical="top"/>
      <protection hidden="1"/>
    </xf>
    <xf numFmtId="49" fontId="5" fillId="16" borderId="7" xfId="0" applyNumberFormat="1" applyFont="1" applyFill="1" applyBorder="1" applyAlignment="1" applyProtection="1">
      <alignment horizontal="right" vertical="top"/>
      <protection/>
    </xf>
    <xf numFmtId="49" fontId="5" fillId="16" borderId="18" xfId="0" applyNumberFormat="1" applyFont="1" applyFill="1" applyBorder="1" applyAlignment="1" applyProtection="1">
      <alignment horizontal="right" vertical="top"/>
      <protection/>
    </xf>
    <xf numFmtId="49" fontId="5" fillId="16" borderId="19" xfId="0" applyNumberFormat="1" applyFont="1" applyFill="1" applyBorder="1" applyAlignment="1" applyProtection="1">
      <alignment horizontal="right" vertical="top"/>
      <protection/>
    </xf>
    <xf numFmtId="49" fontId="5" fillId="16" borderId="20" xfId="0" applyNumberFormat="1" applyFont="1" applyFill="1" applyBorder="1" applyAlignment="1" applyProtection="1">
      <alignment horizontal="right" vertical="top"/>
      <protection/>
    </xf>
    <xf numFmtId="49" fontId="5" fillId="16" borderId="21" xfId="0" applyNumberFormat="1" applyFont="1" applyFill="1" applyBorder="1" applyAlignment="1" applyProtection="1">
      <alignment horizontal="right" vertical="top"/>
      <protection/>
    </xf>
    <xf numFmtId="49" fontId="6" fillId="16" borderId="7" xfId="20" applyNumberFormat="1" applyFont="1" applyFill="1" applyBorder="1" applyAlignment="1" applyProtection="1">
      <alignment horizontal="center" vertical="top"/>
      <protection hidden="1"/>
    </xf>
    <xf numFmtId="49" fontId="6" fillId="16" borderId="18" xfId="20" applyNumberFormat="1" applyFont="1" applyFill="1" applyBorder="1" applyAlignment="1" applyProtection="1">
      <alignment horizontal="center" vertical="top"/>
      <protection hidden="1"/>
    </xf>
    <xf numFmtId="49" fontId="6" fillId="16" borderId="19" xfId="20" applyNumberFormat="1" applyFont="1" applyFill="1" applyBorder="1" applyAlignment="1" applyProtection="1">
      <alignment horizontal="center" vertical="top"/>
      <protection hidden="1"/>
    </xf>
    <xf numFmtId="49" fontId="6" fillId="16" borderId="20" xfId="20" applyNumberFormat="1" applyFont="1" applyFill="1" applyBorder="1" applyAlignment="1" applyProtection="1">
      <alignment horizontal="center" vertical="top"/>
      <protection hidden="1"/>
    </xf>
    <xf numFmtId="49" fontId="6" fillId="16" borderId="21" xfId="20" applyNumberFormat="1" applyFont="1" applyFill="1" applyBorder="1" applyAlignment="1" applyProtection="1">
      <alignment horizontal="center" vertical="top"/>
      <protection hidden="1"/>
    </xf>
    <xf numFmtId="49" fontId="5" fillId="16" borderId="1" xfId="0" applyNumberFormat="1" applyFont="1" applyFill="1" applyBorder="1" applyAlignment="1" applyProtection="1">
      <alignment horizontal="right" vertical="center"/>
      <protection hidden="1"/>
    </xf>
    <xf numFmtId="49" fontId="5" fillId="16" borderId="32" xfId="0" applyNumberFormat="1" applyFont="1" applyFill="1" applyBorder="1" applyAlignment="1" applyProtection="1">
      <alignment horizontal="right" vertical="center"/>
      <protection hidden="1"/>
    </xf>
    <xf numFmtId="49" fontId="5" fillId="16" borderId="33" xfId="0" applyNumberFormat="1" applyFont="1" applyFill="1" applyBorder="1" applyAlignment="1" applyProtection="1">
      <alignment horizontal="right" vertical="center"/>
      <protection hidden="1"/>
    </xf>
    <xf numFmtId="49" fontId="5" fillId="16" borderId="34" xfId="0" applyNumberFormat="1" applyFont="1" applyFill="1" applyBorder="1" applyAlignment="1" applyProtection="1">
      <alignment horizontal="right" vertical="center"/>
      <protection hidden="1"/>
    </xf>
    <xf numFmtId="49" fontId="5" fillId="16" borderId="21" xfId="0" applyNumberFormat="1" applyFont="1" applyFill="1" applyBorder="1" applyAlignment="1" applyProtection="1">
      <alignment horizontal="right" vertical="center"/>
      <protection hidden="1"/>
    </xf>
    <xf numFmtId="49" fontId="5" fillId="16" borderId="1" xfId="0" applyNumberFormat="1" applyFont="1" applyFill="1" applyBorder="1" applyAlignment="1" applyProtection="1">
      <alignment horizontal="left"/>
      <protection/>
    </xf>
    <xf numFmtId="49" fontId="5" fillId="16" borderId="32" xfId="0" applyNumberFormat="1" applyFont="1" applyFill="1" applyBorder="1" applyAlignment="1" applyProtection="1">
      <alignment horizontal="left"/>
      <protection/>
    </xf>
    <xf numFmtId="49" fontId="5" fillId="16" borderId="33" xfId="0" applyNumberFormat="1" applyFont="1" applyFill="1" applyBorder="1" applyAlignment="1" applyProtection="1">
      <alignment horizontal="left"/>
      <protection/>
    </xf>
    <xf numFmtId="49" fontId="5" fillId="16" borderId="21" xfId="0" applyNumberFormat="1" applyFont="1" applyFill="1" applyBorder="1" applyAlignment="1" applyProtection="1">
      <alignment horizontal="left"/>
      <protection/>
    </xf>
    <xf numFmtId="1" fontId="6" fillId="16" borderId="10" xfId="20" applyNumberFormat="1" applyFont="1" applyFill="1" applyAlignment="1" applyProtection="1">
      <alignment horizontal="right" vertical="top"/>
      <protection/>
    </xf>
    <xf numFmtId="1" fontId="6" fillId="16" borderId="43" xfId="20" applyNumberFormat="1" applyFont="1" applyFill="1" applyBorder="1" applyAlignment="1" applyProtection="1">
      <alignment horizontal="right" vertical="top"/>
      <protection/>
    </xf>
    <xf numFmtId="49" fontId="5" fillId="0" borderId="22" xfId="0" applyNumberFormat="1" applyBorder="1" applyAlignment="1">
      <alignment horizontal="left"/>
    </xf>
    <xf numFmtId="1" fontId="6" fillId="16" borderId="44" xfId="20" applyNumberFormat="1" applyFont="1" applyFill="1" applyBorder="1" applyAlignment="1" applyProtection="1">
      <alignment horizontal="right" vertical="top"/>
      <protection/>
    </xf>
    <xf numFmtId="1" fontId="6" fillId="16" borderId="45" xfId="20" applyNumberFormat="1" applyFont="1" applyFill="1" applyBorder="1" applyAlignment="1" applyProtection="1">
      <alignment horizontal="right" vertical="top"/>
      <protection/>
    </xf>
    <xf numFmtId="1" fontId="6" fillId="16" borderId="46" xfId="20" applyNumberFormat="1" applyFont="1" applyFill="1" applyBorder="1" applyAlignment="1" applyProtection="1">
      <alignment horizontal="right" vertical="top"/>
      <protection/>
    </xf>
    <xf numFmtId="0" fontId="6" fillId="16" borderId="1" xfId="20" applyFont="1" applyFill="1" applyBorder="1" applyAlignment="1" applyProtection="1">
      <alignment horizontal="left"/>
      <protection/>
    </xf>
    <xf numFmtId="0" fontId="6" fillId="16" borderId="32" xfId="20" applyFont="1" applyFill="1" applyBorder="1" applyAlignment="1" applyProtection="1">
      <alignment horizontal="left"/>
      <protection/>
    </xf>
    <xf numFmtId="0" fontId="12" fillId="9" borderId="35" xfId="0" applyFont="1" applyFill="1" applyBorder="1" applyAlignment="1">
      <alignment horizontal="center" vertical="center" wrapText="1"/>
    </xf>
    <xf numFmtId="0" fontId="6" fillId="16" borderId="33" xfId="20" applyFont="1" applyFill="1" applyBorder="1" applyAlignment="1" applyProtection="1">
      <alignment horizontal="left"/>
      <protection/>
    </xf>
    <xf numFmtId="0" fontId="6" fillId="16" borderId="34" xfId="20" applyFont="1" applyFill="1" applyBorder="1" applyAlignment="1" applyProtection="1">
      <alignment horizontal="left"/>
      <protection/>
    </xf>
    <xf numFmtId="0" fontId="6" fillId="16" borderId="1" xfId="20" applyFont="1" applyFill="1" applyBorder="1" applyAlignment="1" applyProtection="1">
      <alignment horizontal="left" vertical="top"/>
      <protection/>
    </xf>
    <xf numFmtId="0" fontId="6" fillId="16" borderId="32" xfId="20" applyFont="1" applyFill="1" applyBorder="1" applyAlignment="1" applyProtection="1">
      <alignment horizontal="left" vertical="top"/>
      <protection/>
    </xf>
    <xf numFmtId="0" fontId="6" fillId="16" borderId="33" xfId="20" applyFont="1" applyFill="1" applyBorder="1" applyAlignment="1" applyProtection="1">
      <alignment horizontal="left" vertical="top"/>
      <protection/>
    </xf>
    <xf numFmtId="0" fontId="6" fillId="16" borderId="34" xfId="20" applyFont="1" applyFill="1" applyBorder="1" applyAlignment="1" applyProtection="1">
      <alignment horizontal="left" vertical="top"/>
      <protection/>
    </xf>
    <xf numFmtId="0" fontId="6" fillId="16" borderId="1" xfId="20" applyFont="1" applyFill="1" applyBorder="1" applyAlignment="1" applyProtection="1">
      <alignment/>
      <protection/>
    </xf>
    <xf numFmtId="0" fontId="5" fillId="0" borderId="24" xfId="0" applyBorder="1"/>
    <xf numFmtId="0" fontId="5" fillId="0" borderId="24" xfId="0" applyBorder="1" applyAlignment="1">
      <alignment horizontal="left"/>
    </xf>
    <xf numFmtId="0" fontId="6" fillId="16" borderId="7" xfId="20" applyFont="1" applyFill="1" applyBorder="1" applyAlignment="1" applyProtection="1">
      <alignment vertical="top"/>
      <protection/>
    </xf>
    <xf numFmtId="0" fontId="6" fillId="16" borderId="2" xfId="20" applyNumberFormat="1" applyFont="1" applyFill="1" applyBorder="1" applyAlignment="1" applyProtection="1">
      <alignment horizontal="left" vertical="top" wrapText="1"/>
      <protection/>
    </xf>
    <xf numFmtId="0" fontId="6" fillId="16" borderId="27" xfId="20" applyNumberFormat="1" applyFont="1" applyFill="1" applyBorder="1" applyAlignment="1" applyProtection="1">
      <alignment horizontal="left" vertical="top" wrapText="1"/>
      <protection/>
    </xf>
    <xf numFmtId="0" fontId="6" fillId="16" borderId="23" xfId="20" applyNumberFormat="1" applyFont="1" applyFill="1" applyBorder="1" applyAlignment="1" applyProtection="1">
      <alignment horizontal="left" vertical="top" wrapText="1"/>
      <protection/>
    </xf>
    <xf numFmtId="0" fontId="6" fillId="16" borderId="28" xfId="20" applyNumberFormat="1" applyFont="1" applyFill="1" applyBorder="1" applyAlignment="1" applyProtection="1">
      <alignment horizontal="left" vertical="top" wrapText="1"/>
      <protection/>
    </xf>
    <xf numFmtId="0" fontId="6" fillId="16" borderId="29" xfId="20" applyNumberFormat="1" applyFont="1" applyFill="1" applyBorder="1" applyAlignment="1" applyProtection="1">
      <alignment horizontal="left" vertical="top" wrapText="1"/>
      <protection/>
    </xf>
    <xf numFmtId="0" fontId="6" fillId="16" borderId="30" xfId="20" applyNumberFormat="1" applyFont="1" applyFill="1" applyBorder="1" applyAlignment="1" applyProtection="1">
      <alignment horizontal="left" vertical="top" wrapText="1"/>
      <protection/>
    </xf>
    <xf numFmtId="0" fontId="6" fillId="16" borderId="31" xfId="20" applyNumberFormat="1" applyFont="1" applyFill="1" applyBorder="1" applyAlignment="1" applyProtection="1">
      <alignment horizontal="left" vertical="top" wrapText="1"/>
      <protection/>
    </xf>
    <xf numFmtId="49" fontId="5" fillId="15" borderId="7" xfId="0" applyNumberFormat="1" applyFont="1" applyFill="1" applyBorder="1" applyAlignment="1" applyProtection="1">
      <alignment horizontal="left" vertical="top" wrapText="1"/>
      <protection locked="0"/>
    </xf>
    <xf numFmtId="49" fontId="5" fillId="15" borderId="18" xfId="0" applyNumberFormat="1" applyFont="1" applyFill="1" applyBorder="1" applyAlignment="1" applyProtection="1">
      <alignment horizontal="left" vertical="top" wrapText="1"/>
      <protection locked="0"/>
    </xf>
    <xf numFmtId="49" fontId="5" fillId="0" borderId="23" xfId="0" applyNumberFormat="1" applyBorder="1" applyAlignment="1">
      <alignment horizontal="center" vertical="top" wrapText="1"/>
    </xf>
    <xf numFmtId="49" fontId="5" fillId="0" borderId="25" xfId="0" applyNumberFormat="1" applyBorder="1" applyAlignment="1">
      <alignment horizontal="center" vertical="top" wrapText="1"/>
    </xf>
    <xf numFmtId="49" fontId="5" fillId="15" borderId="19" xfId="0" applyNumberFormat="1" applyFont="1" applyFill="1" applyBorder="1" applyAlignment="1" applyProtection="1">
      <alignment horizontal="left" vertical="top" wrapText="1"/>
      <protection locked="0"/>
    </xf>
    <xf numFmtId="49" fontId="5" fillId="15" borderId="20" xfId="0" applyNumberFormat="1" applyFont="1" applyFill="1" applyBorder="1" applyAlignment="1" applyProtection="1">
      <alignment horizontal="left" vertical="top" wrapText="1"/>
      <protection locked="0"/>
    </xf>
    <xf numFmtId="49" fontId="5" fillId="15" borderId="21" xfId="0" applyNumberFormat="1" applyFont="1" applyFill="1" applyBorder="1" applyAlignment="1" applyProtection="1">
      <alignment horizontal="left" vertical="top" wrapText="1"/>
      <protection locked="0"/>
    </xf>
    <xf numFmtId="49" fontId="5" fillId="16" borderId="7" xfId="0" applyNumberFormat="1" applyFont="1" applyFill="1" applyBorder="1" applyAlignment="1" applyProtection="1">
      <alignment horizontal="left" vertical="top" wrapText="1"/>
      <protection/>
    </xf>
    <xf numFmtId="49" fontId="5" fillId="16" borderId="18" xfId="0" applyNumberFormat="1" applyFont="1" applyFill="1" applyBorder="1" applyAlignment="1" applyProtection="1">
      <alignment horizontal="left" vertical="top" wrapText="1"/>
      <protection/>
    </xf>
    <xf numFmtId="49" fontId="5" fillId="0" borderId="24" xfId="0" applyNumberFormat="1" applyBorder="1" applyAlignment="1">
      <alignment horizontal="center" vertical="top" wrapText="1"/>
    </xf>
    <xf numFmtId="49" fontId="5" fillId="16" borderId="19" xfId="0" applyNumberFormat="1" applyFont="1" applyFill="1" applyBorder="1" applyAlignment="1" applyProtection="1">
      <alignment horizontal="left" vertical="top" wrapText="1"/>
      <protection/>
    </xf>
    <xf numFmtId="49" fontId="5" fillId="16" borderId="20" xfId="0" applyNumberFormat="1" applyFont="1" applyFill="1" applyBorder="1" applyAlignment="1" applyProtection="1">
      <alignment horizontal="left" vertical="top" wrapText="1"/>
      <protection/>
    </xf>
    <xf numFmtId="49" fontId="5" fillId="16" borderId="21" xfId="0" applyNumberFormat="1" applyFont="1" applyFill="1" applyBorder="1" applyAlignment="1" applyProtection="1">
      <alignment horizontal="left" vertical="top" wrapText="1"/>
      <protection/>
    </xf>
    <xf numFmtId="49" fontId="5" fillId="15" borderId="7" xfId="0" applyNumberFormat="1" applyFont="1" applyFill="1" applyBorder="1" applyAlignment="1" applyProtection="1">
      <alignment horizontal="right" vertical="top" wrapText="1"/>
      <protection locked="0"/>
    </xf>
    <xf numFmtId="49" fontId="5" fillId="15" borderId="18" xfId="0" applyNumberFormat="1" applyFont="1" applyFill="1" applyBorder="1" applyAlignment="1" applyProtection="1">
      <alignment horizontal="right" vertical="top" wrapText="1"/>
      <protection locked="0"/>
    </xf>
    <xf numFmtId="49" fontId="5" fillId="15" borderId="19" xfId="0" applyNumberFormat="1" applyFont="1" applyFill="1" applyBorder="1" applyAlignment="1" applyProtection="1">
      <alignment horizontal="right" vertical="top" wrapText="1"/>
      <protection locked="0"/>
    </xf>
    <xf numFmtId="49" fontId="5" fillId="15" borderId="20" xfId="0" applyNumberFormat="1" applyFont="1" applyFill="1" applyBorder="1" applyAlignment="1" applyProtection="1">
      <alignment horizontal="right" vertical="top" wrapText="1"/>
      <protection locked="0"/>
    </xf>
    <xf numFmtId="49" fontId="5" fillId="15" borderId="21" xfId="0" applyNumberFormat="1" applyFont="1" applyFill="1" applyBorder="1" applyAlignment="1" applyProtection="1">
      <alignment horizontal="right" vertical="top" wrapText="1"/>
      <protection locked="0"/>
    </xf>
    <xf numFmtId="49" fontId="5" fillId="15" borderId="1" xfId="0" applyNumberFormat="1" applyFont="1" applyFill="1" applyBorder="1" applyAlignment="1" applyProtection="1">
      <alignment horizontal="left" vertical="top" wrapText="1"/>
      <protection locked="0"/>
    </xf>
    <xf numFmtId="49" fontId="5" fillId="15" borderId="32" xfId="0" applyNumberFormat="1" applyFont="1" applyFill="1" applyBorder="1" applyAlignment="1" applyProtection="1">
      <alignment horizontal="left" vertical="top" wrapText="1"/>
      <protection locked="0"/>
    </xf>
    <xf numFmtId="49" fontId="5" fillId="0" borderId="35" xfId="0" applyNumberFormat="1" applyBorder="1" applyAlignment="1">
      <alignment horizontal="center" vertical="top" wrapText="1"/>
    </xf>
    <xf numFmtId="49" fontId="5" fillId="15" borderId="33" xfId="0" applyNumberFormat="1" applyFont="1" applyFill="1" applyBorder="1" applyAlignment="1" applyProtection="1">
      <alignment horizontal="left" vertical="top" wrapText="1"/>
      <protection locked="0"/>
    </xf>
    <xf numFmtId="49" fontId="5" fillId="15" borderId="34" xfId="0" applyNumberFormat="1" applyFont="1" applyFill="1" applyBorder="1" applyAlignment="1" applyProtection="1">
      <alignment horizontal="left" vertical="top" wrapText="1"/>
      <protection locked="0"/>
    </xf>
    <xf numFmtId="49" fontId="5" fillId="16" borderId="1" xfId="0" applyNumberFormat="1" applyFont="1" applyFill="1" applyBorder="1" applyAlignment="1" applyProtection="1">
      <alignment horizontal="right" vertical="top" wrapText="1"/>
      <protection/>
    </xf>
    <xf numFmtId="49" fontId="5" fillId="0" borderId="35" xfId="0" applyNumberFormat="1" applyBorder="1" applyAlignment="1">
      <alignment horizontal="center" wrapText="1"/>
    </xf>
    <xf numFmtId="0" fontId="5" fillId="0" borderId="0" xfId="0" applyProtection="1">
      <protection/>
    </xf>
    <xf numFmtId="49" fontId="7" fillId="0" borderId="0" xfId="0" applyNumberFormat="1" applyFont="1" applyAlignment="1" applyProtection="1">
      <alignment horizontal="left"/>
      <protection/>
    </xf>
    <xf numFmtId="0" fontId="5" fillId="0" borderId="0" xfId="0" applyAlignment="1" applyProtection="1">
      <alignment horizontal="center"/>
      <protection/>
    </xf>
    <xf numFmtId="0" fontId="5" fillId="0" borderId="0" xfId="0" applyProtection="1" quotePrefix="1">
      <protection/>
    </xf>
    <xf numFmtId="0" fontId="5" fillId="5" borderId="0" xfId="0" applyFill="1" applyProtection="1">
      <protection/>
    </xf>
    <xf numFmtId="49" fontId="11" fillId="0" borderId="22" xfId="0" applyNumberFormat="1" applyFont="1" applyBorder="1" applyAlignment="1" applyProtection="1">
      <alignment horizontal="left" vertical="center" wrapText="1"/>
      <protection/>
    </xf>
    <xf numFmtId="49" fontId="11" fillId="0" borderId="0" xfId="0" applyNumberFormat="1" applyFont="1" applyAlignment="1" applyProtection="1">
      <alignment horizontal="left" vertical="center" wrapText="1"/>
      <protection/>
    </xf>
    <xf numFmtId="0" fontId="7" fillId="0" borderId="0" xfId="0" applyFont="1" applyAlignment="1" applyProtection="1">
      <alignment horizontal="left"/>
      <protection/>
    </xf>
    <xf numFmtId="49" fontId="5" fillId="0" borderId="22" xfId="0" applyNumberFormat="1" applyBorder="1" applyAlignment="1" applyProtection="1">
      <alignment horizontal="left" vertical="center"/>
      <protection/>
    </xf>
    <xf numFmtId="49" fontId="5" fillId="0" borderId="22" xfId="0" applyNumberFormat="1" applyBorder="1" applyAlignment="1" applyProtection="1">
      <alignment horizontal="left" vertical="top"/>
      <protection/>
    </xf>
    <xf numFmtId="0" fontId="5" fillId="0" borderId="22" xfId="0" applyBorder="1" applyAlignment="1" applyProtection="1">
      <alignment horizontal="left" vertical="top"/>
      <protection/>
    </xf>
    <xf numFmtId="49" fontId="7" fillId="0" borderId="22" xfId="0" applyNumberFormat="1" applyFont="1" applyBorder="1" applyAlignment="1" applyProtection="1">
      <alignment horizontal="left"/>
      <protection/>
    </xf>
    <xf numFmtId="0" fontId="7" fillId="0" borderId="0" xfId="0" applyFont="1" applyAlignment="1" applyProtection="1">
      <alignment horizontal="left" vertical="top" wrapText="1"/>
      <protection/>
    </xf>
    <xf numFmtId="49" fontId="5" fillId="0" borderId="22" xfId="0" applyNumberFormat="1" applyBorder="1" applyProtection="1">
      <protection/>
    </xf>
    <xf numFmtId="0" fontId="7" fillId="0" borderId="0" xfId="0" applyFont="1" applyAlignment="1" applyProtection="1">
      <alignment horizontal="left" wrapText="1"/>
      <protection/>
    </xf>
    <xf numFmtId="49" fontId="5" fillId="0" borderId="0" xfId="0" applyNumberFormat="1" applyAlignment="1" applyProtection="1">
      <alignment horizontal="left"/>
      <protection/>
    </xf>
    <xf numFmtId="49" fontId="7" fillId="0" borderId="0" xfId="0" applyNumberFormat="1" applyFont="1" applyAlignment="1" applyProtection="1">
      <alignment horizontal="left" vertical="top" wrapText="1"/>
      <protection/>
    </xf>
    <xf numFmtId="0" fontId="7" fillId="0" borderId="0" xfId="0" applyFont="1" applyAlignment="1" applyProtection="1">
      <alignment vertical="top"/>
      <protection/>
    </xf>
    <xf numFmtId="49" fontId="7" fillId="0" borderId="0" xfId="0" applyNumberFormat="1" applyFont="1" applyAlignment="1" applyProtection="1">
      <alignment horizontal="left" vertical="top"/>
      <protection/>
    </xf>
    <xf numFmtId="49" fontId="6" fillId="15" borderId="20" xfId="20" applyNumberFormat="1" applyFont="1" applyFill="1" applyBorder="1" applyAlignment="1" applyProtection="1">
      <alignment horizontal="left" vertical="top" wrapText="1"/>
      <protection/>
    </xf>
    <xf numFmtId="49" fontId="6" fillId="15" borderId="19" xfId="20" applyNumberFormat="1" applyFont="1" applyFill="1" applyBorder="1" applyAlignment="1" applyProtection="1">
      <alignment horizontal="left" vertical="top" wrapText="1"/>
      <protection/>
    </xf>
    <xf numFmtId="49" fontId="6" fillId="15" borderId="21" xfId="20" applyNumberFormat="1" applyFont="1" applyFill="1" applyBorder="1" applyAlignment="1" applyProtection="1">
      <alignment horizontal="left" vertical="top" wrapText="1"/>
      <protection/>
    </xf>
    <xf numFmtId="49" fontId="7" fillId="0" borderId="0" xfId="0" applyNumberFormat="1" applyFont="1" applyAlignment="1" applyProtection="1">
      <alignment horizontal="left" wrapText="1"/>
      <protection/>
    </xf>
    <xf numFmtId="0" fontId="6" fillId="15" borderId="20" xfId="20" applyNumberFormat="1" applyFont="1" applyFill="1" applyBorder="1" applyAlignment="1" applyProtection="1">
      <alignment horizontal="left" vertical="top"/>
      <protection/>
    </xf>
    <xf numFmtId="0" fontId="6" fillId="15" borderId="19" xfId="20" applyNumberFormat="1" applyFont="1" applyFill="1" applyBorder="1" applyAlignment="1" applyProtection="1">
      <alignment horizontal="left" vertical="top"/>
      <protection/>
    </xf>
    <xf numFmtId="0" fontId="6" fillId="15" borderId="21" xfId="20" applyNumberFormat="1" applyFont="1" applyFill="1" applyBorder="1" applyAlignment="1" applyProtection="1">
      <alignment horizontal="left" vertical="top"/>
      <protection/>
    </xf>
    <xf numFmtId="0" fontId="5" fillId="0" borderId="0" xfId="0" applyAlignment="1" applyProtection="1">
      <alignment vertical="top" wrapText="1"/>
      <protection/>
    </xf>
    <xf numFmtId="0" fontId="5" fillId="0" borderId="22" xfId="0" applyBorder="1" applyAlignment="1" applyProtection="1">
      <alignment vertical="top" wrapText="1"/>
      <protection/>
    </xf>
    <xf numFmtId="0" fontId="5" fillId="0" borderId="22" xfId="0" applyBorder="1" applyAlignment="1" applyProtection="1">
      <alignment horizontal="left"/>
      <protection/>
    </xf>
    <xf numFmtId="0" fontId="5" fillId="0" borderId="22" xfId="0" applyBorder="1" applyAlignment="1" applyProtection="1">
      <alignment horizontal="center"/>
      <protection/>
    </xf>
    <xf numFmtId="0" fontId="7" fillId="0" borderId="0" xfId="0" applyFont="1" applyProtection="1">
      <protection/>
    </xf>
    <xf numFmtId="49" fontId="10" fillId="0" borderId="0" xfId="0" applyNumberFormat="1" applyFont="1" applyAlignment="1" applyProtection="1">
      <alignment horizontal="left" vertical="top"/>
      <protection/>
    </xf>
    <xf numFmtId="0" fontId="7" fillId="0" borderId="0" xfId="0" applyFont="1" applyAlignment="1" applyProtection="1">
      <alignment horizontal="left" vertical="top"/>
      <protection/>
    </xf>
    <xf numFmtId="0" fontId="5" fillId="0" borderId="0" xfId="0" applyAlignment="1" applyProtection="1">
      <alignment horizontal="left" vertical="top"/>
      <protection/>
    </xf>
    <xf numFmtId="0" fontId="6" fillId="15" borderId="20" xfId="20" applyNumberFormat="1" applyFont="1" applyFill="1" applyBorder="1" applyAlignment="1" applyProtection="1">
      <alignment horizontal="left" vertical="top" wrapText="1"/>
      <protection/>
    </xf>
    <xf numFmtId="0" fontId="6" fillId="15" borderId="19" xfId="20" applyNumberFormat="1" applyFont="1" applyFill="1" applyBorder="1" applyAlignment="1" applyProtection="1">
      <alignment horizontal="left" vertical="top" wrapText="1"/>
      <protection/>
    </xf>
    <xf numFmtId="0" fontId="6" fillId="15" borderId="21" xfId="20" applyNumberFormat="1" applyFont="1" applyFill="1" applyBorder="1" applyAlignment="1" applyProtection="1">
      <alignment horizontal="left" vertical="top" wrapText="1"/>
      <protection/>
    </xf>
    <xf numFmtId="0" fontId="5" fillId="0" borderId="0" xfId="0" applyAlignment="1" applyProtection="1">
      <alignment vertical="top"/>
      <protection/>
    </xf>
    <xf numFmtId="0" fontId="5" fillId="0" borderId="22" xfId="0" applyBorder="1" applyAlignment="1" applyProtection="1">
      <alignment vertical="top"/>
      <protection/>
    </xf>
    <xf numFmtId="49" fontId="10" fillId="0" borderId="0" xfId="0" applyNumberFormat="1" applyFont="1" applyAlignment="1" applyProtection="1">
      <alignment horizontal="left" vertical="top" wrapText="1"/>
      <protection/>
    </xf>
    <xf numFmtId="0" fontId="9" fillId="0" borderId="0" xfId="0" applyFont="1" applyAlignment="1" applyProtection="1">
      <alignment vertical="top"/>
      <protection/>
    </xf>
    <xf numFmtId="0" fontId="5" fillId="15" borderId="0" xfId="0" applyFont="1" applyFill="1" applyProtection="1">
      <protection hidden="1"/>
    </xf>
    <xf numFmtId="0" fontId="5" fillId="0" borderId="0" xfId="0" applyAlignment="1" applyProtection="1">
      <alignment horizontal="left"/>
      <protection/>
    </xf>
    <xf numFmtId="49" fontId="5" fillId="0" borderId="0" xfId="0" applyNumberFormat="1" applyProtection="1">
      <protection/>
    </xf>
    <xf numFmtId="49" fontId="8" fillId="0" borderId="0" xfId="0" applyNumberFormat="1" applyFont="1" applyAlignment="1" applyProtection="1">
      <alignment horizontal="left" vertical="top" wrapText="1"/>
      <protection/>
    </xf>
    <xf numFmtId="49" fontId="8" fillId="0" borderId="0" xfId="0" applyNumberFormat="1" applyFont="1" applyAlignment="1" applyProtection="1">
      <alignment horizontal="left" vertical="top"/>
      <protection/>
    </xf>
    <xf numFmtId="0" fontId="7" fillId="0" borderId="0" xfId="0" applyFont="1" applyAlignment="1" applyProtection="1">
      <alignment horizontal="left" vertical="center" wrapText="1"/>
      <protection/>
    </xf>
    <xf numFmtId="0" fontId="5" fillId="0" borderId="0" xfId="0" applyAlignment="1" applyProtection="1">
      <alignment vertical="center"/>
      <protection/>
    </xf>
    <xf numFmtId="49" fontId="8" fillId="0" borderId="1" xfId="0" applyNumberFormat="1" applyFont="1" applyBorder="1" applyAlignment="1" applyProtection="1">
      <alignment horizontal="center" vertical="center"/>
      <protection/>
    </xf>
    <xf numFmtId="49" fontId="8" fillId="0" borderId="35" xfId="0" applyNumberFormat="1" applyFont="1" applyBorder="1" applyAlignment="1" applyProtection="1">
      <alignment horizontal="center" vertical="center"/>
      <protection/>
    </xf>
    <xf numFmtId="0" fontId="8" fillId="0" borderId="0" xfId="0" applyFont="1" applyAlignment="1" applyProtection="1">
      <alignment horizontal="center" vertical="center"/>
      <protection/>
    </xf>
    <xf numFmtId="49" fontId="5" fillId="0" borderId="0" xfId="0" applyNumberFormat="1" applyAlignment="1" applyProtection="1">
      <alignment horizontal="left" vertical="center"/>
      <protection/>
    </xf>
    <xf numFmtId="49" fontId="7" fillId="0" borderId="1" xfId="0" applyNumberFormat="1" applyFont="1" applyBorder="1" applyAlignment="1" applyProtection="1">
      <alignment horizontal="left" vertical="center"/>
      <protection/>
    </xf>
    <xf numFmtId="49" fontId="5" fillId="15" borderId="34" xfId="0" applyNumberFormat="1" applyFont="1" applyFill="1" applyBorder="1" applyAlignment="1" applyProtection="1">
      <alignment horizontal="right" vertical="top"/>
      <protection/>
    </xf>
    <xf numFmtId="49" fontId="5" fillId="15" borderId="21" xfId="0" applyNumberFormat="1" applyFont="1" applyFill="1" applyBorder="1" applyAlignment="1" applyProtection="1">
      <alignment horizontal="right" vertical="top"/>
      <protection/>
    </xf>
    <xf numFmtId="49" fontId="5" fillId="15" borderId="33" xfId="0" applyNumberFormat="1" applyFont="1" applyFill="1" applyBorder="1" applyAlignment="1" applyProtection="1">
      <alignment horizontal="right" vertical="top"/>
      <protection/>
    </xf>
    <xf numFmtId="0" fontId="8" fillId="0" borderId="0" xfId="0" applyFont="1" applyAlignment="1" applyProtection="1">
      <alignment horizontal="left" vertical="top"/>
      <protection/>
    </xf>
    <xf numFmtId="0" fontId="5" fillId="0" borderId="0" xfId="0" applyAlignment="1" applyProtection="1">
      <alignment horizontal="center" vertical="center"/>
      <protection/>
    </xf>
    <xf numFmtId="49" fontId="7" fillId="0" borderId="1" xfId="0" applyNumberFormat="1" applyFont="1" applyBorder="1" applyAlignment="1" applyProtection="1">
      <alignment horizontal="left" vertical="center" wrapText="1"/>
      <protection/>
    </xf>
    <xf numFmtId="49" fontId="5" fillId="0" borderId="0" xfId="0" applyNumberFormat="1" applyAlignment="1" applyProtection="1">
      <alignment horizontal="left" vertical="center" wrapText="1"/>
      <protection/>
    </xf>
    <xf numFmtId="49" fontId="5" fillId="0" borderId="1" xfId="0" applyNumberFormat="1" applyBorder="1" applyAlignment="1" applyProtection="1">
      <alignment horizontal="right" wrapText="1"/>
      <protection/>
    </xf>
    <xf numFmtId="49" fontId="5" fillId="0" borderId="35" xfId="0" applyNumberFormat="1" applyBorder="1" applyAlignment="1" applyProtection="1">
      <alignment horizontal="center" vertical="top" wrapText="1"/>
      <protection/>
    </xf>
    <xf numFmtId="49" fontId="5" fillId="0" borderId="35" xfId="0" applyNumberFormat="1" applyBorder="1" applyAlignment="1" applyProtection="1">
      <alignment horizontal="center" wrapText="1"/>
      <protection/>
    </xf>
    <xf numFmtId="49" fontId="5" fillId="0" borderId="0" xfId="0" applyNumberFormat="1" applyAlignment="1" applyProtection="1">
      <alignment horizontal="center" vertical="center"/>
      <protection/>
    </xf>
    <xf numFmtId="49" fontId="5" fillId="15" borderId="34" xfId="0" applyNumberFormat="1" applyFont="1" applyFill="1" applyBorder="1" applyAlignment="1" applyProtection="1">
      <alignment horizontal="left" vertical="top" wrapText="1"/>
      <protection/>
    </xf>
    <xf numFmtId="49" fontId="5" fillId="15" borderId="33" xfId="0" applyNumberFormat="1" applyFont="1" applyFill="1" applyBorder="1" applyAlignment="1" applyProtection="1">
      <alignment horizontal="left" vertical="top" wrapText="1"/>
      <protection/>
    </xf>
    <xf numFmtId="49" fontId="5" fillId="15" borderId="21" xfId="0" applyNumberFormat="1" applyFont="1" applyFill="1" applyBorder="1" applyAlignment="1" applyProtection="1">
      <alignment horizontal="left" vertical="top" wrapText="1"/>
      <protection/>
    </xf>
    <xf numFmtId="49" fontId="5" fillId="0" borderId="0" xfId="0" applyNumberFormat="1" applyAlignment="1" applyProtection="1">
      <alignment horizontal="center"/>
      <protection/>
    </xf>
    <xf numFmtId="49" fontId="5" fillId="0" borderId="0" xfId="0" applyNumberFormat="1" applyAlignment="1" applyProtection="1">
      <alignment horizontal="left" vertical="top"/>
      <protection/>
    </xf>
    <xf numFmtId="49" fontId="5" fillId="0" borderId="0" xfId="0" applyNumberFormat="1" applyAlignment="1" applyProtection="1">
      <alignment horizontal="left" vertical="top" wrapText="1"/>
      <protection/>
    </xf>
    <xf numFmtId="0" fontId="5" fillId="15" borderId="0" xfId="0" applyFont="1" applyFill="1" applyProtection="1">
      <protection/>
    </xf>
    <xf numFmtId="49" fontId="5" fillId="0" borderId="22" xfId="0" applyNumberFormat="1" applyBorder="1" applyAlignment="1" applyProtection="1">
      <alignment horizontal="left"/>
      <protection/>
    </xf>
    <xf numFmtId="49" fontId="5" fillId="15" borderId="20" xfId="0" applyNumberFormat="1" applyFont="1" applyFill="1" applyBorder="1" applyAlignment="1" applyProtection="1">
      <alignment horizontal="left" vertical="top" wrapText="1"/>
      <protection/>
    </xf>
    <xf numFmtId="49" fontId="5" fillId="15" borderId="19" xfId="0" applyNumberFormat="1" applyFont="1" applyFill="1" applyBorder="1" applyAlignment="1" applyProtection="1">
      <alignment horizontal="left" vertical="top" wrapText="1"/>
      <protection/>
    </xf>
    <xf numFmtId="49" fontId="5" fillId="0" borderId="22" xfId="0" applyNumberFormat="1" applyBorder="1" applyAlignment="1" applyProtection="1">
      <alignment horizontal="left" vertical="top" wrapText="1"/>
      <protection/>
    </xf>
    <xf numFmtId="49" fontId="6" fillId="15" borderId="45" xfId="20" applyNumberFormat="1" applyFont="1" applyFill="1" applyBorder="1" applyAlignment="1" applyProtection="1">
      <alignment horizontal="left" vertical="top"/>
      <protection/>
    </xf>
    <xf numFmtId="49" fontId="6" fillId="15" borderId="44" xfId="20" applyNumberFormat="1" applyFont="1" applyFill="1" applyBorder="1" applyAlignment="1" applyProtection="1">
      <alignment horizontal="left" vertical="top"/>
      <protection/>
    </xf>
    <xf numFmtId="49" fontId="6" fillId="15" borderId="46" xfId="20" applyNumberFormat="1" applyFont="1" applyFill="1" applyBorder="1" applyAlignment="1" applyProtection="1">
      <alignment horizontal="left" vertical="top"/>
      <protection/>
    </xf>
    <xf numFmtId="0" fontId="5" fillId="0" borderId="0" xfId="0" applyAlignment="1" applyProtection="1">
      <alignment horizontal="left" vertical="center" wrapText="1"/>
      <protection/>
    </xf>
    <xf numFmtId="49" fontId="4" fillId="2" borderId="1" xfId="0" applyNumberFormat="1" applyFont="1" applyFill="1" applyBorder="1" applyAlignment="1" applyProtection="1">
      <alignment horizontal="left" vertical="top"/>
      <protection/>
    </xf>
    <xf numFmtId="49" fontId="1" fillId="2" borderId="6" xfId="0" applyNumberFormat="1" applyFont="1" applyFill="1" applyBorder="1" applyAlignment="1" applyProtection="1">
      <alignment horizontal="right" vertical="top" wrapText="1"/>
      <protection/>
    </xf>
    <xf numFmtId="49" fontId="3" fillId="2" borderId="1" xfId="0" applyNumberFormat="1" applyFont="1" applyFill="1" applyBorder="1" applyAlignment="1" applyProtection="1">
      <alignment vertical="top" wrapText="1"/>
      <protection/>
    </xf>
    <xf numFmtId="49" fontId="2" fillId="0" borderId="1" xfId="0" applyNumberFormat="1" applyBorder="1" applyProtection="1">
      <protection/>
    </xf>
    <xf numFmtId="49" fontId="1" fillId="2" borderId="9" xfId="0" applyNumberFormat="1" applyFont="1" applyFill="1" applyBorder="1" applyAlignment="1" applyProtection="1">
      <alignment horizontal="right" vertical="top" wrapText="1"/>
      <protection/>
    </xf>
  </cellXfs>
  <cellStyles count="7">
    <cellStyle name="Normal" xfId="0" builtinId="0"/>
    <cellStyle name="Percent" xfId="15" builtinId="5"/>
    <cellStyle name="Currency" xfId="16" builtinId="4"/>
    <cellStyle name="Currency [0]" xfId="17" builtinId="7"/>
    <cellStyle name="Comma" xfId="18" builtinId="3"/>
    <cellStyle name="Comma [0]" xfId="19" builtinId="6"/>
    <cellStyle name="Output" xfId="2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sharedStrings" Target="sharedStrings.xml" /><Relationship Id="rId6" Type="http://schemas.openxmlformats.org/officeDocument/2006/relationships/calcChain" Target="calcChain.xml" /><Relationship Id="rId7" Type="http://schemas.openxmlformats.org/officeDocument/2006/relationships/sheetMetadata" Target="metadata.xml" /></Relationships>
</file>

<file path=xl/ctrProps/ctrProp1.xml><?xml version="1.0" encoding="utf-8"?>
<formControlPr xmlns="http://schemas.microsoft.com/office/spreadsheetml/2009/9/main" objectType="Label"/>
</file>

<file path=xl/ctrProps/ctrProp2.xml><?xml version="1.0" encoding="utf-8"?>
<formControlPr xmlns="http://schemas.microsoft.com/office/spreadsheetml/2009/9/main" objectType="Label"/>
</file>

<file path=xl/ctrProps/ctrProp3.xml><?xml version="1.0" encoding="utf-8"?>
<formControlPr xmlns="http://schemas.microsoft.com/office/spreadsheetml/2009/9/main" objectType="Drop" dropLines="3" dropStyle="Combo" dx="15" noThreeD="1" sel="3" fmlaLink="$AA$36" fmlaRange="$BU$2:$BU$4"/>
</file>

<file path=xl/ctrProps/ctrProp4.xml><?xml version="1.0" encoding="utf-8"?>
<formControlPr xmlns="http://schemas.microsoft.com/office/spreadsheetml/2009/9/main" objectType="Drop" dropLines="3" dropStyle="Combo" dx="15" noThreeD="1" sel="3" fmlaLink="$AA$39" fmlaRange="$BU$2:$BU$4"/>
</file>

<file path=xl/ctrProps/ctrProp5.xml><?xml version="1.0" encoding="utf-8"?>
<formControlPr xmlns="http://schemas.microsoft.com/office/spreadsheetml/2009/9/main" objectType="Drop" dropLines="3" dropStyle="Combo" dx="15" noThreeD="1" sel="1" fmlaLink="$AA$81" fmlaRange="$BU$2:$BU$4"/>
</file>

<file path=xl/ctrProps/ctrProp6.xml><?xml version="1.0" encoding="utf-8"?>
<formControlPr xmlns="http://schemas.microsoft.com/office/spreadsheetml/2009/9/main" objectType="Drop" dropLines="3" dropStyle="Combo" dx="15" noThreeD="1" sel="2" fmlaLink="$AA$87" fmlaRange="$BT$2:$BT$3"/>
</file>

<file path=xl/ctrProps/ctrProp7.xml><?xml version="1.0" encoding="utf-8"?>
<formControlPr xmlns="http://schemas.microsoft.com/office/spreadsheetml/2009/9/main" objectType="Drop" dropLines="3" dropStyle="Combo" dx="15" noThreeD="1" sel="2" fmlaLink="$AA$97" fmlaRange="$BT$2:$BT$3"/>
</file>

<file path=xl/ctrProps/ctrProp8.xml><?xml version="1.0" encoding="utf-8"?>
<formControlPr xmlns="http://schemas.microsoft.com/office/spreadsheetml/2009/9/main" objectType="Drop" dropLines="3" dropStyle="Combo" dx="15" noThreeD="1" sel="2" fmlaLink="$AA$108" fmlaRange="$BT$2:$BT$3"/>
</file>

<file path=xl/ctrProps/ctrProp9.xml><?xml version="1.0" encoding="utf-8"?>
<formControlPr xmlns="http://schemas.microsoft.com/office/spreadsheetml/2009/9/main" objectType="Drop" dropLines="3" dropStyle="Combo" dx="15" noThreeD="1" sel="1" fmlaLink="$AA$157" fmlaRange="$BT$2:$BT$3"/>
</file>

<file path=xl/ctrProps/ctrProp10.xml><?xml version="1.0" encoding="utf-8"?>
<formControlPr xmlns="http://schemas.microsoft.com/office/spreadsheetml/2009/9/main" objectType="Drop" dropLines="3" dropStyle="Combo" dx="15" noThreeD="1" sel="2" fmlaLink="$AA$160" fmlaRange="$BT$2:$BT$3"/>
</file>

<file path=xl/ctrProps/ctrProp11.xml><?xml version="1.0" encoding="utf-8"?>
<formControlPr xmlns="http://schemas.microsoft.com/office/spreadsheetml/2009/9/main" objectType="Drop" dropLines="3" dropStyle="Combo" dx="15" noThreeD="1" sel="2" fmlaLink="$AA$163" fmlaRange="$BT$2:$BT$3"/>
</file>

<file path=xl/ctrProps/ctrProp12.xml><?xml version="1.0" encoding="utf-8"?>
<formControlPr xmlns="http://schemas.microsoft.com/office/spreadsheetml/2009/9/main" objectType="Drop" dropLines="3" dropStyle="Combo" dx="15" noThreeD="1" sel="2" fmlaLink="$AA$191" fmlaRange="$BT$2:$BT$3"/>
</file>

<file path=xl/ctrProps/ctrProp13.xml><?xml version="1.0" encoding="utf-8"?>
<formControlPr xmlns="http://schemas.microsoft.com/office/spreadsheetml/2009/9/main" objectType="Drop" dropLines="3" dropStyle="Combo" dx="15" noThreeD="1" sel="2" fmlaLink="$AA$369" fmlaRange="$BT$2:$BT$3"/>
</file>

<file path=xl/ctrProps/ctrProp14.xml><?xml version="1.0" encoding="utf-8"?>
<formControlPr xmlns="http://schemas.microsoft.com/office/spreadsheetml/2009/9/main" objectType="Drop" dropLines="3" dropStyle="Combo" dx="15" noThreeD="1" sel="2" fmlaLink="$AA$427" fmlaRange="$BT$2:$BT$3"/>
</file>

<file path=xl/ctrProps/ctrProp15.xml><?xml version="1.0" encoding="utf-8"?>
<formControlPr xmlns="http://schemas.microsoft.com/office/spreadsheetml/2009/9/main" objectType="Drop" dropLines="3" dropStyle="Combo" dx="15" noThreeD="1" sel="2" fmlaLink="$AA$433" fmlaRange="$BT$2:$BT$3"/>
</file>

<file path=xl/ctrProps/ctrProp16.xml><?xml version="1.0" encoding="utf-8"?>
<formControlPr xmlns="http://schemas.microsoft.com/office/spreadsheetml/2009/9/main" objectType="Drop" dropLines="3" dropStyle="Combo" dx="15" noThreeD="1" sel="2" fmlaLink="$AA$563" fmlaRange="$BT$2:$BT$3"/>
</file>

<file path=xl/ctrProps/ctrProp17.xml><?xml version="1.0" encoding="utf-8"?>
<formControlPr xmlns="http://schemas.microsoft.com/office/spreadsheetml/2009/9/main" objectType="Drop" dropLines="3" dropStyle="Combo" dx="15" noThreeD="1" sel="2" fmlaLink="$AA$574" fmlaRange="$BT$2:$BT$3"/>
</file>

<file path=xl/ctrProps/ctrProp18.xml><?xml version="1.0" encoding="utf-8"?>
<formControlPr xmlns="http://schemas.microsoft.com/office/spreadsheetml/2009/9/main" objectType="Drop" dropLines="4" dropStyle="Combo" dx="15" noThreeD="1" sel="2" fmlaLink="$AA$567" fmlaRange="$BU$2:$BU$5"/>
</file>

<file path=xl/ctrProps/ctrProp19.xml><?xml version="1.0" encoding="utf-8"?>
<formControlPr xmlns="http://schemas.microsoft.com/office/spreadsheetml/2009/9/main" objectType="Drop" dropLines="3" dropStyle="Combo" dx="15" noThreeD="1" sel="2" fmlaLink="$AA$585" fmlaRange="$BT$2:$BT$3"/>
</file>

<file path=xl/ctrProps/ctrProp20.xml><?xml version="1.0" encoding="utf-8"?>
<formControlPr xmlns="http://schemas.microsoft.com/office/spreadsheetml/2009/9/main" objectType="Drop" dropLines="3" dropStyle="Combo" dx="15" noThreeD="1" sel="2" fmlaLink="$AA$588" fmlaRange="$BT$2:$BT$3"/>
</file>

<file path=xl/ctrProps/ctrProp21.xml><?xml version="1.0" encoding="utf-8"?>
<formControlPr xmlns="http://schemas.microsoft.com/office/spreadsheetml/2009/9/main" objectType="Drop" dropLines="3" dropStyle="Combo" dx="15" noThreeD="1" sel="2" fmlaLink="$AA$577" fmlaRange="$BT$2:$BT$3"/>
</file>

<file path=xl/ctrProps/ctrProp22.xml><?xml version="1.0" encoding="utf-8"?>
<formControlPr xmlns="http://schemas.microsoft.com/office/spreadsheetml/2009/9/main" objectType="Drop" dropLines="8" dropStyle="Combo" dx="15" noThreeD="1" sel="1" fmlaLink="$AA$622" fmlaRange="$CB$2:$CB$7"/>
</file>

<file path=xl/ctrProps/ctrProp23.xml><?xml version="1.0" encoding="utf-8"?>
<formControlPr xmlns="http://schemas.microsoft.com/office/spreadsheetml/2009/9/main" objectType="Drop" dropLines="8" dropStyle="Combo" dx="15" noThreeD="1" sel="2" fmlaLink="$AA$650" fmlaRange="$CD$2:$CD$3"/>
</file>

<file path=xl/ctrProps/ctrProp24.xml><?xml version="1.0" encoding="utf-8"?>
<formControlPr xmlns="http://schemas.microsoft.com/office/spreadsheetml/2009/9/main" objectType="Drop" dropLines="8" dropStyle="Combo" dx="15" noThreeD="1" sel="1" fmlaLink="$AA$648" fmlaRange="$CC$2:$CC$4"/>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mc:AlternateContent xmlns:mc="http://schemas.openxmlformats.org/markup-compatibility/2006">
    <mc:Choice xmlns:a14="http://schemas.microsoft.com/office/drawing/2010/main" Requires="a14">
      <xdr:twoCellAnchor>
        <xdr:from>
          <xdr:col>6</xdr:col>
          <xdr:colOff>330200</xdr:colOff>
          <xdr:row>199</xdr:row>
          <xdr:rowOff>673100</xdr:rowOff>
        </xdr:from>
        <xdr:to>
          <xdr:col>7</xdr:col>
          <xdr:colOff>558800</xdr:colOff>
          <xdr:row>200</xdr:row>
          <xdr:rowOff>0</xdr:rowOff>
        </xdr:to>
        <xdr:sp>
          <xdr:nvSpPr>
            <xdr:cNvPr id="2050" name="Label 104" hidden="1">
              <a:extLst>
                <a:ext uri="{63B3BB69-23CF-44E3-9099-C40C66FF867C}">
                  <a14:compatExt spid="_x0000_s2050"/>
                </a:ext>
                <a:ext uri="{FF2B5EF4-FFF2-40B4-BE49-F238E27FC236}">
                  <a16:creationId xmlns:a16="http://schemas.microsoft.com/office/drawing/2014/main" id="{847f7af1-84f4-4efe-8a0a-cb86c37af0a0}"/>
                </a:ext>
              </a:extLst>
            </xdr:cNvPr>
            <xdr:cNvSpPr>
              <a:spLocks noRot="1"/>
            </xdr:cNvSpPr>
          </xdr:nvSpPr>
          <xdr:spPr>
            <a:xfrm>
              <a:off x="4572000" y="26298525"/>
              <a:ext cx="857250" cy="0"/>
            </a:xfrm>
            <a:prstGeom prst="rect"/>
            <a:noFill/>
            <a:ln>
              <a:noFill/>
            </a:ln>
          </xdr:spPr>
          <xdr:txBody>
            <a:bodyPr lIns="36576" tIns="32004" rIns="0" bIns="0" vertOverflow="clip" wrap="square" anchor="t" upright="1"/>
            <a:p>
              <a:pPr algn="l" rtl="0">
                <a:defRPr lang="en-IN" sz="800" u="none" b="0" i="0" baseline="0">
                  <a:solidFill>
                    <a:srgbClr val="000000"/>
                  </a:solidFill>
                  <a:latin typeface="Segoe UI"/>
                  <a:cs typeface="Segoe UI"/>
                </a:defRPr>
              </a:pPr>
              <a:endParaRPr lang="en-IN" sz="800" u="none" b="0" i="0" baseline="0">
                <a:solidFill>
                  <a:srgbClr val="000000"/>
                </a:solidFill>
                <a:latin typeface="Segoe UI"/>
                <a:cs typeface="Segoe UI"/>
              </a:endParaRPr>
            </a:p>
            <a:p>
              <a:pPr algn="l" rtl="0">
                <a:defRPr lang="en-IN" sz="800" u="none" b="0" i="0" baseline="0">
                  <a:solidFill>
                    <a:srgbClr val="000000"/>
                  </a:solidFill>
                  <a:latin typeface="Segoe UI"/>
                  <a:cs typeface="Segoe UI"/>
                </a:defRPr>
              </a:pPr>
              <a:endParaRPr lang="en-IN" sz="800" u="none" b="0" i="0" baseline="0">
                <a:solidFill>
                  <a:srgbClr val="000000"/>
                </a:solidFill>
                <a:latin typeface="Segoe UI"/>
                <a:cs typeface="Segoe UI"/>
              </a:endParaRP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330200</xdr:colOff>
          <xdr:row>198</xdr:row>
          <xdr:rowOff>673100</xdr:rowOff>
        </xdr:from>
        <xdr:to>
          <xdr:col>7</xdr:col>
          <xdr:colOff>558800</xdr:colOff>
          <xdr:row>199</xdr:row>
          <xdr:rowOff>0</xdr:rowOff>
        </xdr:to>
        <xdr:sp>
          <xdr:nvSpPr>
            <xdr:cNvPr id="2051" name="Label 144" hidden="1">
              <a:extLst>
                <a:ext uri="{63B3BB69-23CF-44E3-9099-C40C66FF867C}">
                  <a14:compatExt spid="_x0000_s2051"/>
                </a:ext>
                <a:ext uri="{FF2B5EF4-FFF2-40B4-BE49-F238E27FC236}">
                  <a16:creationId xmlns:a16="http://schemas.microsoft.com/office/drawing/2014/main" id="{ea7eae5c-cd3a-464b-aab8-d99b874603c8}"/>
                </a:ext>
              </a:extLst>
            </xdr:cNvPr>
            <xdr:cNvSpPr>
              <a:spLocks noRot="1"/>
            </xdr:cNvSpPr>
          </xdr:nvSpPr>
          <xdr:spPr>
            <a:xfrm>
              <a:off x="4572000" y="25955625"/>
              <a:ext cx="857250" cy="0"/>
            </a:xfrm>
            <a:prstGeom prst="rect"/>
            <a:noFill/>
            <a:ln>
              <a:noFill/>
            </a:ln>
          </xdr:spPr>
          <xdr:txBody>
            <a:bodyPr lIns="36576" tIns="32004" rIns="0" bIns="0" vertOverflow="clip" wrap="square" anchor="t" upright="1"/>
            <a:p>
              <a:pPr algn="l" rtl="0">
                <a:defRPr lang="en-IN" sz="800" u="none" b="0" i="0" baseline="0">
                  <a:solidFill>
                    <a:srgbClr val="000000"/>
                  </a:solidFill>
                  <a:latin typeface="Segoe UI"/>
                  <a:cs typeface="Segoe UI"/>
                </a:defRPr>
              </a:pPr>
              <a:endParaRPr lang="en-IN" sz="800" u="none" b="0" i="0" baseline="0">
                <a:solidFill>
                  <a:srgbClr val="000000"/>
                </a:solidFill>
                <a:latin typeface="Segoe UI"/>
                <a:cs typeface="Segoe UI"/>
              </a:endParaRPr>
            </a:p>
            <a:p>
              <a:pPr algn="l" rtl="0">
                <a:defRPr lang="en-IN" sz="800" u="none" b="0" i="0" baseline="0">
                  <a:solidFill>
                    <a:srgbClr val="000000"/>
                  </a:solidFill>
                  <a:latin typeface="Segoe UI"/>
                  <a:cs typeface="Segoe UI"/>
                </a:defRPr>
              </a:pPr>
              <a:endParaRPr lang="en-IN" sz="800" u="none" b="0" i="0" baseline="0">
                <a:solidFill>
                  <a:srgbClr val="000000"/>
                </a:solidFill>
                <a:latin typeface="Segoe UI"/>
                <a:cs typeface="Segoe UI"/>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35</xdr:row>
          <xdr:rowOff>25400</xdr:rowOff>
        </xdr:from>
        <xdr:to>
          <xdr:col>4</xdr:col>
          <xdr:colOff>641350</xdr:colOff>
          <xdr:row>55</xdr:row>
          <xdr:rowOff>180975</xdr:rowOff>
        </xdr:to>
        <xdr:sp>
          <xdr:nvSpPr>
            <xdr:cNvPr id="2052" name="Drop Down 151" hidden="1">
              <a:extLst>
                <a:ext uri="{63B3BB69-23CF-44E3-9099-C40C66FF867C}">
                  <a14:compatExt spid="_x0000_s2052"/>
                </a:ext>
                <a:ext uri="{FF2B5EF4-FFF2-40B4-BE49-F238E27FC236}">
                  <a16:creationId xmlns:a16="http://schemas.microsoft.com/office/drawing/2014/main" id="{fa2db563-3a7e-4bd0-aafa-887dd31b426e}"/>
                </a:ext>
              </a:extLst>
            </xdr:cNvPr>
            <xdr:cNvSpPr>
              <a:spLocks noRot="1" noTextEdit="1"/>
            </xdr:cNvSpPr>
          </xdr:nvSpPr>
          <xdr:spPr>
            <a:xfrm>
              <a:off x="723900" y="6057900"/>
              <a:ext cx="2838450" cy="180975"/>
            </a:xfrm>
            <a:prstGeom prst="rect"/>
            <a:ln>
              <a:noFill/>
            </a:ln>
          </xdr:spPr>
          <xdr:txBody>
            <a:bodyPr lIns="91440" tIns="45720" rIns="91440" bIns="45720"/>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38</xdr:row>
          <xdr:rowOff>25400</xdr:rowOff>
        </xdr:from>
        <xdr:to>
          <xdr:col>4</xdr:col>
          <xdr:colOff>641350</xdr:colOff>
          <xdr:row>55</xdr:row>
          <xdr:rowOff>180975</xdr:rowOff>
        </xdr:to>
        <xdr:sp>
          <xdr:nvSpPr>
            <xdr:cNvPr id="2053" name="Drop Down 152" hidden="1">
              <a:extLst>
                <a:ext uri="{63B3BB69-23CF-44E3-9099-C40C66FF867C}">
                  <a14:compatExt spid="_x0000_s2053"/>
                </a:ext>
                <a:ext uri="{FF2B5EF4-FFF2-40B4-BE49-F238E27FC236}">
                  <a16:creationId xmlns:a16="http://schemas.microsoft.com/office/drawing/2014/main" id="{c939daec-66fa-4ee0-904e-ecab2e021b86}"/>
                </a:ext>
              </a:extLst>
            </xdr:cNvPr>
            <xdr:cNvSpPr>
              <a:spLocks noRot="1" noTextEdit="1"/>
            </xdr:cNvSpPr>
          </xdr:nvSpPr>
          <xdr:spPr>
            <a:xfrm>
              <a:off x="723900" y="6057900"/>
              <a:ext cx="2838450" cy="180975"/>
            </a:xfrm>
            <a:prstGeom prst="rect"/>
            <a:ln>
              <a:noFill/>
            </a:ln>
          </xdr:spPr>
          <xdr:txBody>
            <a:bodyPr lIns="91440" tIns="45720" rIns="91440" bIns="45720"/>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80</xdr:row>
          <xdr:rowOff>0</xdr:rowOff>
        </xdr:from>
        <xdr:to>
          <xdr:col>10</xdr:col>
          <xdr:colOff>0</xdr:colOff>
          <xdr:row>81</xdr:row>
          <xdr:rowOff>25400</xdr:rowOff>
        </xdr:to>
        <xdr:sp>
          <xdr:nvSpPr>
            <xdr:cNvPr id="2054" name="Drop Down 153" hidden="1">
              <a:extLst>
                <a:ext uri="{63B3BB69-23CF-44E3-9099-C40C66FF867C}">
                  <a14:compatExt spid="_x0000_s2054"/>
                </a:ext>
                <a:ext uri="{FF2B5EF4-FFF2-40B4-BE49-F238E27FC236}">
                  <a16:creationId xmlns:a16="http://schemas.microsoft.com/office/drawing/2014/main" id="{623374c8-b124-462a-821b-2413ee82a2e1}"/>
                </a:ext>
              </a:extLst>
            </xdr:cNvPr>
            <xdr:cNvSpPr>
              <a:spLocks noRot="1" noTextEdit="1"/>
            </xdr:cNvSpPr>
          </xdr:nvSpPr>
          <xdr:spPr>
            <a:xfrm>
              <a:off x="4238625" y="10744200"/>
              <a:ext cx="2790825" cy="209550"/>
            </a:xfrm>
            <a:prstGeom prst="rect"/>
            <a:ln>
              <a:noFill/>
            </a:ln>
          </xdr:spPr>
          <xdr:txBody>
            <a:bodyPr lIns="91440" tIns="45720" rIns="91440" bIns="45720"/>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86</xdr:row>
          <xdr:rowOff>25400</xdr:rowOff>
        </xdr:from>
        <xdr:to>
          <xdr:col>10</xdr:col>
          <xdr:colOff>25400</xdr:colOff>
          <xdr:row>87</xdr:row>
          <xdr:rowOff>25400</xdr:rowOff>
        </xdr:to>
        <xdr:sp>
          <xdr:nvSpPr>
            <xdr:cNvPr id="2055" name="Drop Down 154" hidden="1">
              <a:extLst>
                <a:ext uri="{63B3BB69-23CF-44E3-9099-C40C66FF867C}">
                  <a14:compatExt spid="_x0000_s2055"/>
                </a:ext>
                <a:ext uri="{FF2B5EF4-FFF2-40B4-BE49-F238E27FC236}">
                  <a16:creationId xmlns:a16="http://schemas.microsoft.com/office/drawing/2014/main" id="{5034cb70-0138-43b9-ac89-e7b064bbe96f}"/>
                </a:ext>
              </a:extLst>
            </xdr:cNvPr>
            <xdr:cNvSpPr>
              <a:spLocks noRot="1" noTextEdit="1"/>
            </xdr:cNvSpPr>
          </xdr:nvSpPr>
          <xdr:spPr>
            <a:xfrm>
              <a:off x="4238625" y="11858625"/>
              <a:ext cx="2819400" cy="180975"/>
            </a:xfrm>
            <a:prstGeom prst="rect"/>
            <a:ln>
              <a:noFill/>
            </a:ln>
          </xdr:spPr>
          <xdr:txBody>
            <a:bodyPr lIns="91440" tIns="45720" rIns="91440" bIns="45720"/>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139700</xdr:colOff>
          <xdr:row>96</xdr:row>
          <xdr:rowOff>25400</xdr:rowOff>
        </xdr:from>
        <xdr:to>
          <xdr:col>5</xdr:col>
          <xdr:colOff>44450</xdr:colOff>
          <xdr:row>96</xdr:row>
          <xdr:rowOff>177800</xdr:rowOff>
        </xdr:to>
        <xdr:sp>
          <xdr:nvSpPr>
            <xdr:cNvPr id="2056" name="Drop Down 155" hidden="1">
              <a:extLst>
                <a:ext uri="{63B3BB69-23CF-44E3-9099-C40C66FF867C}">
                  <a14:compatExt spid="_x0000_s2056"/>
                </a:ext>
                <a:ext uri="{FF2B5EF4-FFF2-40B4-BE49-F238E27FC236}">
                  <a16:creationId xmlns:a16="http://schemas.microsoft.com/office/drawing/2014/main" id="{c82585d1-0380-4617-aa35-e502910702a7}"/>
                </a:ext>
              </a:extLst>
            </xdr:cNvPr>
            <xdr:cNvSpPr>
              <a:spLocks noRot="1" noTextEdit="1"/>
            </xdr:cNvSpPr>
          </xdr:nvSpPr>
          <xdr:spPr>
            <a:xfrm>
              <a:off x="838200" y="12944475"/>
              <a:ext cx="2819400" cy="152400"/>
            </a:xfrm>
            <a:prstGeom prst="rect"/>
            <a:ln>
              <a:noFill/>
            </a:ln>
          </xdr:spPr>
          <xdr:txBody>
            <a:bodyPr lIns="91440" tIns="45720" rIns="91440" bIns="45720"/>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152400</xdr:colOff>
          <xdr:row>107</xdr:row>
          <xdr:rowOff>0</xdr:rowOff>
        </xdr:from>
        <xdr:to>
          <xdr:col>5</xdr:col>
          <xdr:colOff>63500</xdr:colOff>
          <xdr:row>108</xdr:row>
          <xdr:rowOff>0</xdr:rowOff>
        </xdr:to>
        <xdr:sp>
          <xdr:nvSpPr>
            <xdr:cNvPr id="2057" name="Drop Down 156" hidden="1">
              <a:extLst>
                <a:ext uri="{63B3BB69-23CF-44E3-9099-C40C66FF867C}">
                  <a14:compatExt spid="_x0000_s2057"/>
                </a:ext>
                <a:ext uri="{FF2B5EF4-FFF2-40B4-BE49-F238E27FC236}">
                  <a16:creationId xmlns:a16="http://schemas.microsoft.com/office/drawing/2014/main" id="{51c37b9f-1397-4a49-99da-96e5b011254e}"/>
                </a:ext>
              </a:extLst>
            </xdr:cNvPr>
            <xdr:cNvSpPr>
              <a:spLocks noRot="1" noTextEdit="1"/>
            </xdr:cNvSpPr>
          </xdr:nvSpPr>
          <xdr:spPr>
            <a:xfrm>
              <a:off x="847725" y="13639800"/>
              <a:ext cx="2828925" cy="180975"/>
            </a:xfrm>
            <a:prstGeom prst="rect"/>
            <a:ln>
              <a:noFill/>
            </a:ln>
          </xdr:spPr>
          <xdr:txBody>
            <a:bodyPr lIns="91440" tIns="45720" rIns="91440" bIns="45720"/>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190500</xdr:colOff>
          <xdr:row>156</xdr:row>
          <xdr:rowOff>25400</xdr:rowOff>
        </xdr:from>
        <xdr:to>
          <xdr:col>5</xdr:col>
          <xdr:colOff>6350</xdr:colOff>
          <xdr:row>157</xdr:row>
          <xdr:rowOff>25400</xdr:rowOff>
        </xdr:to>
        <xdr:sp>
          <xdr:nvSpPr>
            <xdr:cNvPr id="2058" name="Drop Down 158" hidden="1">
              <a:extLst>
                <a:ext uri="{63B3BB69-23CF-44E3-9099-C40C66FF867C}">
                  <a14:compatExt spid="_x0000_s2058"/>
                </a:ext>
                <a:ext uri="{FF2B5EF4-FFF2-40B4-BE49-F238E27FC236}">
                  <a16:creationId xmlns:a16="http://schemas.microsoft.com/office/drawing/2014/main" id="{f4f3a33b-403f-4601-8b16-d58a0d138864}"/>
                </a:ext>
              </a:extLst>
            </xdr:cNvPr>
            <xdr:cNvSpPr>
              <a:spLocks noRot="1" noTextEdit="1"/>
            </xdr:cNvSpPr>
          </xdr:nvSpPr>
          <xdr:spPr>
            <a:xfrm>
              <a:off x="885825" y="23631525"/>
              <a:ext cx="2733675" cy="180975"/>
            </a:xfrm>
            <a:prstGeom prst="rect"/>
            <a:ln>
              <a:noFill/>
            </a:ln>
          </xdr:spPr>
          <xdr:txBody>
            <a:bodyPr lIns="91440" tIns="45720" rIns="91440" bIns="45720"/>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190500</xdr:colOff>
          <xdr:row>159</xdr:row>
          <xdr:rowOff>25400</xdr:rowOff>
        </xdr:from>
        <xdr:to>
          <xdr:col>5</xdr:col>
          <xdr:colOff>6350</xdr:colOff>
          <xdr:row>160</xdr:row>
          <xdr:rowOff>25400</xdr:rowOff>
        </xdr:to>
        <xdr:sp>
          <xdr:nvSpPr>
            <xdr:cNvPr id="2059" name="Drop Down 159" hidden="1">
              <a:extLst>
                <a:ext uri="{63B3BB69-23CF-44E3-9099-C40C66FF867C}">
                  <a14:compatExt spid="_x0000_s2059"/>
                </a:ext>
                <a:ext uri="{FF2B5EF4-FFF2-40B4-BE49-F238E27FC236}">
                  <a16:creationId xmlns:a16="http://schemas.microsoft.com/office/drawing/2014/main" id="{43fd55d0-cd0d-425f-88a8-813d088ff6bd}"/>
                </a:ext>
              </a:extLst>
            </xdr:cNvPr>
            <xdr:cNvSpPr>
              <a:spLocks noRot="1" noTextEdit="1"/>
            </xdr:cNvSpPr>
          </xdr:nvSpPr>
          <xdr:spPr>
            <a:xfrm>
              <a:off x="885825" y="24174450"/>
              <a:ext cx="2733675" cy="180975"/>
            </a:xfrm>
            <a:prstGeom prst="rect"/>
            <a:ln>
              <a:noFill/>
            </a:ln>
          </xdr:spPr>
          <xdr:txBody>
            <a:bodyPr lIns="91440" tIns="45720" rIns="91440" bIns="45720"/>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190500</xdr:colOff>
          <xdr:row>162</xdr:row>
          <xdr:rowOff>0</xdr:rowOff>
        </xdr:from>
        <xdr:to>
          <xdr:col>5</xdr:col>
          <xdr:colOff>6350</xdr:colOff>
          <xdr:row>163</xdr:row>
          <xdr:rowOff>0</xdr:rowOff>
        </xdr:to>
        <xdr:sp>
          <xdr:nvSpPr>
            <xdr:cNvPr id="2060" name="Drop Down 160" hidden="1">
              <a:extLst>
                <a:ext uri="{63B3BB69-23CF-44E3-9099-C40C66FF867C}">
                  <a14:compatExt spid="_x0000_s2060"/>
                </a:ext>
                <a:ext uri="{FF2B5EF4-FFF2-40B4-BE49-F238E27FC236}">
                  <a16:creationId xmlns:a16="http://schemas.microsoft.com/office/drawing/2014/main" id="{652ac527-3d0c-405d-b90b-dc8a121dbf29}"/>
                </a:ext>
              </a:extLst>
            </xdr:cNvPr>
            <xdr:cNvSpPr>
              <a:spLocks noRot="1" noTextEdit="1"/>
            </xdr:cNvSpPr>
          </xdr:nvSpPr>
          <xdr:spPr>
            <a:xfrm>
              <a:off x="885825" y="24688800"/>
              <a:ext cx="2733675" cy="180975"/>
            </a:xfrm>
            <a:prstGeom prst="rect"/>
            <a:ln>
              <a:noFill/>
            </a:ln>
          </xdr:spPr>
          <xdr:txBody>
            <a:bodyPr lIns="91440" tIns="45720" rIns="91440" bIns="45720"/>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25400</xdr:colOff>
          <xdr:row>190</xdr:row>
          <xdr:rowOff>0</xdr:rowOff>
        </xdr:from>
        <xdr:to>
          <xdr:col>10</xdr:col>
          <xdr:colOff>0</xdr:colOff>
          <xdr:row>196</xdr:row>
          <xdr:rowOff>25400</xdr:rowOff>
        </xdr:to>
        <xdr:sp>
          <xdr:nvSpPr>
            <xdr:cNvPr id="2061" name="Drop Down 161" hidden="1">
              <a:extLst>
                <a:ext uri="{63B3BB69-23CF-44E3-9099-C40C66FF867C}">
                  <a14:compatExt spid="_x0000_s2061"/>
                </a:ext>
                <a:ext uri="{FF2B5EF4-FFF2-40B4-BE49-F238E27FC236}">
                  <a16:creationId xmlns:a16="http://schemas.microsoft.com/office/drawing/2014/main" id="{b760ff63-9c24-49a8-8ab1-076aa7087454}"/>
                </a:ext>
              </a:extLst>
            </xdr:cNvPr>
            <xdr:cNvSpPr>
              <a:spLocks noRot="1" noTextEdit="1"/>
            </xdr:cNvSpPr>
          </xdr:nvSpPr>
          <xdr:spPr>
            <a:xfrm>
              <a:off x="4267200" y="25050750"/>
              <a:ext cx="2762250" cy="209550"/>
            </a:xfrm>
            <a:prstGeom prst="rect"/>
            <a:ln>
              <a:noFill/>
            </a:ln>
          </xdr:spPr>
          <xdr:txBody>
            <a:bodyPr lIns="91440" tIns="45720" rIns="91440" bIns="45720"/>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368</xdr:row>
          <xdr:rowOff>6350</xdr:rowOff>
        </xdr:from>
        <xdr:to>
          <xdr:col>15</xdr:col>
          <xdr:colOff>0</xdr:colOff>
          <xdr:row>369</xdr:row>
          <xdr:rowOff>0</xdr:rowOff>
        </xdr:to>
        <xdr:sp>
          <xdr:nvSpPr>
            <xdr:cNvPr id="2062" name="Drop Down 162" hidden="1">
              <a:extLst>
                <a:ext uri="{63B3BB69-23CF-44E3-9099-C40C66FF867C}">
                  <a14:compatExt spid="_x0000_s2062"/>
                </a:ext>
                <a:ext uri="{FF2B5EF4-FFF2-40B4-BE49-F238E27FC236}">
                  <a16:creationId xmlns:a16="http://schemas.microsoft.com/office/drawing/2014/main" id="{341d5ba5-946e-4a9b-903d-fe41332879f1}"/>
                </a:ext>
              </a:extLst>
            </xdr:cNvPr>
            <xdr:cNvSpPr>
              <a:spLocks noRot="1" noTextEdit="1"/>
            </xdr:cNvSpPr>
          </xdr:nvSpPr>
          <xdr:spPr>
            <a:xfrm>
              <a:off x="8286750" y="55044975"/>
              <a:ext cx="1885950" cy="171450"/>
            </a:xfrm>
            <a:prstGeom prst="rect"/>
            <a:ln>
              <a:noFill/>
            </a:ln>
          </xdr:spPr>
          <xdr:txBody>
            <a:bodyPr lIns="91440" tIns="45720" rIns="91440" bIns="45720"/>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428</xdr:row>
          <xdr:rowOff>6350</xdr:rowOff>
        </xdr:from>
        <xdr:to>
          <xdr:col>4</xdr:col>
          <xdr:colOff>615950</xdr:colOff>
          <xdr:row>429</xdr:row>
          <xdr:rowOff>6350</xdr:rowOff>
        </xdr:to>
        <xdr:sp>
          <xdr:nvSpPr>
            <xdr:cNvPr id="2063" name="Drop Down 163" hidden="1">
              <a:extLst>
                <a:ext uri="{63B3BB69-23CF-44E3-9099-C40C66FF867C}">
                  <a14:compatExt spid="_x0000_s2063"/>
                </a:ext>
                <a:ext uri="{FF2B5EF4-FFF2-40B4-BE49-F238E27FC236}">
                  <a16:creationId xmlns:a16="http://schemas.microsoft.com/office/drawing/2014/main" id="{963d28df-9478-4d8e-8698-c074bf111f6c}"/>
                </a:ext>
              </a:extLst>
            </xdr:cNvPr>
            <xdr:cNvSpPr>
              <a:spLocks noRot="1" noTextEdit="1"/>
            </xdr:cNvSpPr>
          </xdr:nvSpPr>
          <xdr:spPr>
            <a:xfrm>
              <a:off x="723900" y="64446150"/>
              <a:ext cx="2809875" cy="180975"/>
            </a:xfrm>
            <a:prstGeom prst="rect"/>
            <a:ln>
              <a:noFill/>
            </a:ln>
          </xdr:spPr>
          <xdr:txBody>
            <a:bodyPr lIns="91440" tIns="45720" rIns="91440" bIns="45720"/>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434</xdr:row>
          <xdr:rowOff>6350</xdr:rowOff>
        </xdr:from>
        <xdr:to>
          <xdr:col>4</xdr:col>
          <xdr:colOff>647700</xdr:colOff>
          <xdr:row>435</xdr:row>
          <xdr:rowOff>6350</xdr:rowOff>
        </xdr:to>
        <xdr:sp>
          <xdr:nvSpPr>
            <xdr:cNvPr id="2064" name="Drop Down 164" hidden="1">
              <a:extLst>
                <a:ext uri="{63B3BB69-23CF-44E3-9099-C40C66FF867C}">
                  <a14:compatExt spid="_x0000_s2064"/>
                </a:ext>
                <a:ext uri="{FF2B5EF4-FFF2-40B4-BE49-F238E27FC236}">
                  <a16:creationId xmlns:a16="http://schemas.microsoft.com/office/drawing/2014/main" id="{3c7e6e5a-c467-4da0-a325-d981a99d3504}"/>
                </a:ext>
              </a:extLst>
            </xdr:cNvPr>
            <xdr:cNvSpPr>
              <a:spLocks noRot="1" noTextEdit="1"/>
            </xdr:cNvSpPr>
          </xdr:nvSpPr>
          <xdr:spPr>
            <a:xfrm>
              <a:off x="695325" y="65532000"/>
              <a:ext cx="2867025" cy="180975"/>
            </a:xfrm>
            <a:prstGeom prst="rect"/>
            <a:ln>
              <a:noFill/>
            </a:ln>
          </xdr:spPr>
          <xdr:txBody>
            <a:bodyPr lIns="91440" tIns="45720" rIns="91440" bIns="45720"/>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562</xdr:row>
          <xdr:rowOff>25400</xdr:rowOff>
        </xdr:from>
        <xdr:to>
          <xdr:col>4</xdr:col>
          <xdr:colOff>641350</xdr:colOff>
          <xdr:row>562</xdr:row>
          <xdr:rowOff>177800</xdr:rowOff>
        </xdr:to>
        <xdr:sp>
          <xdr:nvSpPr>
            <xdr:cNvPr id="2065" name="Drop Down 165" hidden="1">
              <a:extLst>
                <a:ext uri="{63B3BB69-23CF-44E3-9099-C40C66FF867C}">
                  <a14:compatExt spid="_x0000_s2065"/>
                </a:ext>
                <a:ext uri="{FF2B5EF4-FFF2-40B4-BE49-F238E27FC236}">
                  <a16:creationId xmlns:a16="http://schemas.microsoft.com/office/drawing/2014/main" id="{d9e8501d-8358-4bcc-bcd2-a12a59dce0d0}"/>
                </a:ext>
              </a:extLst>
            </xdr:cNvPr>
            <xdr:cNvSpPr>
              <a:spLocks noRot="1" noTextEdit="1"/>
            </xdr:cNvSpPr>
          </xdr:nvSpPr>
          <xdr:spPr>
            <a:xfrm>
              <a:off x="723900" y="91106625"/>
              <a:ext cx="2838450" cy="152400"/>
            </a:xfrm>
            <a:prstGeom prst="rect"/>
            <a:ln>
              <a:noFill/>
            </a:ln>
          </xdr:spPr>
          <xdr:txBody>
            <a:bodyPr lIns="91440" tIns="45720" rIns="91440" bIns="45720"/>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573</xdr:row>
          <xdr:rowOff>0</xdr:rowOff>
        </xdr:from>
        <xdr:to>
          <xdr:col>4</xdr:col>
          <xdr:colOff>647700</xdr:colOff>
          <xdr:row>579</xdr:row>
          <xdr:rowOff>25400</xdr:rowOff>
        </xdr:to>
        <xdr:sp>
          <xdr:nvSpPr>
            <xdr:cNvPr id="2066" name="Drop Down 166" hidden="1">
              <a:extLst>
                <a:ext uri="{63B3BB69-23CF-44E3-9099-C40C66FF867C}">
                  <a14:compatExt spid="_x0000_s2066"/>
                </a:ext>
                <a:ext uri="{FF2B5EF4-FFF2-40B4-BE49-F238E27FC236}">
                  <a16:creationId xmlns:a16="http://schemas.microsoft.com/office/drawing/2014/main" id="{19df0ed4-ab52-4d9a-a13f-887e1e030088}"/>
                </a:ext>
              </a:extLst>
            </xdr:cNvPr>
            <xdr:cNvSpPr>
              <a:spLocks noRot="1" noTextEdit="1"/>
            </xdr:cNvSpPr>
          </xdr:nvSpPr>
          <xdr:spPr>
            <a:xfrm>
              <a:off x="723900" y="92382975"/>
              <a:ext cx="2838450" cy="209550"/>
            </a:xfrm>
            <a:prstGeom prst="rect"/>
            <a:ln>
              <a:noFill/>
            </a:ln>
          </xdr:spPr>
          <xdr:txBody>
            <a:bodyPr lIns="91440" tIns="45720" rIns="91440" bIns="45720"/>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565</xdr:row>
          <xdr:rowOff>406400</xdr:rowOff>
        </xdr:from>
        <xdr:to>
          <xdr:col>4</xdr:col>
          <xdr:colOff>635000</xdr:colOff>
          <xdr:row>567</xdr:row>
          <xdr:rowOff>0</xdr:rowOff>
        </xdr:to>
        <xdr:sp>
          <xdr:nvSpPr>
            <xdr:cNvPr id="2067" name="Drop Down 167" hidden="1">
              <a:extLst>
                <a:ext uri="{63B3BB69-23CF-44E3-9099-C40C66FF867C}">
                  <a14:compatExt spid="_x0000_s2067"/>
                </a:ext>
                <a:ext uri="{FF2B5EF4-FFF2-40B4-BE49-F238E27FC236}">
                  <a16:creationId xmlns:a16="http://schemas.microsoft.com/office/drawing/2014/main" id="{0ac999ef-f54e-4906-b133-efeb0fcd1a28}"/>
                </a:ext>
              </a:extLst>
            </xdr:cNvPr>
            <xdr:cNvSpPr>
              <a:spLocks noRot="1" noTextEdit="1"/>
            </xdr:cNvSpPr>
          </xdr:nvSpPr>
          <xdr:spPr>
            <a:xfrm>
              <a:off x="723900" y="92021025"/>
              <a:ext cx="2828925" cy="180975"/>
            </a:xfrm>
            <a:prstGeom prst="rect"/>
            <a:ln>
              <a:noFill/>
            </a:ln>
          </xdr:spPr>
          <xdr:txBody>
            <a:bodyPr lIns="91440" tIns="45720" rIns="91440" bIns="45720"/>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583</xdr:row>
          <xdr:rowOff>177800</xdr:rowOff>
        </xdr:from>
        <xdr:to>
          <xdr:col>4</xdr:col>
          <xdr:colOff>635000</xdr:colOff>
          <xdr:row>585</xdr:row>
          <xdr:rowOff>0</xdr:rowOff>
        </xdr:to>
        <xdr:sp>
          <xdr:nvSpPr>
            <xdr:cNvPr id="2068" name="Drop Down 168" hidden="1">
              <a:extLst>
                <a:ext uri="{63B3BB69-23CF-44E3-9099-C40C66FF867C}">
                  <a14:compatExt spid="_x0000_s2068"/>
                </a:ext>
                <a:ext uri="{FF2B5EF4-FFF2-40B4-BE49-F238E27FC236}">
                  <a16:creationId xmlns:a16="http://schemas.microsoft.com/office/drawing/2014/main" id="{3d210185-7aa8-47e0-9c2f-424d27ae5f77}"/>
                </a:ext>
              </a:extLst>
            </xdr:cNvPr>
            <xdr:cNvSpPr>
              <a:spLocks noRot="1" noTextEdit="1"/>
            </xdr:cNvSpPr>
          </xdr:nvSpPr>
          <xdr:spPr>
            <a:xfrm>
              <a:off x="723900" y="93468825"/>
              <a:ext cx="2828925" cy="180975"/>
            </a:xfrm>
            <a:prstGeom prst="rect"/>
            <a:ln>
              <a:noFill/>
            </a:ln>
          </xdr:spPr>
          <xdr:txBody>
            <a:bodyPr lIns="91440" tIns="45720" rIns="91440" bIns="45720"/>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587</xdr:row>
          <xdr:rowOff>0</xdr:rowOff>
        </xdr:from>
        <xdr:to>
          <xdr:col>4</xdr:col>
          <xdr:colOff>647700</xdr:colOff>
          <xdr:row>606</xdr:row>
          <xdr:rowOff>25400</xdr:rowOff>
        </xdr:to>
        <xdr:sp>
          <xdr:nvSpPr>
            <xdr:cNvPr id="2069" name="Drop Down 169" hidden="1">
              <a:extLst>
                <a:ext uri="{63B3BB69-23CF-44E3-9099-C40C66FF867C}">
                  <a14:compatExt spid="_x0000_s2069"/>
                </a:ext>
                <a:ext uri="{FF2B5EF4-FFF2-40B4-BE49-F238E27FC236}">
                  <a16:creationId xmlns:a16="http://schemas.microsoft.com/office/drawing/2014/main" id="{06abf129-7b26-4b28-8913-d7f82739c916}"/>
                </a:ext>
              </a:extLst>
            </xdr:cNvPr>
            <xdr:cNvSpPr>
              <a:spLocks noRot="1" noTextEdit="1"/>
            </xdr:cNvSpPr>
          </xdr:nvSpPr>
          <xdr:spPr>
            <a:xfrm>
              <a:off x="723900" y="93830775"/>
              <a:ext cx="2838450" cy="209550"/>
            </a:xfrm>
            <a:prstGeom prst="rect"/>
            <a:ln>
              <a:noFill/>
            </a:ln>
          </xdr:spPr>
          <xdr:txBody>
            <a:bodyPr lIns="91440" tIns="45720" rIns="91440" bIns="45720"/>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31750</xdr:colOff>
          <xdr:row>576</xdr:row>
          <xdr:rowOff>0</xdr:rowOff>
        </xdr:from>
        <xdr:to>
          <xdr:col>4</xdr:col>
          <xdr:colOff>635000</xdr:colOff>
          <xdr:row>579</xdr:row>
          <xdr:rowOff>0</xdr:rowOff>
        </xdr:to>
        <xdr:sp>
          <xdr:nvSpPr>
            <xdr:cNvPr id="2070" name="Drop Down 174" hidden="1">
              <a:extLst>
                <a:ext uri="{63B3BB69-23CF-44E3-9099-C40C66FF867C}">
                  <a14:compatExt spid="_x0000_s2070"/>
                </a:ext>
                <a:ext uri="{FF2B5EF4-FFF2-40B4-BE49-F238E27FC236}">
                  <a16:creationId xmlns:a16="http://schemas.microsoft.com/office/drawing/2014/main" id="{36916a3d-7356-4647-abec-5c1c9c42a453}"/>
                </a:ext>
              </a:extLst>
            </xdr:cNvPr>
            <xdr:cNvSpPr>
              <a:spLocks noRot="1" noTextEdit="1"/>
            </xdr:cNvSpPr>
          </xdr:nvSpPr>
          <xdr:spPr>
            <a:xfrm>
              <a:off x="723900" y="92382975"/>
              <a:ext cx="2819400" cy="180975"/>
            </a:xfrm>
            <a:prstGeom prst="rect"/>
            <a:ln>
              <a:noFill/>
            </a:ln>
          </xdr:spPr>
          <xdr:txBody>
            <a:bodyPr lIns="91440" tIns="45720" rIns="91440" bIns="45720"/>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635000</xdr:colOff>
          <xdr:row>621</xdr:row>
          <xdr:rowOff>25400</xdr:rowOff>
        </xdr:from>
        <xdr:to>
          <xdr:col>12</xdr:col>
          <xdr:colOff>25400</xdr:colOff>
          <xdr:row>622</xdr:row>
          <xdr:rowOff>25400</xdr:rowOff>
        </xdr:to>
        <xdr:sp>
          <xdr:nvSpPr>
            <xdr:cNvPr id="2071" name="Drop Down 177" hidden="1">
              <a:extLst>
                <a:ext uri="{63B3BB69-23CF-44E3-9099-C40C66FF867C}">
                  <a14:compatExt spid="_x0000_s2071"/>
                </a:ext>
                <a:ext uri="{FF2B5EF4-FFF2-40B4-BE49-F238E27FC236}">
                  <a16:creationId xmlns:a16="http://schemas.microsoft.com/office/drawing/2014/main" id="{e66e810f-4e86-4c38-ba50-9276cab7de62}"/>
                </a:ext>
              </a:extLst>
            </xdr:cNvPr>
            <xdr:cNvSpPr>
              <a:spLocks noRot="1" noTextEdit="1"/>
            </xdr:cNvSpPr>
          </xdr:nvSpPr>
          <xdr:spPr>
            <a:xfrm>
              <a:off x="6124575" y="96754950"/>
              <a:ext cx="2190750" cy="180975"/>
            </a:xfrm>
            <a:prstGeom prst="rect"/>
            <a:ln>
              <a:noFill/>
            </a:ln>
          </xdr:spPr>
          <xdr:txBody>
            <a:bodyPr lIns="91440" tIns="45720" rIns="91440" bIns="45720"/>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6350</xdr:colOff>
          <xdr:row>649</xdr:row>
          <xdr:rowOff>12700</xdr:rowOff>
        </xdr:from>
        <xdr:to>
          <xdr:col>12</xdr:col>
          <xdr:colOff>6350</xdr:colOff>
          <xdr:row>649</xdr:row>
          <xdr:rowOff>177800</xdr:rowOff>
        </xdr:to>
        <xdr:sp>
          <xdr:nvSpPr>
            <xdr:cNvPr id="2072" name="Drop Down 181" hidden="1">
              <a:extLst>
                <a:ext uri="{63B3BB69-23CF-44E3-9099-C40C66FF867C}">
                  <a14:compatExt spid="_x0000_s2072"/>
                </a:ext>
                <a:ext uri="{FF2B5EF4-FFF2-40B4-BE49-F238E27FC236}">
                  <a16:creationId xmlns:a16="http://schemas.microsoft.com/office/drawing/2014/main" id="{42d16084-d799-42b4-8de8-f7e290b3ec47}"/>
                </a:ext>
              </a:extLst>
            </xdr:cNvPr>
            <xdr:cNvSpPr>
              <a:spLocks noRot="1" noTextEdit="1"/>
            </xdr:cNvSpPr>
          </xdr:nvSpPr>
          <xdr:spPr>
            <a:xfrm>
              <a:off x="6134100" y="101803200"/>
              <a:ext cx="2162175" cy="161925"/>
            </a:xfrm>
            <a:prstGeom prst="rect"/>
            <a:ln>
              <a:noFill/>
            </a:ln>
          </xdr:spPr>
          <xdr:txBody>
            <a:bodyPr lIns="91440" tIns="45720" rIns="91440" bIns="45720"/>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6350</xdr:colOff>
          <xdr:row>647</xdr:row>
          <xdr:rowOff>0</xdr:rowOff>
        </xdr:from>
        <xdr:to>
          <xdr:col>12</xdr:col>
          <xdr:colOff>25400</xdr:colOff>
          <xdr:row>648</xdr:row>
          <xdr:rowOff>25400</xdr:rowOff>
        </xdr:to>
        <xdr:sp>
          <xdr:nvSpPr>
            <xdr:cNvPr id="2073" name="Drop Down 182" hidden="1">
              <a:extLst>
                <a:ext uri="{63B3BB69-23CF-44E3-9099-C40C66FF867C}">
                  <a14:compatExt spid="_x0000_s2073"/>
                </a:ext>
                <a:ext uri="{FF2B5EF4-FFF2-40B4-BE49-F238E27FC236}">
                  <a16:creationId xmlns:a16="http://schemas.microsoft.com/office/drawing/2014/main" id="{a84a6b8b-6097-45b4-a6d1-7f7a5d28e6c2}"/>
                </a:ext>
              </a:extLst>
            </xdr:cNvPr>
            <xdr:cNvSpPr>
              <a:spLocks noRot="1" noTextEdit="1"/>
            </xdr:cNvSpPr>
          </xdr:nvSpPr>
          <xdr:spPr>
            <a:xfrm>
              <a:off x="6134100" y="101431725"/>
              <a:ext cx="2181225" cy="209550"/>
            </a:xfrm>
            <a:prstGeom prst="rect"/>
            <a:ln>
              <a:noFill/>
            </a:ln>
          </xdr:spPr>
          <xdr:txBody>
            <a:bodyPr lIns="91440" tIns="45720" rIns="91440" bIns="45720"/>
            <a:p/>
          </xdr:txBody>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_rels/sheet2.xml.rels><?xml version="1.0" encoding="UTF-8" standalone="yes"?><Relationships xmlns="http://schemas.openxmlformats.org/package/2006/relationships"><Relationship Id="rId20" Type="http://schemas.openxmlformats.org/officeDocument/2006/relationships/ctrlProp" Target="../ctrProps/ctrProp19.xml" /><Relationship Id="rId22" Type="http://schemas.openxmlformats.org/officeDocument/2006/relationships/ctrlProp" Target="../ctrProps/ctrProp21.xml" /><Relationship Id="rId21" Type="http://schemas.openxmlformats.org/officeDocument/2006/relationships/ctrlProp" Target="../ctrProps/ctrProp20.xml" /><Relationship Id="rId24" Type="http://schemas.openxmlformats.org/officeDocument/2006/relationships/ctrlProp" Target="../ctrProps/ctrProp23.xml" /><Relationship Id="rId23" Type="http://schemas.openxmlformats.org/officeDocument/2006/relationships/ctrlProp" Target="../ctrProps/ctrProp22.xml" /><Relationship Id="rId1" Type="http://schemas.openxmlformats.org/officeDocument/2006/relationships/comments" Target="../comments2.xml" /><Relationship Id="rId2" Type="http://schemas.openxmlformats.org/officeDocument/2006/relationships/ctrlProp" Target="../ctrProps/ctrProp1.xml" /><Relationship Id="rId3" Type="http://schemas.openxmlformats.org/officeDocument/2006/relationships/ctrlProp" Target="../ctrProps/ctrProp2.xml" /><Relationship Id="rId4" Type="http://schemas.openxmlformats.org/officeDocument/2006/relationships/ctrlProp" Target="../ctrProps/ctrProp3.xml" /><Relationship Id="rId9" Type="http://schemas.openxmlformats.org/officeDocument/2006/relationships/ctrlProp" Target="../ctrProps/ctrProp8.xml" /><Relationship Id="rId26" Type="http://schemas.openxmlformats.org/officeDocument/2006/relationships/drawing" Target="../drawings/drawing1.xml" /><Relationship Id="rId25" Type="http://schemas.openxmlformats.org/officeDocument/2006/relationships/ctrlProp" Target="../ctrProps/ctrProp24.xml" /><Relationship Id="rId28" Type="http://schemas.openxmlformats.org/officeDocument/2006/relationships/printerSettings" Target="../printerSettings/printerSettings2.bin" /><Relationship Id="rId27" Type="http://schemas.openxmlformats.org/officeDocument/2006/relationships/vmlDrawing" Target="../drawings/vmlDrawing1.vml" /><Relationship Id="rId5" Type="http://schemas.openxmlformats.org/officeDocument/2006/relationships/ctrlProp" Target="../ctrProps/ctrProp4.xml" /><Relationship Id="rId6" Type="http://schemas.openxmlformats.org/officeDocument/2006/relationships/ctrlProp" Target="../ctrProps/ctrProp5.xml" /><Relationship Id="rId7" Type="http://schemas.openxmlformats.org/officeDocument/2006/relationships/ctrlProp" Target="../ctrProps/ctrProp6.xml" /><Relationship Id="rId8" Type="http://schemas.openxmlformats.org/officeDocument/2006/relationships/ctrlProp" Target="../ctrProps/ctrProp7.xml" /><Relationship Id="rId11" Type="http://schemas.openxmlformats.org/officeDocument/2006/relationships/ctrlProp" Target="../ctrProps/ctrProp10.xml" /><Relationship Id="rId10" Type="http://schemas.openxmlformats.org/officeDocument/2006/relationships/ctrlProp" Target="../ctrProps/ctrProp9.xml" /><Relationship Id="rId13" Type="http://schemas.openxmlformats.org/officeDocument/2006/relationships/ctrlProp" Target="../ctrProps/ctrProp12.xml" /><Relationship Id="rId12" Type="http://schemas.openxmlformats.org/officeDocument/2006/relationships/ctrlProp" Target="../ctrProps/ctrProp11.xml" /><Relationship Id="rId15" Type="http://schemas.openxmlformats.org/officeDocument/2006/relationships/ctrlProp" Target="../ctrProps/ctrProp14.xml" /><Relationship Id="rId14" Type="http://schemas.openxmlformats.org/officeDocument/2006/relationships/ctrlProp" Target="../ctrProps/ctrProp13.xml" /><Relationship Id="rId17" Type="http://schemas.openxmlformats.org/officeDocument/2006/relationships/ctrlProp" Target="../ctrProps/ctrProp16.xml" /><Relationship Id="rId16" Type="http://schemas.openxmlformats.org/officeDocument/2006/relationships/ctrlProp" Target="../ctrProps/ctrProp15.xml" /><Relationship Id="rId19" Type="http://schemas.openxmlformats.org/officeDocument/2006/relationships/ctrlProp" Target="../ctrProps/ctrProp18.xml" /><Relationship Id="rId18" Type="http://schemas.openxmlformats.org/officeDocument/2006/relationships/ctrlProp" Target="../ctrProps/ctrProp1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8214634-85af-4669-af26-047f517b2290}">
  <sheetPr codeName="Sheet1">
    <tabColor theme="6" tint="0.5999900102615356"/>
  </sheetPr>
  <dimension ref="A1:R61"/>
  <sheetViews>
    <sheetView windowProtection="1" showGridLines="0" tabSelected="1" workbookViewId="0" topLeftCell="B1">
      <selection pane="topLeft" activeCell="B1" sqref="B1:C1"/>
    </sheetView>
  </sheetViews>
  <sheetFormatPr defaultColWidth="0" defaultRowHeight="14.4" customHeight="1" zeroHeight="1"/>
  <cols>
    <col min="1" max="1" width="14.714285714285714" style="18" hidden="1" customWidth="1"/>
    <col min="2" max="2" width="9.142857142857142" style="19" customWidth="1"/>
    <col min="3" max="3" width="202.71428571428572" style="20" customWidth="1"/>
    <col min="4" max="16384" width="9.142857142857142" style="19" hidden="1"/>
  </cols>
  <sheetData>
    <row r="1" spans="1:18" ht="18">
      <c r="A1" s="2" t="s">
        <v>0</v>
      </c>
      <c r="B1" s="3" t="s">
        <v>1</v>
      </c>
      <c r="C1" s="4"/>
      <c r="D1" s="5"/>
      <c r="E1" s="5"/>
      <c r="F1" s="5"/>
      <c r="G1" s="5"/>
      <c r="H1" s="5"/>
      <c r="I1" s="5"/>
      <c r="J1" s="5"/>
      <c r="K1" s="5"/>
      <c r="L1" s="5"/>
      <c r="M1" s="5"/>
      <c r="N1" s="5"/>
      <c r="O1" s="5"/>
      <c r="P1" s="5"/>
      <c r="Q1" s="5"/>
      <c r="R1" s="5"/>
    </row>
    <row r="2" spans="1:3" ht="31.2">
      <c r="A2" s="2" t="s">
        <v>0</v>
      </c>
      <c r="B2" s="6">
        <v>1</v>
      </c>
      <c r="C2" s="7" t="s">
        <v>2</v>
      </c>
    </row>
    <row r="3" spans="1:3" ht="15.6">
      <c r="A3" s="2" t="s">
        <v>0</v>
      </c>
      <c r="B3" s="6">
        <v>2</v>
      </c>
      <c r="C3" s="7" t="s">
        <v>3</v>
      </c>
    </row>
    <row r="4" spans="1:3" ht="31.2">
      <c r="A4" s="2" t="s">
        <v>0</v>
      </c>
      <c r="B4" s="6">
        <v>3</v>
      </c>
      <c r="C4" s="7" t="s">
        <v>4</v>
      </c>
    </row>
    <row r="5" spans="1:3" ht="15.6">
      <c r="A5" s="2" t="s">
        <v>0</v>
      </c>
      <c r="B5" s="8">
        <v>4</v>
      </c>
      <c r="C5" s="7" t="s">
        <v>5</v>
      </c>
    </row>
    <row r="6" spans="1:3" ht="15.6">
      <c r="A6" s="2" t="s">
        <v>0</v>
      </c>
      <c r="B6" s="9"/>
      <c r="C6" s="7" t="s">
        <v>6</v>
      </c>
    </row>
    <row r="7" spans="1:3" ht="15.6">
      <c r="A7" s="2" t="s">
        <v>0</v>
      </c>
      <c r="B7" s="9"/>
      <c r="C7" s="7" t="s">
        <v>7</v>
      </c>
    </row>
    <row r="8" spans="1:3" ht="15.6">
      <c r="A8" s="2" t="s">
        <v>0</v>
      </c>
      <c r="B8" s="10"/>
      <c r="C8" s="7" t="s">
        <v>8</v>
      </c>
    </row>
    <row r="9" spans="1:3" ht="15.6">
      <c r="A9" s="2" t="s">
        <v>0</v>
      </c>
      <c r="B9" s="6">
        <v>5</v>
      </c>
      <c r="C9" s="11" t="s">
        <v>9</v>
      </c>
    </row>
    <row r="10" spans="1:3" ht="15.6">
      <c r="A10" s="2" t="s">
        <v>0</v>
      </c>
      <c r="B10" s="6">
        <v>6</v>
      </c>
      <c r="C10" s="7" t="s">
        <v>10</v>
      </c>
    </row>
    <row r="11" spans="1:3" ht="15.6">
      <c r="A11" s="2" t="s">
        <v>0</v>
      </c>
      <c r="B11" s="6">
        <v>7</v>
      </c>
      <c r="C11" s="7" t="s">
        <v>11</v>
      </c>
    </row>
    <row r="12" spans="1:3" ht="15.6">
      <c r="A12" s="2" t="s">
        <v>0</v>
      </c>
      <c r="B12" s="6">
        <v>8</v>
      </c>
      <c r="C12" s="7" t="s">
        <v>12</v>
      </c>
    </row>
    <row r="13" spans="1:3" ht="15.6">
      <c r="A13" s="2" t="s">
        <v>0</v>
      </c>
      <c r="B13" s="8">
        <v>9</v>
      </c>
      <c r="C13" s="7" t="s">
        <v>13</v>
      </c>
    </row>
    <row r="14" spans="1:3" ht="15.6">
      <c r="A14" s="2" t="s">
        <v>0</v>
      </c>
      <c r="B14" s="9"/>
      <c r="C14" s="7" t="s">
        <v>14</v>
      </c>
    </row>
    <row r="15" spans="1:3" ht="15.6">
      <c r="A15" s="2" t="s">
        <v>0</v>
      </c>
      <c r="B15" s="9"/>
      <c r="C15" s="7" t="s">
        <v>15</v>
      </c>
    </row>
    <row r="16" spans="1:3" ht="31.8" customHeight="1">
      <c r="A16" s="2" t="s">
        <v>0</v>
      </c>
      <c r="B16" s="10"/>
      <c r="C16" s="7" t="s">
        <v>16</v>
      </c>
    </row>
    <row r="17" spans="1:3" ht="15.6">
      <c r="A17" s="2" t="s">
        <v>0</v>
      </c>
      <c r="B17" s="8">
        <v>10</v>
      </c>
      <c r="C17" s="7" t="s">
        <v>17</v>
      </c>
    </row>
    <row r="18" spans="1:3" ht="78">
      <c r="A18" s="2" t="s">
        <v>0</v>
      </c>
      <c r="B18" s="9"/>
      <c r="C18" s="7" t="s">
        <v>18</v>
      </c>
    </row>
    <row r="19" spans="1:3" ht="31.2">
      <c r="A19" s="2" t="s">
        <v>0</v>
      </c>
      <c r="B19" s="10"/>
      <c r="C19" s="7" t="s">
        <v>19</v>
      </c>
    </row>
    <row r="20" spans="1:3" ht="16.8" customHeight="1">
      <c r="A20" s="2" t="s">
        <v>0</v>
      </c>
      <c r="B20" s="8">
        <v>11</v>
      </c>
      <c r="C20" s="7" t="s">
        <v>20</v>
      </c>
    </row>
    <row r="21" spans="1:3" ht="15.6">
      <c r="A21" s="2" t="s">
        <v>0</v>
      </c>
      <c r="B21" s="9"/>
      <c r="C21" s="7" t="s">
        <v>21</v>
      </c>
    </row>
    <row r="22" spans="1:3" ht="15.6">
      <c r="A22" s="2" t="s">
        <v>0</v>
      </c>
      <c r="B22" s="9"/>
      <c r="C22" s="7" t="s">
        <v>22</v>
      </c>
    </row>
    <row r="23" spans="1:3" ht="15.6">
      <c r="A23" s="2" t="s">
        <v>0</v>
      </c>
      <c r="B23" s="10"/>
      <c r="C23" s="7" t="s">
        <v>23</v>
      </c>
    </row>
    <row r="24" spans="1:3" ht="15.6">
      <c r="A24" s="2"/>
      <c r="B24" s="10">
        <v>12</v>
      </c>
      <c r="C24" s="7" t="s">
        <v>24</v>
      </c>
    </row>
    <row r="25" spans="1:3" ht="15.6">
      <c r="A25" s="2"/>
      <c r="B25" s="12" t="s">
        <v>25</v>
      </c>
      <c r="C25" s="13"/>
    </row>
    <row r="26" spans="1:3" ht="31.2">
      <c r="A26" s="2" t="s">
        <v>26</v>
      </c>
      <c r="B26" s="14">
        <v>1</v>
      </c>
      <c r="C26" s="15" t="s">
        <v>27</v>
      </c>
    </row>
    <row r="27" spans="1:3" ht="31.2">
      <c r="A27" s="2" t="s">
        <v>26</v>
      </c>
      <c r="B27" s="14" t="s">
        <v>28</v>
      </c>
      <c r="C27" s="15" t="s">
        <v>29</v>
      </c>
    </row>
    <row r="28" spans="1:3" s="792" customFormat="1" ht="15.6" hidden="1">
      <c r="A28" s="789" t="s">
        <v>30</v>
      </c>
      <c r="B28" s="790">
        <v>1</v>
      </c>
      <c r="C28" s="791" t="s">
        <v>31</v>
      </c>
    </row>
    <row r="29" spans="1:3" s="792" customFormat="1" ht="31.2" hidden="1">
      <c r="A29" s="789" t="s">
        <v>30</v>
      </c>
      <c r="B29" s="790">
        <v>2</v>
      </c>
      <c r="C29" s="791" t="s">
        <v>32</v>
      </c>
    </row>
    <row r="30" spans="1:3" s="792" customFormat="1" ht="31.2" hidden="1">
      <c r="A30" s="789" t="s">
        <v>30</v>
      </c>
      <c r="B30" s="790">
        <v>3</v>
      </c>
      <c r="C30" s="791" t="s">
        <v>33</v>
      </c>
    </row>
    <row r="31" spans="1:3" s="792" customFormat="1" ht="31.2" hidden="1">
      <c r="A31" s="789" t="s">
        <v>30</v>
      </c>
      <c r="B31" s="790">
        <v>4</v>
      </c>
      <c r="C31" s="791" t="s">
        <v>34</v>
      </c>
    </row>
    <row r="32" spans="1:3" s="792" customFormat="1" ht="31.2" hidden="1">
      <c r="A32" s="789" t="s">
        <v>30</v>
      </c>
      <c r="B32" s="790">
        <v>5</v>
      </c>
      <c r="C32" s="791" t="s">
        <v>35</v>
      </c>
    </row>
    <row r="33" spans="1:3" s="792" customFormat="1" ht="31.2" hidden="1">
      <c r="A33" s="789" t="s">
        <v>30</v>
      </c>
      <c r="B33" s="790" t="s">
        <v>36</v>
      </c>
      <c r="C33" s="791" t="s">
        <v>29</v>
      </c>
    </row>
    <row r="34" spans="1:3" s="792" customFormat="1" ht="46.8" hidden="1">
      <c r="A34" s="789" t="s">
        <v>37</v>
      </c>
      <c r="B34" s="790">
        <v>1</v>
      </c>
      <c r="C34" s="791" t="s">
        <v>38</v>
      </c>
    </row>
    <row r="35" spans="1:3" s="792" customFormat="1" ht="46.8" hidden="1">
      <c r="A35" s="789" t="s">
        <v>37</v>
      </c>
      <c r="B35" s="790">
        <v>2</v>
      </c>
      <c r="C35" s="791" t="s">
        <v>39</v>
      </c>
    </row>
    <row r="36" spans="1:3" s="792" customFormat="1" ht="31.2" hidden="1">
      <c r="A36" s="789" t="s">
        <v>37</v>
      </c>
      <c r="B36" s="790" t="s">
        <v>40</v>
      </c>
      <c r="C36" s="791" t="s">
        <v>29</v>
      </c>
    </row>
    <row r="37" spans="1:3" s="792" customFormat="1" ht="31.2" hidden="1">
      <c r="A37" s="789" t="s">
        <v>41</v>
      </c>
      <c r="B37" s="790">
        <v>1</v>
      </c>
      <c r="C37" s="791" t="s">
        <v>42</v>
      </c>
    </row>
    <row r="38" spans="1:3" s="792" customFormat="1" ht="31.2" hidden="1">
      <c r="A38" s="789" t="s">
        <v>41</v>
      </c>
      <c r="B38" s="790" t="s">
        <v>28</v>
      </c>
      <c r="C38" s="791" t="s">
        <v>29</v>
      </c>
    </row>
    <row r="39" spans="1:3" s="792" customFormat="1" ht="31.2" hidden="1">
      <c r="A39" s="789" t="s">
        <v>43</v>
      </c>
      <c r="B39" s="790" t="s">
        <v>44</v>
      </c>
      <c r="C39" s="791" t="s">
        <v>29</v>
      </c>
    </row>
    <row r="40" spans="1:3" s="792" customFormat="1" ht="31.2" hidden="1">
      <c r="A40" s="789" t="s">
        <v>45</v>
      </c>
      <c r="B40" s="790" t="s">
        <v>44</v>
      </c>
      <c r="C40" s="791" t="s">
        <v>29</v>
      </c>
    </row>
    <row r="41" spans="1:3" s="792" customFormat="1" ht="31.2" hidden="1">
      <c r="A41" s="789" t="s">
        <v>46</v>
      </c>
      <c r="B41" s="790" t="s">
        <v>44</v>
      </c>
      <c r="C41" s="791" t="s">
        <v>47</v>
      </c>
    </row>
    <row r="42" spans="1:3" s="792" customFormat="1" ht="31.2" hidden="1">
      <c r="A42" s="789" t="s">
        <v>48</v>
      </c>
      <c r="B42" s="790" t="s">
        <v>44</v>
      </c>
      <c r="C42" s="791" t="s">
        <v>47</v>
      </c>
    </row>
    <row r="43" spans="1:3" s="792" customFormat="1" ht="15.6" hidden="1">
      <c r="A43" s="789" t="s">
        <v>49</v>
      </c>
      <c r="B43" s="790" t="s">
        <v>44</v>
      </c>
      <c r="C43" s="791" t="s">
        <v>50</v>
      </c>
    </row>
    <row r="44" spans="1:3" s="792" customFormat="1" ht="31.2" hidden="1">
      <c r="A44" s="789" t="s">
        <v>51</v>
      </c>
      <c r="B44" s="790" t="s">
        <v>44</v>
      </c>
      <c r="C44" s="791" t="s">
        <v>52</v>
      </c>
    </row>
    <row r="45" spans="1:3" s="792" customFormat="1" ht="31.2" hidden="1">
      <c r="A45" s="789" t="s">
        <v>51</v>
      </c>
      <c r="B45" s="790" t="s">
        <v>28</v>
      </c>
      <c r="C45" s="791" t="s">
        <v>53</v>
      </c>
    </row>
    <row r="46" spans="1:3" s="792" customFormat="1" ht="15.6" hidden="1">
      <c r="A46" s="789" t="s">
        <v>51</v>
      </c>
      <c r="B46" s="790" t="s">
        <v>40</v>
      </c>
      <c r="C46" s="791" t="s">
        <v>54</v>
      </c>
    </row>
    <row r="47" spans="1:3" s="792" customFormat="1" ht="31.2" hidden="1">
      <c r="A47" s="789" t="s">
        <v>51</v>
      </c>
      <c r="B47" s="790" t="s">
        <v>55</v>
      </c>
      <c r="C47" s="791" t="s">
        <v>29</v>
      </c>
    </row>
    <row r="48" spans="1:3" s="792" customFormat="1" ht="31.2" hidden="1">
      <c r="A48" s="789" t="s">
        <v>56</v>
      </c>
      <c r="B48" s="790" t="s">
        <v>44</v>
      </c>
      <c r="C48" s="791" t="s">
        <v>57</v>
      </c>
    </row>
    <row r="49" spans="1:3" s="792" customFormat="1" ht="15.6" hidden="1">
      <c r="A49" s="789" t="s">
        <v>56</v>
      </c>
      <c r="B49" s="790" t="s">
        <v>28</v>
      </c>
      <c r="C49" s="791" t="s">
        <v>58</v>
      </c>
    </row>
    <row r="50" spans="1:3" s="792" customFormat="1" ht="15.6" hidden="1">
      <c r="A50" s="789" t="s">
        <v>56</v>
      </c>
      <c r="B50" s="790" t="s">
        <v>40</v>
      </c>
      <c r="C50" s="791" t="s">
        <v>59</v>
      </c>
    </row>
    <row r="51" spans="1:3" s="792" customFormat="1" ht="31.2" hidden="1">
      <c r="A51" s="789" t="s">
        <v>56</v>
      </c>
      <c r="B51" s="790" t="s">
        <v>55</v>
      </c>
      <c r="C51" s="791" t="s">
        <v>29</v>
      </c>
    </row>
    <row r="52" spans="1:3" s="792" customFormat="1" ht="31.2" hidden="1">
      <c r="A52" s="789" t="s">
        <v>60</v>
      </c>
      <c r="B52" s="790">
        <v>1</v>
      </c>
      <c r="C52" s="791" t="s">
        <v>61</v>
      </c>
    </row>
    <row r="53" spans="1:3" s="792" customFormat="1" ht="31.2" hidden="1">
      <c r="A53" s="789" t="s">
        <v>60</v>
      </c>
      <c r="B53" s="790">
        <v>2</v>
      </c>
      <c r="C53" s="791" t="s">
        <v>62</v>
      </c>
    </row>
    <row r="54" spans="1:3" s="792" customFormat="1" ht="46.8" hidden="1">
      <c r="A54" s="789" t="s">
        <v>60</v>
      </c>
      <c r="B54" s="790">
        <v>3</v>
      </c>
      <c r="C54" s="791" t="s">
        <v>63</v>
      </c>
    </row>
    <row r="55" spans="1:3" s="792" customFormat="1" ht="31.2" hidden="1">
      <c r="A55" s="789" t="s">
        <v>60</v>
      </c>
      <c r="B55" s="790">
        <v>4</v>
      </c>
      <c r="C55" s="791" t="s">
        <v>64</v>
      </c>
    </row>
    <row r="56" spans="1:3" s="792" customFormat="1" ht="31.2" hidden="1">
      <c r="A56" s="789" t="s">
        <v>60</v>
      </c>
      <c r="B56" s="790">
        <v>5</v>
      </c>
      <c r="C56" s="791" t="s">
        <v>65</v>
      </c>
    </row>
    <row r="57" spans="1:3" s="792" customFormat="1" ht="31.2" hidden="1">
      <c r="A57" s="789" t="s">
        <v>60</v>
      </c>
      <c r="B57" s="790">
        <v>6</v>
      </c>
      <c r="C57" s="791" t="s">
        <v>66</v>
      </c>
    </row>
    <row r="58" spans="1:3" s="792" customFormat="1" ht="46.8" hidden="1">
      <c r="A58" s="789" t="s">
        <v>60</v>
      </c>
      <c r="B58" s="790">
        <v>7</v>
      </c>
      <c r="C58" s="791" t="s">
        <v>67</v>
      </c>
    </row>
    <row r="59" spans="1:3" s="792" customFormat="1" ht="46.8" hidden="1">
      <c r="A59" s="789" t="s">
        <v>60</v>
      </c>
      <c r="B59" s="790">
        <v>8</v>
      </c>
      <c r="C59" s="791" t="s">
        <v>68</v>
      </c>
    </row>
    <row r="60" spans="1:3" s="792" customFormat="1" ht="15.6" hidden="1">
      <c r="A60" s="789" t="s">
        <v>60</v>
      </c>
      <c r="B60" s="793" t="s">
        <v>69</v>
      </c>
      <c r="C60" s="791" t="s">
        <v>70</v>
      </c>
    </row>
    <row r="61" spans="1:3" ht="15.6">
      <c r="A61" s="17" t="s">
        <v>0</v>
      </c>
      <c r="B61" s="12" t="s">
        <v>71</v>
      </c>
      <c r="C61" s="13"/>
    </row>
  </sheetData>
  <sheetProtection password="9EB9" sheet="1" objects="1" scenarios="1" selectLockedCells="1"/>
  <mergeCells count="7">
    <mergeCell ref="B1:C1"/>
    <mergeCell ref="B61:C61"/>
    <mergeCell ref="B5:B8"/>
    <mergeCell ref="B13:B16"/>
    <mergeCell ref="B17:B19"/>
    <mergeCell ref="B20:B23"/>
    <mergeCell ref="B25:C25"/>
  </mergeCells>
  <pageMargins left="0.7" right="0.7" top="0.75" bottom="0.75" header="0.3" footer="0.3"/>
  <pageSetup fitToHeight="0" fitToWidth="0" orientation="portrait" paperSize="9"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a6110d6-c762-46aa-a958-8d14e4742045}">
  <sheetPr codeName="Sheet3"/>
  <dimension ref="A1:CE721"/>
  <sheetViews>
    <sheetView windowProtection="1" showGridLines="0" workbookViewId="0" topLeftCell="A1"/>
  </sheetViews>
  <sheetFormatPr defaultColWidth="9.364285714285714" defaultRowHeight="14.5" customHeight="1"/>
  <cols>
    <col min="1" max="1" width="10.428571428571429" style="21" customWidth="1"/>
    <col min="2" max="2" width="9.428571428571429" style="21" customWidth="1"/>
    <col min="3" max="3" width="14.428571428571429" style="21" customWidth="1"/>
    <col min="4" max="4" width="9.428571428571429" style="21" customWidth="1"/>
    <col min="5" max="5" width="10.428571428571429" style="21" customWidth="1"/>
    <col min="6" max="9" width="9.428571428571429" style="21" customWidth="1"/>
    <col min="10" max="10" width="13.571428571428571" style="21" customWidth="1"/>
    <col min="11" max="15" width="9.428571428571429" style="21" customWidth="1"/>
    <col min="16" max="28" width="9.428571428571429" style="21" hidden="1" customWidth="1"/>
    <col min="29" max="29" width="49.42857142857143" style="21" hidden="1" customWidth="1"/>
    <col min="30" max="31" width="9.428571428571429" style="21" hidden="1" customWidth="1"/>
    <col min="32" max="32" width="13.571428571428571" style="21" hidden="1" customWidth="1"/>
    <col min="33" max="33" width="71.57142857142857" style="21" hidden="1" customWidth="1"/>
    <col min="34" max="34" width="10.571428571428571" style="21" hidden="1" customWidth="1"/>
    <col min="35" max="35" width="29.428571428571427" style="21" hidden="1" customWidth="1"/>
    <col min="36" max="36" width="63.57142857142857" style="21" hidden="1" customWidth="1"/>
    <col min="37" max="43" width="9.428571428571429" style="21" hidden="1" customWidth="1"/>
    <col min="44" max="44" width="29.428571428571427" style="21" hidden="1" customWidth="1"/>
    <col min="45" max="45" width="42" style="21" hidden="1" customWidth="1"/>
    <col min="46" max="46" width="33.42857142857143" style="21" hidden="1" customWidth="1"/>
    <col min="47" max="47" width="25.428571428571427" style="21" hidden="1" customWidth="1"/>
    <col min="48" max="49" width="13.428571428571429" style="21" hidden="1" customWidth="1"/>
    <col min="50" max="50" width="11.428571428571429" style="21" hidden="1" customWidth="1"/>
    <col min="51" max="53" width="9.428571428571429" style="21" hidden="1" customWidth="1"/>
    <col min="54" max="54" width="113.57142857142857" style="21" hidden="1" customWidth="1"/>
    <col min="55" max="56" width="9.428571428571429" style="21" hidden="1" customWidth="1"/>
    <col min="57" max="57" width="47" style="21" hidden="1" customWidth="1"/>
    <col min="58" max="58" width="39.42857142857143" style="21" hidden="1" customWidth="1"/>
    <col min="59" max="59" width="9.428571428571429" style="21" hidden="1" customWidth="1"/>
    <col min="60" max="60" width="15.428571428571429" style="21" hidden="1" customWidth="1"/>
    <col min="61" max="61" width="9.571428571428571" style="21" hidden="1" customWidth="1"/>
    <col min="62" max="62" width="9.428571428571429" style="21" hidden="1" customWidth="1"/>
    <col min="63" max="63" width="17.428571428571427" style="21" hidden="1" customWidth="1"/>
    <col min="64" max="64" width="16" style="21" hidden="1" customWidth="1"/>
    <col min="65" max="65" width="11.428571428571429" style="21" hidden="1" customWidth="1"/>
    <col min="66" max="68" width="9.428571428571429" style="21" hidden="1" customWidth="1"/>
    <col min="69" max="69" width="35.42857142857143" style="21" hidden="1" customWidth="1"/>
    <col min="70" max="75" width="9.428571428571429" style="21" hidden="1" customWidth="1"/>
    <col min="76" max="76" width="20.571428571428573" style="21" hidden="1" customWidth="1"/>
    <col min="77" max="77" width="49.57142857142857" style="21" hidden="1" customWidth="1"/>
    <col min="78" max="79" width="9.428571428571429" style="21" hidden="1" customWidth="1"/>
    <col min="80" max="80" width="12.428571428571429" style="21" hidden="1" customWidth="1"/>
    <col min="81" max="81" width="38" style="21" hidden="1" customWidth="1"/>
    <col min="82" max="86" width="9.428571428571429" style="21" hidden="1" customWidth="1"/>
    <col min="87" max="16384" width="9.428571428571429" style="21" customWidth="1"/>
  </cols>
  <sheetData>
    <row r="1" spans="1:83" ht="15.5">
      <c r="A1" s="21"/>
      <c r="W1" s="22"/>
      <c r="AA1" s="23" t="s">
        <v>72</v>
      </c>
      <c r="AB1" s="23" t="s">
        <v>73</v>
      </c>
      <c r="AC1" s="23" t="s">
        <v>74</v>
      </c>
      <c r="AD1" s="24" t="s">
        <v>75</v>
      </c>
      <c r="AE1" s="24"/>
      <c r="AF1" s="24" t="s">
        <v>76</v>
      </c>
      <c r="AG1" s="24" t="s">
        <v>77</v>
      </c>
      <c r="AI1" s="23" t="s">
        <v>78</v>
      </c>
      <c r="AJ1" s="23" t="s">
        <v>79</v>
      </c>
      <c r="AK1" s="23" t="s">
        <v>80</v>
      </c>
      <c r="AL1" s="23" t="s">
        <v>81</v>
      </c>
      <c r="AM1" s="23" t="s">
        <v>82</v>
      </c>
      <c r="AN1" s="23" t="s">
        <v>83</v>
      </c>
      <c r="AO1" s="23" t="s">
        <v>84</v>
      </c>
      <c r="AP1" s="23" t="s">
        <v>85</v>
      </c>
      <c r="AR1" s="23" t="s">
        <v>78</v>
      </c>
      <c r="AS1" s="23" t="s">
        <v>86</v>
      </c>
      <c r="AT1" s="23" t="s">
        <v>79</v>
      </c>
      <c r="AU1" s="23" t="s">
        <v>87</v>
      </c>
      <c r="AV1" s="23" t="s">
        <v>88</v>
      </c>
      <c r="AW1" s="23" t="s">
        <v>89</v>
      </c>
      <c r="AX1" s="23" t="s">
        <v>90</v>
      </c>
      <c r="AY1" s="23" t="s">
        <v>91</v>
      </c>
      <c r="AZ1" s="23" t="s">
        <v>92</v>
      </c>
      <c r="BB1" s="23" t="s">
        <v>93</v>
      </c>
      <c r="BC1" s="23" t="s">
        <v>94</v>
      </c>
      <c r="BD1" s="23" t="s">
        <v>89</v>
      </c>
      <c r="BE1" s="24" t="s">
        <v>95</v>
      </c>
      <c r="BF1" s="24" t="s">
        <v>96</v>
      </c>
      <c r="BG1" s="23" t="s">
        <v>91</v>
      </c>
      <c r="BH1" s="23" t="s">
        <v>92</v>
      </c>
      <c r="BI1" s="23" t="s">
        <v>97</v>
      </c>
      <c r="BJ1" s="23" t="s">
        <v>98</v>
      </c>
      <c r="BK1" s="23" t="s">
        <v>99</v>
      </c>
      <c r="BL1" s="23" t="s">
        <v>100</v>
      </c>
      <c r="BM1" s="23" t="s">
        <v>90</v>
      </c>
      <c r="BO1" s="23" t="s">
        <v>93</v>
      </c>
      <c r="BP1" s="23" t="s">
        <v>94</v>
      </c>
      <c r="BQ1" s="24" t="s">
        <v>96</v>
      </c>
      <c r="BS1" s="23" t="s">
        <v>101</v>
      </c>
      <c r="BT1" s="23" t="s">
        <v>102</v>
      </c>
      <c r="BU1" s="23" t="s">
        <v>103</v>
      </c>
      <c r="BV1" s="23" t="s">
        <v>104</v>
      </c>
      <c r="BW1" s="23" t="s">
        <v>105</v>
      </c>
      <c r="BX1" s="23" t="s">
        <v>106</v>
      </c>
      <c r="BY1" s="23" t="s">
        <v>107</v>
      </c>
      <c r="BZ1" s="23" t="s">
        <v>108</v>
      </c>
      <c r="CA1" s="23"/>
      <c r="CB1" s="25" t="s">
        <v>109</v>
      </c>
      <c r="CC1" s="25" t="s">
        <v>110</v>
      </c>
      <c r="CD1" s="25" t="s">
        <v>111</v>
      </c>
      <c r="CE1" s="23"/>
    </row>
    <row r="2" spans="1:83" ht="18" customHeight="1">
      <c r="A2" s="21"/>
      <c r="B2" s="26" t="s">
        <v>112</v>
      </c>
      <c r="C2" s="26"/>
      <c r="D2" s="27"/>
      <c r="E2" s="27"/>
      <c r="F2" s="28"/>
      <c r="M2" s="29"/>
      <c r="W2" s="22"/>
      <c r="AA2" s="22"/>
      <c r="AB2" s="22"/>
      <c r="AC2" s="22"/>
      <c r="AD2" s="22">
        <f>ROW()</f>
        <v>2</v>
      </c>
      <c r="AE2" s="22"/>
      <c r="AF2" s="21" t="s">
        <v>113</v>
      </c>
      <c r="AG2" s="22" t="s">
        <v>114</v>
      </c>
      <c r="AI2" s="22" t="s">
        <v>115</v>
      </c>
      <c r="AJ2" s="22" t="s">
        <v>116</v>
      </c>
      <c r="AK2" s="21" t="b">
        <v>0</v>
      </c>
      <c r="AL2" s="22">
        <f>AD65</f>
        <v>65</v>
      </c>
      <c r="AM2" s="21" t="s">
        <v>117</v>
      </c>
      <c r="AN2" s="21">
        <f>AD67</f>
        <v>67</v>
      </c>
      <c r="AO2" s="21" t="s">
        <v>118</v>
      </c>
      <c r="AP2" s="21">
        <f>AD67</f>
        <v>67</v>
      </c>
      <c r="AR2" s="21" t="s">
        <v>115</v>
      </c>
      <c r="AS2" s="21" t="s">
        <v>119</v>
      </c>
      <c r="AT2" s="21" t="s">
        <v>120</v>
      </c>
      <c r="AU2" s="21">
        <v>0</v>
      </c>
      <c r="AV2" s="21" t="s">
        <v>121</v>
      </c>
      <c r="AW2" s="21" t="b">
        <v>0</v>
      </c>
      <c r="AY2" s="21" t="b">
        <v>0</v>
      </c>
      <c r="AZ2" s="21" t="b">
        <v>0</v>
      </c>
      <c r="BB2" s="30" t="s">
        <v>122</v>
      </c>
      <c r="BC2" s="21" t="s">
        <v>123</v>
      </c>
      <c r="BD2" s="21" t="b">
        <v>0</v>
      </c>
      <c r="BE2" s="21" t="s">
        <v>124</v>
      </c>
      <c r="BF2" s="21" t="s">
        <v>124</v>
      </c>
      <c r="BG2" s="21" t="b">
        <v>0</v>
      </c>
      <c r="BH2" s="21" t="b">
        <v>0</v>
      </c>
      <c r="BK2" s="21" t="s">
        <v>125</v>
      </c>
      <c r="BL2" s="21" t="s">
        <v>125</v>
      </c>
      <c r="BO2" s="21" t="s">
        <v>126</v>
      </c>
      <c r="BP2" s="21" t="s">
        <v>127</v>
      </c>
      <c r="BQ2" s="21">
        <v>2</v>
      </c>
      <c r="BS2" s="21" t="s">
        <v>128</v>
      </c>
      <c r="BT2" s="21" t="s">
        <v>129</v>
      </c>
      <c r="BU2" s="21" t="s">
        <v>129</v>
      </c>
      <c r="BV2" s="21" t="s">
        <v>130</v>
      </c>
      <c r="BW2" s="21" t="s">
        <v>131</v>
      </c>
      <c r="BX2" s="21" t="s">
        <v>132</v>
      </c>
      <c r="BY2" s="21" t="s">
        <v>133</v>
      </c>
      <c r="BZ2" s="21" t="s">
        <v>134</v>
      </c>
      <c r="CB2" s="21" t="s">
        <v>135</v>
      </c>
      <c r="CC2" s="21" t="s">
        <v>136</v>
      </c>
      <c r="CD2" s="31" t="s">
        <v>137</v>
      </c>
      <c r="CE2" s="23"/>
    </row>
    <row r="3" spans="1:82" ht="18.5">
      <c r="A3" s="21"/>
      <c r="C3" s="27"/>
      <c r="D3" s="27"/>
      <c r="E3" s="27"/>
      <c r="F3" s="28"/>
      <c r="W3" s="22"/>
      <c r="AB3" s="22"/>
      <c r="AD3" s="22">
        <f>ROW()</f>
        <v>3</v>
      </c>
      <c r="AE3" s="22"/>
      <c r="AF3" s="30" t="s">
        <v>138</v>
      </c>
      <c r="AG3" s="30" t="s">
        <v>139</v>
      </c>
      <c r="AH3" s="22"/>
      <c r="AI3" s="22" t="s">
        <v>140</v>
      </c>
      <c r="AJ3" s="22" t="s">
        <v>141</v>
      </c>
      <c r="AK3" s="21" t="b">
        <v>0</v>
      </c>
      <c r="AL3" s="21">
        <f>AD74</f>
        <v>74</v>
      </c>
      <c r="AM3" s="21" t="s">
        <v>117</v>
      </c>
      <c r="AN3" s="21">
        <f>AD76</f>
        <v>76</v>
      </c>
      <c r="AO3" s="21" t="s">
        <v>118</v>
      </c>
      <c r="AP3" s="21">
        <f>AD76</f>
        <v>76</v>
      </c>
      <c r="AR3" s="21" t="s">
        <v>115</v>
      </c>
      <c r="AS3" s="21" t="s">
        <v>142</v>
      </c>
      <c r="AT3" s="21" t="s">
        <v>120</v>
      </c>
      <c r="AU3" s="21">
        <v>0</v>
      </c>
      <c r="AV3" s="21" t="s">
        <v>143</v>
      </c>
      <c r="AW3" s="21" t="b">
        <v>0</v>
      </c>
      <c r="AY3" s="21" t="b">
        <v>0</v>
      </c>
      <c r="AZ3" s="21" t="b">
        <v>0</v>
      </c>
      <c r="BB3" s="30" t="s">
        <v>144</v>
      </c>
      <c r="BC3" s="21" t="s">
        <v>123</v>
      </c>
      <c r="BD3" s="21" t="b">
        <v>0</v>
      </c>
      <c r="BE3" s="21" t="s">
        <v>145</v>
      </c>
      <c r="BF3" s="21" t="s">
        <v>145</v>
      </c>
      <c r="BG3" s="21" t="b">
        <v>0</v>
      </c>
      <c r="BH3" s="21" t="b">
        <v>0</v>
      </c>
      <c r="BK3" s="21" t="s">
        <v>125</v>
      </c>
      <c r="BL3" s="21" t="s">
        <v>125</v>
      </c>
      <c r="BO3" s="21" t="s">
        <v>146</v>
      </c>
      <c r="BP3" s="21" t="s">
        <v>127</v>
      </c>
      <c r="BQ3" s="21">
        <v>1301300</v>
      </c>
      <c r="BS3" s="21" t="s">
        <v>147</v>
      </c>
      <c r="BT3" s="21" t="s">
        <v>148</v>
      </c>
      <c r="BU3" s="21" t="s">
        <v>148</v>
      </c>
      <c r="BV3" s="21" t="s">
        <v>149</v>
      </c>
      <c r="BW3" s="21" t="s">
        <v>150</v>
      </c>
      <c r="BX3" s="21" t="s">
        <v>151</v>
      </c>
      <c r="BY3" s="21" t="s">
        <v>152</v>
      </c>
      <c r="BZ3" s="21" t="s">
        <v>153</v>
      </c>
      <c r="CB3" s="21" t="s">
        <v>154</v>
      </c>
      <c r="CC3" s="21" t="s">
        <v>155</v>
      </c>
      <c r="CD3" s="21" t="s">
        <v>156</v>
      </c>
    </row>
    <row r="4" spans="1:2 23:81" ht="14.5">
      <c r="A4" s="21"/>
      <c r="B4" s="25" t="s">
        <v>157</v>
      </c>
      <c r="W4" s="22"/>
      <c r="AA4" s="22"/>
      <c r="AB4" s="22"/>
      <c r="AC4" s="22"/>
      <c r="AD4" s="22">
        <f>ROW()</f>
        <v>4</v>
      </c>
      <c r="AE4" s="22"/>
      <c r="AF4" s="32" t="s">
        <v>158</v>
      </c>
      <c r="AG4" s="32" t="s">
        <v>159</v>
      </c>
      <c r="AH4" s="22"/>
      <c r="AI4" s="22" t="s">
        <v>160</v>
      </c>
      <c r="AJ4" s="22" t="s">
        <v>161</v>
      </c>
      <c r="AK4" s="21" t="b">
        <v>1</v>
      </c>
      <c r="AL4" s="21">
        <f>AD115</f>
        <v>115</v>
      </c>
      <c r="AM4" s="21" t="s">
        <v>117</v>
      </c>
      <c r="AN4" s="21">
        <f>AD149</f>
        <v>149</v>
      </c>
      <c r="AO4" s="21" t="s">
        <v>118</v>
      </c>
      <c r="AP4" s="21">
        <f>AD150</f>
        <v>150</v>
      </c>
      <c r="AR4" s="21" t="s">
        <v>115</v>
      </c>
      <c r="AS4" s="21" t="s">
        <v>162</v>
      </c>
      <c r="AT4" s="21" t="s">
        <v>120</v>
      </c>
      <c r="AU4" s="21">
        <v>0</v>
      </c>
      <c r="AV4" s="21" t="s">
        <v>163</v>
      </c>
      <c r="AW4" s="21" t="b">
        <v>0</v>
      </c>
      <c r="AY4" s="21" t="b">
        <v>0</v>
      </c>
      <c r="AZ4" s="21" t="b">
        <v>0</v>
      </c>
      <c r="BB4" s="30" t="s">
        <v>164</v>
      </c>
      <c r="BC4" s="21" t="s">
        <v>123</v>
      </c>
      <c r="BD4" s="21" t="b">
        <v>0</v>
      </c>
      <c r="BE4" s="21" t="s">
        <v>165</v>
      </c>
      <c r="BF4" s="21" t="s">
        <v>165</v>
      </c>
      <c r="BG4" s="21" t="b">
        <v>0</v>
      </c>
      <c r="BH4" s="21" t="b">
        <v>0</v>
      </c>
      <c r="BK4" s="21" t="s">
        <v>125</v>
      </c>
      <c r="BL4" s="21" t="s">
        <v>125</v>
      </c>
      <c r="BO4" s="21" t="s">
        <v>166</v>
      </c>
      <c r="BP4" s="21" t="s">
        <v>127</v>
      </c>
      <c r="BQ4" s="21" t="s">
        <v>44</v>
      </c>
      <c r="BU4" s="21" t="s">
        <v>168</v>
      </c>
      <c r="BV4" s="21" t="s">
        <v>169</v>
      </c>
      <c r="BX4" s="21" t="s">
        <v>170</v>
      </c>
      <c r="BY4" s="21" t="s">
        <v>171</v>
      </c>
      <c r="CB4" s="21" t="s">
        <v>172</v>
      </c>
      <c r="CC4" s="21" t="s">
        <v>173</v>
      </c>
    </row>
    <row r="5" spans="1:80" ht="14.75" customHeight="1">
      <c r="A5" s="21"/>
      <c r="B5" s="29" t="s">
        <v>174</v>
      </c>
      <c r="D5" s="33"/>
      <c r="E5" s="33"/>
      <c r="F5" s="33"/>
      <c r="G5" s="33"/>
      <c r="H5" s="33"/>
      <c r="I5" s="33"/>
      <c r="J5" s="33"/>
      <c r="K5" s="33"/>
      <c r="L5" s="33"/>
      <c r="M5" s="33"/>
      <c r="W5" s="22"/>
      <c r="AA5" s="22"/>
      <c r="AB5" s="22"/>
      <c r="AC5" s="22"/>
      <c r="AD5" s="22">
        <f>ROW()</f>
        <v>5</v>
      </c>
      <c r="AE5" s="22"/>
      <c r="AF5" s="32" t="s">
        <v>175</v>
      </c>
      <c r="AG5" s="32" t="s">
        <v>176</v>
      </c>
      <c r="AH5" s="22"/>
      <c r="AI5" s="22" t="s">
        <v>177</v>
      </c>
      <c r="AJ5" s="22" t="s">
        <v>178</v>
      </c>
      <c r="AK5" s="22" t="b">
        <v>0</v>
      </c>
      <c r="AL5" s="21">
        <f>AD543</f>
        <v>543</v>
      </c>
      <c r="AM5" s="21" t="s">
        <v>117</v>
      </c>
      <c r="AN5" s="21">
        <f>AD558</f>
        <v>558</v>
      </c>
      <c r="AO5" s="21" t="s">
        <v>179</v>
      </c>
      <c r="AP5" s="21">
        <f>AD558</f>
        <v>558</v>
      </c>
      <c r="AR5" s="21" t="s">
        <v>115</v>
      </c>
      <c r="AS5" s="21" t="s">
        <v>180</v>
      </c>
      <c r="AT5" s="21" t="s">
        <v>120</v>
      </c>
      <c r="AU5" s="21">
        <v>0</v>
      </c>
      <c r="AV5" s="21" t="s">
        <v>181</v>
      </c>
      <c r="AW5" s="21" t="b">
        <v>0</v>
      </c>
      <c r="AY5" s="21" t="b">
        <v>0</v>
      </c>
      <c r="AZ5" s="21" t="b">
        <v>0</v>
      </c>
      <c r="BB5" s="30" t="s">
        <v>182</v>
      </c>
      <c r="BC5" s="21" t="s">
        <v>123</v>
      </c>
      <c r="BD5" s="21" t="b">
        <v>0</v>
      </c>
      <c r="BE5" s="21" t="s">
        <v>167</v>
      </c>
      <c r="BF5" s="21" t="str">
        <f>""&amp;BE5</f>
        <v>1-26784797330</v>
      </c>
      <c r="BG5" s="21" t="b">
        <v>0</v>
      </c>
      <c r="BH5" s="21" t="b">
        <v>0</v>
      </c>
      <c r="BK5" s="21" t="s">
        <v>125</v>
      </c>
      <c r="BL5" s="21" t="s">
        <v>125</v>
      </c>
      <c r="BO5" s="21" t="s">
        <v>184</v>
      </c>
      <c r="BP5" s="21" t="s">
        <v>127</v>
      </c>
      <c r="BQ5" s="21" t="s">
        <v>167</v>
      </c>
      <c r="BY5" s="21" t="s">
        <v>185</v>
      </c>
      <c r="CB5" s="21" t="s">
        <v>186</v>
      </c>
    </row>
    <row r="6" spans="1:4 23:80" ht="14.5" hidden="1">
      <c r="A6" s="21"/>
      <c r="B6" s="29"/>
      <c r="C6" s="29"/>
      <c r="D6" s="29"/>
      <c r="W6" s="22"/>
      <c r="X6" s="22"/>
      <c r="Y6" s="22"/>
      <c r="AA6" s="22"/>
      <c r="AB6" s="22"/>
      <c r="AC6" s="22"/>
      <c r="AD6" s="22">
        <f>ROW()</f>
        <v>6</v>
      </c>
      <c r="AE6" s="22"/>
      <c r="AF6" s="32" t="s">
        <v>187</v>
      </c>
      <c r="AG6" s="32" t="s">
        <v>188</v>
      </c>
      <c r="AH6" s="22"/>
      <c r="AI6" s="22" t="s">
        <v>189</v>
      </c>
      <c r="AJ6" s="22" t="s">
        <v>190</v>
      </c>
      <c r="AK6" s="22" t="b">
        <v>0</v>
      </c>
      <c r="AL6" s="22">
        <f>AD571</f>
        <v>571</v>
      </c>
      <c r="AM6" s="22" t="s">
        <v>117</v>
      </c>
      <c r="AN6" s="22">
        <f>AD572</f>
        <v>572</v>
      </c>
      <c r="AO6" s="22" t="s">
        <v>179</v>
      </c>
      <c r="AP6" s="22">
        <f>AD572</f>
        <v>572</v>
      </c>
      <c r="AR6" s="21" t="s">
        <v>115</v>
      </c>
      <c r="AS6" s="21" t="s">
        <v>191</v>
      </c>
      <c r="AT6" s="21" t="s">
        <v>120</v>
      </c>
      <c r="AU6" s="21">
        <v>0</v>
      </c>
      <c r="AV6" s="21" t="s">
        <v>118</v>
      </c>
      <c r="AW6" s="21" t="b">
        <v>0</v>
      </c>
      <c r="AY6" s="21" t="b">
        <v>0</v>
      </c>
      <c r="AZ6" s="21" t="b">
        <v>0</v>
      </c>
      <c r="BB6" s="30" t="s">
        <v>192</v>
      </c>
      <c r="BC6" s="21" t="s">
        <v>123</v>
      </c>
      <c r="BD6" s="21" t="b">
        <v>0</v>
      </c>
      <c r="BE6" s="21" t="s">
        <v>193</v>
      </c>
      <c r="BF6" s="21" t="s">
        <v>193</v>
      </c>
      <c r="BG6" s="21" t="b">
        <v>0</v>
      </c>
      <c r="BH6" s="21" t="b">
        <v>0</v>
      </c>
      <c r="BK6" s="21" t="s">
        <v>125</v>
      </c>
      <c r="BL6" s="21" t="s">
        <v>125</v>
      </c>
      <c r="BO6" s="21" t="s">
        <v>194</v>
      </c>
      <c r="BP6" s="21" t="s">
        <v>127</v>
      </c>
      <c r="BQ6" s="21">
        <v>15</v>
      </c>
      <c r="BY6" s="21" t="s">
        <v>195</v>
      </c>
      <c r="CB6" s="21" t="s">
        <v>196</v>
      </c>
    </row>
    <row r="7" spans="1:1 23:80" ht="14.5">
      <c r="A7" s="21"/>
      <c r="W7" s="22"/>
      <c r="X7" s="22"/>
      <c r="Y7" s="22"/>
      <c r="AA7" s="22"/>
      <c r="AB7" s="22"/>
      <c r="AC7" s="22"/>
      <c r="AD7" s="22">
        <f>ROW()</f>
        <v>7</v>
      </c>
      <c r="AE7" s="22"/>
      <c r="AF7" s="32" t="s">
        <v>197</v>
      </c>
      <c r="AG7" s="32" t="s">
        <v>198</v>
      </c>
      <c r="AH7" s="22"/>
      <c r="AI7" s="22" t="s">
        <v>199</v>
      </c>
      <c r="AJ7" s="22" t="s">
        <v>200</v>
      </c>
      <c r="AK7" s="22" t="b">
        <v>0</v>
      </c>
      <c r="AL7" s="22">
        <f>AD594</f>
        <v>594</v>
      </c>
      <c r="AM7" s="22" t="s">
        <v>117</v>
      </c>
      <c r="AN7" s="22">
        <f>AD595</f>
        <v>595</v>
      </c>
      <c r="AO7" s="22" t="s">
        <v>179</v>
      </c>
      <c r="AP7" s="22">
        <f>AD595</f>
        <v>595</v>
      </c>
      <c r="AR7" s="21" t="s">
        <v>140</v>
      </c>
      <c r="AS7" s="21" t="s">
        <v>119</v>
      </c>
      <c r="AT7" s="21" t="s">
        <v>201</v>
      </c>
      <c r="AU7" s="21">
        <v>0</v>
      </c>
      <c r="AV7" s="21" t="s">
        <v>121</v>
      </c>
      <c r="AW7" s="21" t="b">
        <v>0</v>
      </c>
      <c r="AY7" s="21" t="b">
        <v>0</v>
      </c>
      <c r="AZ7" s="21" t="b">
        <v>0</v>
      </c>
      <c r="BB7" s="30" t="s">
        <v>164</v>
      </c>
      <c r="BC7" s="21" t="s">
        <v>123</v>
      </c>
      <c r="BD7" s="21" t="b">
        <v>0</v>
      </c>
      <c r="BE7" s="21" t="s">
        <v>165</v>
      </c>
      <c r="BF7" s="21" t="s">
        <v>165</v>
      </c>
      <c r="BG7" s="21" t="b">
        <v>0</v>
      </c>
      <c r="BH7" s="21" t="b">
        <v>0</v>
      </c>
      <c r="BK7" s="21" t="s">
        <v>125</v>
      </c>
      <c r="BL7" s="21" t="s">
        <v>125</v>
      </c>
      <c r="BO7" s="21" t="s">
        <v>202</v>
      </c>
      <c r="BP7" s="21" t="s">
        <v>127</v>
      </c>
      <c r="BQ7" s="21">
        <v>71</v>
      </c>
      <c r="CB7" s="21" t="s">
        <v>203</v>
      </c>
    </row>
    <row r="8" spans="1:69" ht="14.5">
      <c r="A8" s="21"/>
      <c r="B8" s="34" t="s">
        <v>204</v>
      </c>
      <c r="W8" s="22"/>
      <c r="X8" s="22"/>
      <c r="Y8" s="22"/>
      <c r="AA8" s="22"/>
      <c r="AB8" s="22"/>
      <c r="AC8" s="22"/>
      <c r="AD8" s="22">
        <f>ROW()</f>
        <v>8</v>
      </c>
      <c r="AE8" s="22"/>
      <c r="AF8" s="32" t="s">
        <v>205</v>
      </c>
      <c r="AG8" s="32" t="s">
        <v>206</v>
      </c>
      <c r="AH8" s="22"/>
      <c r="AI8" s="22"/>
      <c r="AJ8" s="22"/>
      <c r="AK8" s="22"/>
      <c r="AL8" s="22"/>
      <c r="AM8" s="22"/>
      <c r="AN8" s="22"/>
      <c r="AO8" s="22"/>
      <c r="AP8" s="22"/>
      <c r="AR8" s="21" t="s">
        <v>140</v>
      </c>
      <c r="AS8" s="21" t="s">
        <v>142</v>
      </c>
      <c r="AT8" s="21" t="s">
        <v>201</v>
      </c>
      <c r="AU8" s="21">
        <v>0</v>
      </c>
      <c r="AV8" s="21" t="s">
        <v>143</v>
      </c>
      <c r="AW8" s="21" t="b">
        <v>0</v>
      </c>
      <c r="AY8" s="21" t="b">
        <v>0</v>
      </c>
      <c r="AZ8" s="21" t="b">
        <v>0</v>
      </c>
      <c r="BB8" s="30" t="s">
        <v>207</v>
      </c>
      <c r="BC8" s="21" t="s">
        <v>123</v>
      </c>
      <c r="BD8" s="21" t="b">
        <v>0</v>
      </c>
      <c r="BE8" s="21" t="s">
        <v>124</v>
      </c>
      <c r="BF8" s="21" t="s">
        <v>124</v>
      </c>
      <c r="BG8" s="21" t="b">
        <v>0</v>
      </c>
      <c r="BH8" s="21" t="b">
        <v>0</v>
      </c>
      <c r="BK8" s="21" t="s">
        <v>125</v>
      </c>
      <c r="BL8" s="21" t="s">
        <v>125</v>
      </c>
      <c r="BO8" s="21" t="s">
        <v>208</v>
      </c>
      <c r="BP8" s="35" t="s">
        <v>127</v>
      </c>
      <c r="BQ8" s="21" t="s">
        <v>209</v>
      </c>
    </row>
    <row r="9" spans="1:64" ht="14.75" customHeight="1" hidden="1">
      <c r="A9" s="21"/>
      <c r="B9" s="36" t="s">
        <v>210</v>
      </c>
      <c r="C9" s="36"/>
      <c r="D9" s="36"/>
      <c r="E9" s="36"/>
      <c r="F9" s="36"/>
      <c r="G9" s="36"/>
      <c r="H9" s="36"/>
      <c r="I9" s="36"/>
      <c r="J9" s="36"/>
      <c r="K9" s="36"/>
      <c r="L9" s="36"/>
      <c r="M9" s="36"/>
      <c r="N9" s="36"/>
      <c r="O9" s="36"/>
      <c r="P9" s="36"/>
      <c r="Q9" s="36"/>
      <c r="R9" s="36"/>
      <c r="W9" s="22"/>
      <c r="X9" s="22"/>
      <c r="Y9" s="22"/>
      <c r="AA9" s="36"/>
      <c r="AB9" s="36"/>
      <c r="AC9" s="22"/>
      <c r="AD9" s="22">
        <f>ROW()</f>
        <v>9</v>
      </c>
      <c r="AE9" s="22"/>
      <c r="AF9" s="32" t="s">
        <v>211</v>
      </c>
      <c r="AG9" s="32" t="s">
        <v>212</v>
      </c>
      <c r="AH9" s="22"/>
      <c r="AI9" s="22"/>
      <c r="AJ9" s="22"/>
      <c r="AK9" s="22"/>
      <c r="AL9" s="22"/>
      <c r="AM9" s="22"/>
      <c r="AN9" s="22"/>
      <c r="AO9" s="22"/>
      <c r="AP9" s="22"/>
      <c r="AR9" s="21" t="s">
        <v>140</v>
      </c>
      <c r="AS9" s="21" t="s">
        <v>162</v>
      </c>
      <c r="AT9" s="21" t="s">
        <v>201</v>
      </c>
      <c r="AU9" s="21">
        <v>0</v>
      </c>
      <c r="AV9" s="21" t="s">
        <v>163</v>
      </c>
      <c r="AW9" s="21" t="b">
        <v>0</v>
      </c>
      <c r="AY9" s="21" t="b">
        <v>0</v>
      </c>
      <c r="AZ9" s="21" t="b">
        <v>0</v>
      </c>
      <c r="BB9" s="30" t="s">
        <v>213</v>
      </c>
      <c r="BC9" s="21" t="s">
        <v>127</v>
      </c>
      <c r="BD9" s="21" t="b">
        <v>0</v>
      </c>
      <c r="BE9" s="21" t="str">
        <f>B18</f>
        <v>U92410KL2020PTC065216</v>
      </c>
      <c r="BF9" s="21" t="str">
        <f>""&amp;B18</f>
        <v>U92410KL2020PTC065216</v>
      </c>
      <c r="BG9" s="21" t="b">
        <v>0</v>
      </c>
      <c r="BH9" s="21" t="b">
        <v>0</v>
      </c>
      <c r="BK9" s="21" t="str">
        <f ca="1">_xlfn.FORMULATEXT(BE9)</f>
        <v>=B18</v>
      </c>
      <c r="BL9" s="21" t="str">
        <f ca="1">_xlfn.FORMULATEXT(BE9)</f>
        <v>=B18</v>
      </c>
    </row>
    <row r="10" spans="1:64" ht="14.5">
      <c r="A10" s="21"/>
      <c r="B10" s="36"/>
      <c r="C10" s="36"/>
      <c r="D10" s="36"/>
      <c r="E10" s="36"/>
      <c r="F10" s="36"/>
      <c r="G10" s="36"/>
      <c r="H10" s="36"/>
      <c r="I10" s="36"/>
      <c r="J10" s="36"/>
      <c r="K10" s="36"/>
      <c r="L10" s="36"/>
      <c r="M10" s="36"/>
      <c r="N10" s="36"/>
      <c r="O10" s="36"/>
      <c r="P10" s="36"/>
      <c r="Q10" s="36"/>
      <c r="R10" s="36"/>
      <c r="W10" s="22"/>
      <c r="X10" s="22"/>
      <c r="Y10" s="22"/>
      <c r="AA10" s="36"/>
      <c r="AB10" s="36"/>
      <c r="AC10" s="22"/>
      <c r="AD10" s="22">
        <f>ROW()</f>
        <v>10</v>
      </c>
      <c r="AE10" s="22"/>
      <c r="AF10" s="21" t="s">
        <v>214</v>
      </c>
      <c r="AG10" s="22" t="s">
        <v>215</v>
      </c>
      <c r="AH10" s="22"/>
      <c r="AI10" s="22"/>
      <c r="AJ10" s="22"/>
      <c r="AK10" s="22"/>
      <c r="AL10" s="22"/>
      <c r="AM10" s="22"/>
      <c r="AN10" s="22"/>
      <c r="AO10" s="22"/>
      <c r="AP10" s="22"/>
      <c r="AR10" s="21" t="s">
        <v>140</v>
      </c>
      <c r="AS10" s="21" t="s">
        <v>180</v>
      </c>
      <c r="AT10" s="21" t="s">
        <v>201</v>
      </c>
      <c r="AU10" s="21">
        <v>0</v>
      </c>
      <c r="AV10" s="21" t="s">
        <v>181</v>
      </c>
      <c r="AW10" s="21" t="b">
        <v>0</v>
      </c>
      <c r="AY10" s="21" t="b">
        <v>0</v>
      </c>
      <c r="AZ10" s="21" t="b">
        <v>0</v>
      </c>
      <c r="BB10" s="30" t="s">
        <v>216</v>
      </c>
      <c r="BC10" s="21" t="s">
        <v>123</v>
      </c>
      <c r="BD10" s="21" t="b">
        <v>0</v>
      </c>
      <c r="BE10" s="21" t="str">
        <f>""</f>
        <v/>
      </c>
      <c r="BF10" s="21" t="str">
        <f>""&amp;""</f>
        <v/>
      </c>
      <c r="BG10" s="21" t="b">
        <v>0</v>
      </c>
      <c r="BH10" s="21" t="b">
        <v>0</v>
      </c>
      <c r="BK10" s="21" t="s">
        <v>125</v>
      </c>
      <c r="BL10" s="21" t="s">
        <v>125</v>
      </c>
    </row>
    <row r="11" spans="1:64" ht="14.5">
      <c r="A11" s="21"/>
      <c r="B11" s="36"/>
      <c r="C11" s="36"/>
      <c r="D11" s="36"/>
      <c r="E11" s="36"/>
      <c r="F11" s="36"/>
      <c r="G11" s="36"/>
      <c r="H11" s="36"/>
      <c r="I11" s="36"/>
      <c r="J11" s="36"/>
      <c r="K11" s="36"/>
      <c r="L11" s="36"/>
      <c r="M11" s="36"/>
      <c r="N11" s="36"/>
      <c r="O11" s="36"/>
      <c r="P11" s="36"/>
      <c r="Q11" s="36"/>
      <c r="R11" s="36"/>
      <c r="W11" s="22"/>
      <c r="X11" s="22"/>
      <c r="Y11" s="22"/>
      <c r="AA11" s="36"/>
      <c r="AB11" s="36"/>
      <c r="AC11" s="22"/>
      <c r="AD11" s="22">
        <f>ROW()</f>
        <v>11</v>
      </c>
      <c r="AE11" s="22"/>
      <c r="AF11" s="21" t="s">
        <v>217</v>
      </c>
      <c r="AG11" s="22" t="s">
        <v>218</v>
      </c>
      <c r="AH11" s="22"/>
      <c r="AI11" s="22"/>
      <c r="AJ11" s="22"/>
      <c r="AK11" s="22"/>
      <c r="AL11" s="22"/>
      <c r="AM11" s="22"/>
      <c r="AN11" s="22"/>
      <c r="AO11" s="22"/>
      <c r="AP11" s="22"/>
      <c r="AR11" s="21" t="s">
        <v>140</v>
      </c>
      <c r="AS11" s="21" t="s">
        <v>191</v>
      </c>
      <c r="AT11" s="21" t="s">
        <v>201</v>
      </c>
      <c r="AU11" s="21">
        <v>0</v>
      </c>
      <c r="AV11" s="21" t="s">
        <v>118</v>
      </c>
      <c r="AW11" s="21" t="b">
        <v>0</v>
      </c>
      <c r="AY11" s="21" t="b">
        <v>0</v>
      </c>
      <c r="AZ11" s="21" t="b">
        <v>0</v>
      </c>
      <c r="BB11" s="30" t="s">
        <v>219</v>
      </c>
      <c r="BC11" s="21" t="s">
        <v>127</v>
      </c>
      <c r="BD11" s="21" t="b">
        <v>1</v>
      </c>
      <c r="BE11" s="21" t="str">
        <f>G18</f>
        <v>1000000</v>
      </c>
      <c r="BF11" s="21" t="str">
        <f>""&amp;G18</f>
        <v>1000000</v>
      </c>
      <c r="BG11" s="21" t="b">
        <v>0</v>
      </c>
      <c r="BH11" s="21" t="b">
        <v>0</v>
      </c>
      <c r="BK11" s="21" t="str">
        <f ca="1">_xlfn.FORMULATEXT(BE11)</f>
        <v>=G18</v>
      </c>
      <c r="BL11" s="21" t="str">
        <f ca="1">_xlfn.FORMULATEXT(BE11)</f>
        <v>=G18</v>
      </c>
    </row>
    <row r="12" spans="1:64" ht="15.5">
      <c r="A12" s="21"/>
      <c r="B12" s="37"/>
      <c r="C12" s="37"/>
      <c r="D12" s="37"/>
      <c r="E12" s="37"/>
      <c r="F12" s="37"/>
      <c r="G12" s="37"/>
      <c r="H12" s="37"/>
      <c r="I12" s="37"/>
      <c r="J12" s="37"/>
      <c r="K12" s="37"/>
      <c r="L12" s="37"/>
      <c r="M12" s="37"/>
      <c r="N12" s="37"/>
      <c r="O12" s="37"/>
      <c r="P12" s="37"/>
      <c r="Q12" s="37"/>
      <c r="R12" s="37"/>
      <c r="W12" s="22"/>
      <c r="X12" s="22"/>
      <c r="Y12" s="22"/>
      <c r="AA12" s="37"/>
      <c r="AB12" s="37"/>
      <c r="AC12" s="22"/>
      <c r="AD12" s="22">
        <f>ROW()</f>
        <v>12</v>
      </c>
      <c r="AE12" s="22"/>
      <c r="AF12" s="21" t="s">
        <v>220</v>
      </c>
      <c r="AG12" s="22" t="s">
        <v>221</v>
      </c>
      <c r="AH12" s="22"/>
      <c r="AI12" s="22"/>
      <c r="AJ12" s="22"/>
      <c r="AK12" s="22"/>
      <c r="AL12" s="22"/>
      <c r="AM12" s="22"/>
      <c r="AN12" s="22"/>
      <c r="AO12" s="22"/>
      <c r="AP12" s="22"/>
      <c r="AR12" s="21" t="s">
        <v>160</v>
      </c>
      <c r="AS12" s="21" t="s">
        <v>222</v>
      </c>
      <c r="AT12" s="21" t="s">
        <v>223</v>
      </c>
      <c r="AU12" s="21">
        <v>2</v>
      </c>
      <c r="AV12" s="21" t="s">
        <v>224</v>
      </c>
      <c r="AW12" s="21" t="b">
        <v>0</v>
      </c>
      <c r="AY12" s="21" t="b">
        <v>0</v>
      </c>
      <c r="AZ12" s="21" t="b">
        <v>0</v>
      </c>
      <c r="BB12" s="30" t="s">
        <v>225</v>
      </c>
      <c r="BC12" s="21" t="s">
        <v>127</v>
      </c>
      <c r="BD12" s="21" t="b">
        <v>0</v>
      </c>
      <c r="BE12" s="21">
        <f>L18</f>
        <v>0</v>
      </c>
      <c r="BF12" s="21" t="str">
        <f>""&amp;L18</f>
        <v/>
      </c>
      <c r="BG12" s="21" t="b">
        <v>0</v>
      </c>
      <c r="BH12" s="21" t="b">
        <v>0</v>
      </c>
      <c r="BK12" s="21" t="str">
        <f ca="1">_xlfn.FORMULATEXT(BE12)</f>
        <v>=L18</v>
      </c>
      <c r="BL12" s="21" t="str">
        <f ca="1">_xlfn.FORMULATEXT(BE12)</f>
        <v>=L18</v>
      </c>
    </row>
    <row r="13" spans="1:64" ht="14.5">
      <c r="A13" s="21"/>
      <c r="B13" s="38" t="s">
        <v>226</v>
      </c>
      <c r="W13" s="22"/>
      <c r="X13" s="22"/>
      <c r="Y13" s="22"/>
      <c r="AA13" s="22"/>
      <c r="AB13" s="22"/>
      <c r="AC13" s="22"/>
      <c r="AD13" s="22">
        <f>ROW()</f>
        <v>13</v>
      </c>
      <c r="AE13" s="22"/>
      <c r="AF13" s="39" t="s">
        <v>227</v>
      </c>
      <c r="AG13" s="22" t="s">
        <v>228</v>
      </c>
      <c r="AH13" s="22"/>
      <c r="AI13" s="22"/>
      <c r="AJ13" s="22"/>
      <c r="AK13" s="22"/>
      <c r="AL13" s="22"/>
      <c r="AM13" s="22"/>
      <c r="AN13" s="22"/>
      <c r="AO13" s="22"/>
      <c r="AP13" s="22"/>
      <c r="AR13" s="21" t="s">
        <v>160</v>
      </c>
      <c r="AS13" s="21" t="s">
        <v>229</v>
      </c>
      <c r="AT13" s="21" t="s">
        <v>223</v>
      </c>
      <c r="AU13" s="21">
        <v>4</v>
      </c>
      <c r="AV13" s="21" t="s">
        <v>224</v>
      </c>
      <c r="AW13" s="21" t="b">
        <v>0</v>
      </c>
      <c r="AY13" s="21" t="b">
        <v>0</v>
      </c>
      <c r="AZ13" s="21" t="b">
        <v>0</v>
      </c>
      <c r="BB13" s="30" t="s">
        <v>230</v>
      </c>
      <c r="BC13" s="21" t="s">
        <v>127</v>
      </c>
      <c r="BD13" s="21" t="b">
        <v>0</v>
      </c>
      <c r="BE13" s="21" t="str">
        <f>B22</f>
        <v>M/s VIBESEK VENTURES PRIVATE LIMITED</v>
      </c>
      <c r="BF13" s="21" t="str">
        <f>""&amp;B22</f>
        <v>M/s VIBESEK VENTURES PRIVATE LIMITED</v>
      </c>
      <c r="BG13" s="21" t="b">
        <v>0</v>
      </c>
      <c r="BH13" s="21" t="b">
        <v>0</v>
      </c>
      <c r="BK13" s="21" t="str">
        <f ca="1">_xlfn.FORMULATEXT(BE13)</f>
        <v>=B22</v>
      </c>
      <c r="BL13" s="21" t="str">
        <f ca="1">_xlfn.FORMULATEXT(BE13)</f>
        <v>=B22</v>
      </c>
    </row>
    <row r="14" spans="1:64" ht="14.75" customHeight="1">
      <c r="A14" s="21"/>
      <c r="W14" s="22"/>
      <c r="X14" s="22"/>
      <c r="Y14" s="22"/>
      <c r="AA14" s="22"/>
      <c r="AB14" s="22"/>
      <c r="AC14" s="22"/>
      <c r="AD14" s="22">
        <f>ROW()</f>
        <v>14</v>
      </c>
      <c r="AE14" s="22"/>
      <c r="AF14" s="32" t="s">
        <v>231</v>
      </c>
      <c r="AG14" s="39" t="s">
        <v>232</v>
      </c>
      <c r="AH14" s="22"/>
      <c r="AI14" s="22"/>
      <c r="AJ14" s="22"/>
      <c r="AK14" s="22"/>
      <c r="AL14" s="22"/>
      <c r="AM14" s="22"/>
      <c r="AN14" s="22"/>
      <c r="AO14" s="22"/>
      <c r="AP14" s="22"/>
      <c r="AR14" s="21" t="s">
        <v>160</v>
      </c>
      <c r="AS14" s="21" t="s">
        <v>94</v>
      </c>
      <c r="AT14" s="21" t="s">
        <v>223</v>
      </c>
      <c r="AU14" s="21">
        <v>2</v>
      </c>
      <c r="AV14" s="21" t="s">
        <v>118</v>
      </c>
      <c r="AW14" s="21" t="b">
        <v>0</v>
      </c>
      <c r="AY14" s="21" t="b">
        <v>0</v>
      </c>
      <c r="AZ14" s="21" t="b">
        <v>0</v>
      </c>
      <c r="BB14" s="30" t="s">
        <v>233</v>
      </c>
      <c r="BC14" s="21" t="s">
        <v>127</v>
      </c>
      <c r="BD14" s="21" t="b">
        <v>0</v>
      </c>
      <c r="BE14" s="21" t="str">
        <f>G22</f>
        <v>PP.V/351Q PERSHYAN BUILDINGS   ANAPANTHY KAVALA,VALLITHODE, KANNUR, India, 670706</v>
      </c>
      <c r="BF14" s="21" t="str">
        <f>""&amp;G22</f>
        <v>PP.V/351Q PERSHYAN BUILDINGS   ANAPANTHY KAVALA,VALLITHODE, KANNUR, India, 670706</v>
      </c>
      <c r="BG14" s="21" t="b">
        <v>0</v>
      </c>
      <c r="BH14" s="21" t="b">
        <v>0</v>
      </c>
      <c r="BK14" s="21" t="str">
        <f ca="1">_xlfn.FORMULATEXT(BE14)</f>
        <v>=G22</v>
      </c>
      <c r="BL14" s="21" t="str">
        <f ca="1">_xlfn.FORMULATEXT(BE14)</f>
        <v>=G22</v>
      </c>
    </row>
    <row r="15" spans="1:64" ht="14.75" customHeight="1">
      <c r="A15" s="21"/>
      <c r="B15" s="25" t="s">
        <v>234</v>
      </c>
      <c r="W15" s="22"/>
      <c r="X15" s="22"/>
      <c r="Y15" s="22"/>
      <c r="AA15" s="22"/>
      <c r="AB15" s="22"/>
      <c r="AC15" s="22"/>
      <c r="AD15" s="22">
        <f>ROW()</f>
        <v>15</v>
      </c>
      <c r="AE15" s="22"/>
      <c r="AF15" s="32" t="s">
        <v>235</v>
      </c>
      <c r="AG15" s="39" t="s">
        <v>236</v>
      </c>
      <c r="AH15" s="22"/>
      <c r="AI15" s="22"/>
      <c r="AJ15" s="22"/>
      <c r="AK15" s="22"/>
      <c r="AL15" s="22"/>
      <c r="AM15" s="22"/>
      <c r="AN15" s="22"/>
      <c r="AO15" s="22"/>
      <c r="AP15" s="22"/>
      <c r="AR15" s="21" t="s">
        <v>160</v>
      </c>
      <c r="AS15" s="21" t="s">
        <v>237</v>
      </c>
      <c r="AT15" s="21" t="s">
        <v>223</v>
      </c>
      <c r="AU15" s="21">
        <v>6</v>
      </c>
      <c r="AV15" s="21" t="s">
        <v>224</v>
      </c>
      <c r="AW15" s="21" t="b">
        <v>0</v>
      </c>
      <c r="AY15" s="21" t="b">
        <v>0</v>
      </c>
      <c r="AZ15" s="21" t="b">
        <v>0</v>
      </c>
      <c r="BB15" s="30" t="s">
        <v>238</v>
      </c>
      <c r="BC15" s="21" t="s">
        <v>127</v>
      </c>
      <c r="BD15" s="21" t="b">
        <v>0</v>
      </c>
      <c r="BE15" s="21" t="str">
        <f>L22</f>
        <v>*****paul@gmail.com</v>
      </c>
      <c r="BF15" s="21" t="str">
        <f>""&amp;L22</f>
        <v>*****paul@gmail.com</v>
      </c>
      <c r="BG15" s="21" t="b">
        <v>0</v>
      </c>
      <c r="BH15" s="21" t="b">
        <v>0</v>
      </c>
      <c r="BK15" s="21" t="str">
        <f ca="1">_xlfn.FORMULATEXT(BE15)</f>
        <v>=L22</v>
      </c>
      <c r="BL15" s="21" t="str">
        <f ca="1">_xlfn.FORMULATEXT(BE15)</f>
        <v>=L22</v>
      </c>
    </row>
    <row r="16" spans="1:64" ht="14.75" customHeight="1">
      <c r="A16" s="21"/>
      <c r="W16" s="22"/>
      <c r="X16" s="22"/>
      <c r="Y16" s="22"/>
      <c r="AA16" s="22"/>
      <c r="AB16" s="22"/>
      <c r="AC16" s="22"/>
      <c r="AD16" s="22">
        <f>ROW()</f>
        <v>16</v>
      </c>
      <c r="AE16" s="22"/>
      <c r="AF16" s="32" t="s">
        <v>239</v>
      </c>
      <c r="AG16" s="32" t="s">
        <v>240</v>
      </c>
      <c r="AH16" s="22"/>
      <c r="AI16" s="22"/>
      <c r="AJ16" s="22"/>
      <c r="AK16" s="22"/>
      <c r="AL16" s="22"/>
      <c r="AM16" s="22"/>
      <c r="AN16" s="22"/>
      <c r="AO16" s="22"/>
      <c r="AP16" s="22"/>
      <c r="AR16" s="21" t="s">
        <v>160</v>
      </c>
      <c r="AS16" s="21" t="s">
        <v>241</v>
      </c>
      <c r="AT16" s="21" t="s">
        <v>223</v>
      </c>
      <c r="AU16" s="21">
        <v>9</v>
      </c>
      <c r="AV16" s="21" t="s">
        <v>224</v>
      </c>
      <c r="AW16" s="21" t="b">
        <v>0</v>
      </c>
      <c r="AY16" s="21" t="b">
        <v>0</v>
      </c>
      <c r="AZ16" s="21" t="b">
        <v>0</v>
      </c>
      <c r="BB16" s="30" t="s">
        <v>242</v>
      </c>
      <c r="BC16" s="21" t="s">
        <v>127</v>
      </c>
      <c r="BD16" s="21" t="b">
        <v>0</v>
      </c>
      <c r="BE16" s="21" t="str">
        <f>B27</f>
        <v>01/04/2021</v>
      </c>
      <c r="BF16" s="21" t="str">
        <f>""&amp;B27</f>
        <v>01/04/2021</v>
      </c>
      <c r="BG16" s="21" t="b">
        <v>0</v>
      </c>
      <c r="BH16" s="21" t="b">
        <v>0</v>
      </c>
      <c r="BK16" s="21" t="str">
        <f ca="1">_xlfn.FORMULATEXT(BE16)</f>
        <v>=B27</v>
      </c>
      <c r="BL16" s="21" t="str">
        <f ca="1">_xlfn.FORMULATEXT(BE16)</f>
        <v>=B27</v>
      </c>
    </row>
    <row r="17" spans="1:64" ht="28.25" customHeight="1">
      <c r="A17" s="21"/>
      <c r="B17" s="545" t="s">
        <v>243</v>
      </c>
      <c r="C17" s="545"/>
      <c r="D17" s="545"/>
      <c r="E17" s="545"/>
      <c r="F17" s="41"/>
      <c r="G17" s="551" t="s">
        <v>244</v>
      </c>
      <c r="H17" s="551"/>
      <c r="I17" s="551"/>
      <c r="J17" s="551"/>
      <c r="K17" s="42"/>
      <c r="L17" s="551" t="s">
        <v>245</v>
      </c>
      <c r="M17" s="551"/>
      <c r="N17" s="551"/>
      <c r="O17" s="551"/>
      <c r="P17" s="43"/>
      <c r="Q17" s="43"/>
      <c r="W17" s="22"/>
      <c r="X17" s="22"/>
      <c r="Y17" s="22"/>
      <c r="AA17" s="22"/>
      <c r="AB17" s="22"/>
      <c r="AC17" s="22"/>
      <c r="AD17" s="22">
        <f>ROW()</f>
        <v>17</v>
      </c>
      <c r="AE17" s="22"/>
      <c r="AF17" s="32" t="s">
        <v>246</v>
      </c>
      <c r="AG17" s="32" t="s">
        <v>247</v>
      </c>
      <c r="AH17" s="22"/>
      <c r="AI17" s="22"/>
      <c r="AJ17" s="22"/>
      <c r="AK17" s="22"/>
      <c r="AL17" s="22"/>
      <c r="AM17" s="22"/>
      <c r="AN17" s="22"/>
      <c r="AO17" s="22"/>
      <c r="AP17" s="22"/>
      <c r="AR17" s="21" t="s">
        <v>160</v>
      </c>
      <c r="AS17" s="21" t="s">
        <v>248</v>
      </c>
      <c r="AT17" s="21" t="s">
        <v>223</v>
      </c>
      <c r="AU17" s="21">
        <v>13</v>
      </c>
      <c r="AV17" s="21" t="s">
        <v>224</v>
      </c>
      <c r="AW17" s="21" t="b">
        <v>0</v>
      </c>
      <c r="AY17" s="21" t="b">
        <v>0</v>
      </c>
      <c r="AZ17" s="21" t="b">
        <v>0</v>
      </c>
      <c r="BB17" s="30" t="s">
        <v>249</v>
      </c>
      <c r="BC17" s="21" t="s">
        <v>127</v>
      </c>
      <c r="BD17" s="21" t="b">
        <v>0</v>
      </c>
      <c r="BE17" s="21" t="str">
        <f>L27</f>
        <v>31/03/2022</v>
      </c>
      <c r="BF17" s="21" t="str">
        <f>""&amp;L27</f>
        <v>31/03/2022</v>
      </c>
      <c r="BG17" s="21" t="b">
        <v>0</v>
      </c>
      <c r="BH17" s="21" t="b">
        <v>0</v>
      </c>
      <c r="BK17" s="21" t="str">
        <f ca="1">_xlfn.FORMULATEXT(BE17)</f>
        <v>=L27</v>
      </c>
      <c r="BL17" s="21" t="str">
        <f ca="1">_xlfn.FORMULATEXT(BE17)</f>
        <v>=L27</v>
      </c>
    </row>
    <row r="18" spans="1:64" ht="14.75" customHeight="1">
      <c r="A18" s="21"/>
      <c r="B18" s="547" t="s">
        <v>250</v>
      </c>
      <c r="C18" s="546"/>
      <c r="D18" s="546"/>
      <c r="E18" s="548"/>
      <c r="G18" s="553" t="s">
        <v>251</v>
      </c>
      <c r="H18" s="552"/>
      <c r="I18" s="552"/>
      <c r="J18" s="554"/>
      <c r="L18" s="558"/>
      <c r="M18" s="557"/>
      <c r="N18" s="557"/>
      <c r="O18" s="559"/>
      <c r="W18" s="22"/>
      <c r="X18" s="22"/>
      <c r="Y18" s="22"/>
      <c r="AA18" s="22"/>
      <c r="AB18" s="22"/>
      <c r="AC18" s="22"/>
      <c r="AD18" s="22">
        <f>ROW()</f>
        <v>18</v>
      </c>
      <c r="AE18" s="22"/>
      <c r="AF18" s="32" t="s">
        <v>253</v>
      </c>
      <c r="AG18" s="39" t="s">
        <v>254</v>
      </c>
      <c r="AH18" s="22"/>
      <c r="AI18" s="22"/>
      <c r="AJ18" s="22"/>
      <c r="AK18" s="22"/>
      <c r="AL18" s="22"/>
      <c r="AM18" s="22"/>
      <c r="AN18" s="22"/>
      <c r="AO18" s="22"/>
      <c r="AP18" s="22"/>
      <c r="AR18" s="21" t="s">
        <v>160</v>
      </c>
      <c r="AS18" s="21" t="s">
        <v>255</v>
      </c>
      <c r="AT18" s="21" t="s">
        <v>223</v>
      </c>
      <c r="AU18" s="21">
        <v>15</v>
      </c>
      <c r="AV18" s="21" t="s">
        <v>224</v>
      </c>
      <c r="AW18" s="21" t="b">
        <v>0</v>
      </c>
      <c r="AY18" s="21" t="b">
        <v>0</v>
      </c>
      <c r="AZ18" s="21" t="b">
        <v>0</v>
      </c>
      <c r="BB18" s="30" t="s">
        <v>256</v>
      </c>
      <c r="BC18" s="21" t="s">
        <v>127</v>
      </c>
      <c r="BD18" s="21" t="b">
        <v>0</v>
      </c>
      <c r="BE18" s="21" t="str">
        <f>B30</f>
        <v>26/06/2026</v>
      </c>
      <c r="BF18" s="21" t="str">
        <f>""&amp;B30</f>
        <v>26/06/2026</v>
      </c>
      <c r="BG18" s="21" t="b">
        <v>0</v>
      </c>
      <c r="BH18" s="21" t="b">
        <v>0</v>
      </c>
      <c r="BK18" s="21" t="str">
        <f ca="1">_xlfn.FORMULATEXT(BE18)</f>
        <v>=B30</v>
      </c>
      <c r="BL18" s="21" t="str">
        <f ca="1">_xlfn.FORMULATEXT(BE18)</f>
        <v>=B30</v>
      </c>
    </row>
    <row r="19" spans="1:64" ht="14.75" customHeight="1">
      <c r="A19" s="21"/>
      <c r="B19" s="53"/>
      <c r="C19" s="53"/>
      <c r="D19" s="53"/>
      <c r="E19" s="53"/>
      <c r="F19" s="53"/>
      <c r="G19" s="53"/>
      <c r="H19" s="53"/>
      <c r="I19" s="53"/>
      <c r="J19" s="53"/>
      <c r="K19" s="53"/>
      <c r="L19" s="53"/>
      <c r="M19" s="53"/>
      <c r="N19" s="53"/>
      <c r="O19" s="53"/>
      <c r="P19" s="53"/>
      <c r="Q19" s="53"/>
      <c r="R19" s="43"/>
      <c r="W19" s="22"/>
      <c r="X19" s="22"/>
      <c r="Y19" s="22"/>
      <c r="AA19" s="54"/>
      <c r="AB19" s="54"/>
      <c r="AC19" s="22"/>
      <c r="AD19" s="22">
        <f>ROW()</f>
        <v>19</v>
      </c>
      <c r="AE19" s="22"/>
      <c r="AF19" s="32" t="s">
        <v>257</v>
      </c>
      <c r="AG19" s="39" t="s">
        <v>258</v>
      </c>
      <c r="AH19" s="22"/>
      <c r="AI19" s="22"/>
      <c r="AJ19" s="22"/>
      <c r="AK19" s="22"/>
      <c r="AL19" s="22"/>
      <c r="AM19" s="22"/>
      <c r="AN19" s="22"/>
      <c r="AO19" s="22"/>
      <c r="AP19" s="22"/>
      <c r="AR19" s="21" t="s">
        <v>160</v>
      </c>
      <c r="AS19" s="21" t="s">
        <v>259</v>
      </c>
      <c r="AT19" s="21" t="s">
        <v>223</v>
      </c>
      <c r="AU19" s="21">
        <v>17</v>
      </c>
      <c r="AV19" s="21" t="s">
        <v>224</v>
      </c>
      <c r="AW19" s="21" t="b">
        <v>0</v>
      </c>
      <c r="AY19" s="21" t="b">
        <v>0</v>
      </c>
      <c r="AZ19" s="21" t="b">
        <v>0</v>
      </c>
      <c r="BB19" s="30" t="s">
        <v>260</v>
      </c>
      <c r="BC19" s="21" t="s">
        <v>127</v>
      </c>
      <c r="BD19" s="21" t="b">
        <v>0</v>
      </c>
      <c r="BE19" s="21" t="str">
        <f>B33</f>
        <v>Provisional un-adopted Financial statements</v>
      </c>
      <c r="BF19" s="21" t="str">
        <f>""&amp;B33</f>
        <v>Provisional un-adopted Financial statements</v>
      </c>
      <c r="BG19" s="21" t="b">
        <v>0</v>
      </c>
      <c r="BH19" s="21" t="b">
        <v>0</v>
      </c>
      <c r="BK19" s="21" t="str">
        <f ca="1">_xlfn.FORMULATEXT(BE19)</f>
        <v>=B33</v>
      </c>
      <c r="BL19" s="21" t="str">
        <f ca="1">_xlfn.FORMULATEXT(BE19)</f>
        <v>=B33</v>
      </c>
    </row>
    <row r="20" spans="1:64" ht="14" customHeight="1">
      <c r="A20" s="21"/>
      <c r="B20" s="40" t="s">
        <v>261</v>
      </c>
      <c r="C20" s="40"/>
      <c r="D20" s="40"/>
      <c r="G20" s="55" t="s">
        <v>262</v>
      </c>
      <c r="H20" s="55"/>
      <c r="I20" s="55"/>
      <c r="J20" s="55"/>
      <c r="K20" s="56"/>
      <c r="L20" s="55" t="s">
        <v>263</v>
      </c>
      <c r="M20" s="55"/>
      <c r="N20" s="55"/>
      <c r="W20" s="22"/>
      <c r="X20" s="22"/>
      <c r="Y20" s="22"/>
      <c r="AB20" s="22"/>
      <c r="AC20" s="22"/>
      <c r="AD20" s="22">
        <f>ROW()</f>
        <v>20</v>
      </c>
      <c r="AE20" s="22"/>
      <c r="AF20" s="32" t="s">
        <v>264</v>
      </c>
      <c r="AG20" s="39" t="s">
        <v>265</v>
      </c>
      <c r="AH20" s="22"/>
      <c r="AI20" s="22"/>
      <c r="AJ20" s="22"/>
      <c r="AK20" s="22"/>
      <c r="AL20" s="22"/>
      <c r="AM20" s="22"/>
      <c r="AN20" s="22"/>
      <c r="AO20" s="22"/>
      <c r="AP20" s="22"/>
      <c r="AR20" s="21" t="s">
        <v>160</v>
      </c>
      <c r="AS20" s="21" t="s">
        <v>266</v>
      </c>
      <c r="AT20" s="21" t="s">
        <v>223</v>
      </c>
      <c r="AU20" s="21">
        <v>19</v>
      </c>
      <c r="AV20" s="21" t="s">
        <v>224</v>
      </c>
      <c r="AW20" s="21" t="b">
        <v>0</v>
      </c>
      <c r="AY20" s="21" t="b">
        <v>0</v>
      </c>
      <c r="AZ20" s="21" t="b">
        <v>0</v>
      </c>
      <c r="BB20" s="30" t="s">
        <v>267</v>
      </c>
      <c r="BC20" s="21" t="s">
        <v>268</v>
      </c>
      <c r="BD20" s="21" t="b">
        <v>0</v>
      </c>
      <c r="BE20" s="21" t="str">
        <f>IF(AA36=1,"Yes",IF(AA36=2,"No",IF(AA36=3,"Not applicable","")))</f>
        <v/>
      </c>
      <c r="BF20" s="21" t="str">
        <f>BE20</f>
        <v/>
      </c>
      <c r="BG20" s="21" t="b">
        <v>0</v>
      </c>
      <c r="BH20" s="21" t="b">
        <v>0</v>
      </c>
      <c r="BJ20" s="21" t="str">
        <f>AA36</f>
        <v/>
      </c>
      <c r="BK20" s="21" t="str">
        <f ca="1">_xlfn.FORMULATEXT(BJ20)</f>
        <v>=AA36</v>
      </c>
      <c r="BL20" s="21" t="s">
        <v>269</v>
      </c>
    </row>
    <row r="21" spans="1:64" ht="14.4" customHeight="1" hidden="1">
      <c r="A21" s="21"/>
      <c r="G21" s="569"/>
      <c r="H21" s="569"/>
      <c r="I21" s="569"/>
      <c r="J21" s="569"/>
      <c r="K21" s="56"/>
      <c r="L21" s="576"/>
      <c r="R21" s="53"/>
      <c r="W21" s="22"/>
      <c r="X21" s="22"/>
      <c r="Y21" s="22"/>
      <c r="AA21" s="22"/>
      <c r="AB21" s="22"/>
      <c r="AC21" s="22"/>
      <c r="AD21" s="22">
        <f>ROW()</f>
        <v>21</v>
      </c>
      <c r="AE21" s="22"/>
      <c r="AF21" s="32" t="s">
        <v>270</v>
      </c>
      <c r="AG21" s="39" t="s">
        <v>271</v>
      </c>
      <c r="AH21" s="22"/>
      <c r="AI21" s="22"/>
      <c r="AJ21" s="22"/>
      <c r="AK21" s="22"/>
      <c r="AL21" s="22"/>
      <c r="AM21" s="22"/>
      <c r="AN21" s="22"/>
      <c r="AO21" s="22"/>
      <c r="AP21" s="22"/>
      <c r="AR21" s="21" t="s">
        <v>160</v>
      </c>
      <c r="AS21" s="21" t="s">
        <v>272</v>
      </c>
      <c r="AT21" s="21" t="s">
        <v>223</v>
      </c>
      <c r="AU21" s="21">
        <v>21</v>
      </c>
      <c r="AV21" s="21" t="s">
        <v>224</v>
      </c>
      <c r="AW21" s="21" t="b">
        <v>0</v>
      </c>
      <c r="AY21" s="21" t="b">
        <v>0</v>
      </c>
      <c r="AZ21" s="21" t="b">
        <v>0</v>
      </c>
      <c r="BB21" s="30" t="s">
        <v>273</v>
      </c>
      <c r="BC21" s="21" t="s">
        <v>268</v>
      </c>
      <c r="BD21" s="21" t="b">
        <v>0</v>
      </c>
      <c r="BE21" s="21" t="str">
        <f>IF(AA39=1,"Yes",IF(AA39=2,"No",IF(AA39=3,"Not applicable","")))</f>
        <v/>
      </c>
      <c r="BF21" s="21" t="str">
        <f>BE21</f>
        <v/>
      </c>
      <c r="BG21" s="21" t="b">
        <v>0</v>
      </c>
      <c r="BH21" s="21" t="b">
        <v>0</v>
      </c>
      <c r="BJ21" s="21" t="str">
        <f>AA39</f>
        <v/>
      </c>
      <c r="BK21" s="21" t="str">
        <f ca="1">_xlfn.FORMULATEXT(BJ21)</f>
        <v>=AA39</v>
      </c>
      <c r="BL21" s="21" t="s">
        <v>274</v>
      </c>
    </row>
    <row r="22" spans="1:65" ht="14.5">
      <c r="A22" s="21"/>
      <c r="B22" s="563" t="s">
        <v>275</v>
      </c>
      <c r="C22" s="561"/>
      <c r="D22" s="561"/>
      <c r="E22" s="565"/>
      <c r="G22" s="571" t="s">
        <v>276</v>
      </c>
      <c r="H22" s="568"/>
      <c r="I22" s="568"/>
      <c r="J22" s="573"/>
      <c r="L22" s="578" t="s">
        <v>277</v>
      </c>
      <c r="M22" s="577"/>
      <c r="N22" s="577"/>
      <c r="O22" s="579"/>
      <c r="W22" s="22"/>
      <c r="X22" s="22"/>
      <c r="Y22" s="22"/>
      <c r="AA22" s="22"/>
      <c r="AB22" s="22"/>
      <c r="AC22" s="22"/>
      <c r="AD22" s="22">
        <f>ROW()</f>
        <v>22</v>
      </c>
      <c r="AE22" s="22"/>
      <c r="AF22" s="32" t="s">
        <v>278</v>
      </c>
      <c r="AG22" s="32" t="s">
        <v>279</v>
      </c>
      <c r="AH22" s="22"/>
      <c r="AI22" s="22"/>
      <c r="AJ22" s="22"/>
      <c r="AK22" s="22"/>
      <c r="AL22" s="22"/>
      <c r="AM22" s="22"/>
      <c r="AN22" s="22"/>
      <c r="AO22" s="22"/>
      <c r="AP22" s="22"/>
      <c r="AR22" s="21" t="s">
        <v>160</v>
      </c>
      <c r="AS22" s="21" t="s">
        <v>280</v>
      </c>
      <c r="AT22" s="21" t="s">
        <v>223</v>
      </c>
      <c r="AU22" s="21">
        <v>23</v>
      </c>
      <c r="AV22" s="21" t="s">
        <v>224</v>
      </c>
      <c r="AW22" s="21" t="b">
        <v>0</v>
      </c>
      <c r="AY22" s="21" t="b">
        <v>0</v>
      </c>
      <c r="AZ22" s="21" t="b">
        <v>0</v>
      </c>
      <c r="BB22" s="30" t="s">
        <v>281</v>
      </c>
      <c r="BC22" s="21" t="s">
        <v>127</v>
      </c>
      <c r="BD22" s="21" t="b">
        <v>0</v>
      </c>
      <c r="BE22" s="21">
        <f>B42</f>
        <v>0</v>
      </c>
      <c r="BF22" s="21" t="str">
        <f>""&amp;B42</f>
        <v/>
      </c>
      <c r="BG22" s="21" t="b">
        <v>0</v>
      </c>
      <c r="BH22" s="21" t="b">
        <v>0</v>
      </c>
      <c r="BK22" s="21" t="str">
        <f ca="1">_xlfn.FORMULATEXT(BE22)</f>
        <v>=B42</v>
      </c>
      <c r="BL22" s="21" t="str">
        <f ca="1">_xlfn.FORMULATEXT(BE22)</f>
        <v>=B42</v>
      </c>
      <c r="BM22" s="64"/>
    </row>
    <row r="23" spans="1:64" ht="28.25" customHeight="1">
      <c r="A23" s="21"/>
      <c r="B23" s="564"/>
      <c r="C23" s="562"/>
      <c r="D23" s="562"/>
      <c r="E23" s="566"/>
      <c r="F23" s="53"/>
      <c r="G23" s="572"/>
      <c r="H23" s="570"/>
      <c r="I23" s="570"/>
      <c r="J23" s="566"/>
      <c r="K23" s="53"/>
      <c r="L23" s="53"/>
      <c r="M23" s="53"/>
      <c r="N23" s="53"/>
      <c r="O23" s="53"/>
      <c r="P23" s="53"/>
      <c r="Q23" s="53"/>
      <c r="W23" s="22"/>
      <c r="X23" s="22"/>
      <c r="Y23" s="22"/>
      <c r="AA23" s="22"/>
      <c r="AB23" s="22"/>
      <c r="AC23" s="22"/>
      <c r="AD23" s="22">
        <f>ROW()</f>
        <v>23</v>
      </c>
      <c r="AE23" s="22"/>
      <c r="AF23" s="32" t="s">
        <v>282</v>
      </c>
      <c r="AG23" s="32" t="s">
        <v>283</v>
      </c>
      <c r="AH23" s="22"/>
      <c r="AI23" s="22"/>
      <c r="AJ23" s="22"/>
      <c r="AK23" s="22"/>
      <c r="AL23" s="22"/>
      <c r="AM23" s="22"/>
      <c r="AN23" s="22"/>
      <c r="AO23" s="22"/>
      <c r="AP23" s="22"/>
      <c r="AR23" s="21" t="s">
        <v>160</v>
      </c>
      <c r="AS23" s="21" t="s">
        <v>284</v>
      </c>
      <c r="AT23" s="21" t="s">
        <v>223</v>
      </c>
      <c r="AU23" s="21">
        <v>25</v>
      </c>
      <c r="AV23" s="21" t="s">
        <v>224</v>
      </c>
      <c r="AW23" s="21" t="b">
        <v>0</v>
      </c>
      <c r="AY23" s="21" t="b">
        <v>0</v>
      </c>
      <c r="AZ23" s="21" t="b">
        <v>0</v>
      </c>
      <c r="BB23" s="30" t="s">
        <v>285</v>
      </c>
      <c r="BC23" s="21" t="s">
        <v>127</v>
      </c>
      <c r="BD23" s="21" t="b">
        <v>0</v>
      </c>
      <c r="BE23" s="21">
        <f>B45</f>
        <v>0</v>
      </c>
      <c r="BF23" s="21" t="str">
        <f>""&amp;B45</f>
        <v/>
      </c>
      <c r="BG23" s="21" t="b">
        <v>0</v>
      </c>
      <c r="BH23" s="21" t="b">
        <v>0</v>
      </c>
      <c r="BK23" s="21" t="str">
        <f ca="1">_xlfn.FORMULATEXT(BE23)</f>
        <v>=B45</v>
      </c>
      <c r="BL23" s="21" t="str">
        <f ca="1">_xlfn.FORMULATEXT(BE23)</f>
        <v>=B45</v>
      </c>
    </row>
    <row r="24" spans="1:64" ht="14.75" customHeight="1">
      <c r="A24" s="21"/>
      <c r="B24" s="53"/>
      <c r="C24" s="53"/>
      <c r="D24" s="53"/>
      <c r="E24" s="53"/>
      <c r="F24" s="53"/>
      <c r="G24" s="53"/>
      <c r="H24" s="53"/>
      <c r="I24" s="53"/>
      <c r="J24" s="53"/>
      <c r="K24" s="53"/>
      <c r="L24" s="53"/>
      <c r="M24" s="53"/>
      <c r="N24" s="53"/>
      <c r="O24" s="53"/>
      <c r="P24" s="53"/>
      <c r="Q24" s="53"/>
      <c r="W24" s="22"/>
      <c r="X24" s="22"/>
      <c r="Y24" s="22"/>
      <c r="AA24" s="22"/>
      <c r="AB24" s="22"/>
      <c r="AC24" s="22"/>
      <c r="AD24" s="22">
        <f>ROW()</f>
        <v>24</v>
      </c>
      <c r="AE24" s="22"/>
      <c r="AF24" s="32" t="s">
        <v>286</v>
      </c>
      <c r="AG24" s="32" t="s">
        <v>287</v>
      </c>
      <c r="AH24" s="22"/>
      <c r="AI24" s="22"/>
      <c r="AJ24" s="22"/>
      <c r="AK24" s="22"/>
      <c r="AL24" s="22"/>
      <c r="AM24" s="22"/>
      <c r="AN24" s="22"/>
      <c r="AO24" s="22"/>
      <c r="AP24" s="22"/>
      <c r="AR24" s="21" t="s">
        <v>160</v>
      </c>
      <c r="AS24" s="21" t="s">
        <v>288</v>
      </c>
      <c r="AT24" s="21" t="s">
        <v>223</v>
      </c>
      <c r="AU24" s="21">
        <v>27</v>
      </c>
      <c r="AV24" s="21" t="s">
        <v>224</v>
      </c>
      <c r="AW24" s="21" t="b">
        <v>0</v>
      </c>
      <c r="AY24" s="21" t="b">
        <v>0</v>
      </c>
      <c r="AZ24" s="21" t="b">
        <v>0</v>
      </c>
      <c r="BB24" s="30" t="s">
        <v>289</v>
      </c>
      <c r="BC24" s="21" t="s">
        <v>127</v>
      </c>
      <c r="BD24" s="21" t="b">
        <v>0</v>
      </c>
      <c r="BE24" s="21">
        <f>B48</f>
        <v>0</v>
      </c>
      <c r="BF24" s="21" t="str">
        <f>""&amp;B48</f>
        <v/>
      </c>
      <c r="BG24" s="21" t="b">
        <v>0</v>
      </c>
      <c r="BH24" s="21" t="b">
        <v>0</v>
      </c>
      <c r="BK24" s="21" t="str">
        <f ca="1">_xlfn.FORMULATEXT(BE24)</f>
        <v>=B48</v>
      </c>
      <c r="BL24" s="21" t="str">
        <f ca="1">_xlfn.FORMULATEXT(BE24)</f>
        <v>=B48</v>
      </c>
    </row>
    <row r="25" spans="1:64" ht="14.5">
      <c r="A25" s="21"/>
      <c r="B25" s="40" t="s">
        <v>290</v>
      </c>
      <c r="C25" s="40"/>
      <c r="D25" s="40"/>
      <c r="E25" s="40"/>
      <c r="F25" s="40"/>
      <c r="G25" s="40"/>
      <c r="R25" s="53"/>
      <c r="W25" s="22"/>
      <c r="X25" s="22"/>
      <c r="Y25" s="22"/>
      <c r="AA25" s="22"/>
      <c r="AB25" s="22"/>
      <c r="AC25" s="22"/>
      <c r="AD25" s="22">
        <f>ROW()</f>
        <v>25</v>
      </c>
      <c r="AE25" s="22"/>
      <c r="AF25" s="32" t="s">
        <v>291</v>
      </c>
      <c r="AG25" s="32" t="s">
        <v>292</v>
      </c>
      <c r="AH25" s="22"/>
      <c r="AI25" s="22"/>
      <c r="AJ25" s="22"/>
      <c r="AK25" s="22"/>
      <c r="AL25" s="22"/>
      <c r="AM25" s="22"/>
      <c r="AN25" s="22"/>
      <c r="AO25" s="22"/>
      <c r="AP25" s="22"/>
      <c r="AR25" s="21" t="s">
        <v>160</v>
      </c>
      <c r="AS25" s="21" t="s">
        <v>293</v>
      </c>
      <c r="AT25" s="21" t="s">
        <v>223</v>
      </c>
      <c r="AU25" s="21">
        <v>31</v>
      </c>
      <c r="AV25" s="21" t="s">
        <v>224</v>
      </c>
      <c r="AW25" s="21" t="b">
        <v>0</v>
      </c>
      <c r="AY25" s="21" t="b">
        <v>0</v>
      </c>
      <c r="AZ25" s="21" t="b">
        <v>0</v>
      </c>
      <c r="BB25" s="30" t="s">
        <v>294</v>
      </c>
      <c r="BC25" s="21" t="s">
        <v>127</v>
      </c>
      <c r="BD25" s="21" t="b">
        <v>0</v>
      </c>
      <c r="BE25" s="21">
        <f>B51</f>
        <v>0</v>
      </c>
      <c r="BF25" s="21" t="str">
        <f>""&amp;B51</f>
        <v/>
      </c>
      <c r="BG25" s="21" t="b">
        <v>0</v>
      </c>
      <c r="BH25" s="21" t="b">
        <v>0</v>
      </c>
      <c r="BK25" s="21" t="str">
        <f ca="1">_xlfn.FORMULATEXT(BE25)</f>
        <v>=B51</v>
      </c>
      <c r="BL25" s="21" t="str">
        <f ca="1">_xlfn.FORMULATEXT(BE25)</f>
        <v>=B51</v>
      </c>
    </row>
    <row r="26" spans="1:64" ht="14.75" customHeight="1">
      <c r="A26" s="21"/>
      <c r="B26" s="582" t="s">
        <v>295</v>
      </c>
      <c r="C26" s="583"/>
      <c r="D26" s="583"/>
      <c r="E26" s="584"/>
      <c r="F26" s="70"/>
      <c r="H26" s="71"/>
      <c r="L26" s="588" t="s">
        <v>296</v>
      </c>
      <c r="M26" s="588"/>
      <c r="N26" s="589"/>
      <c r="R26" s="53"/>
      <c r="W26" s="22"/>
      <c r="X26" s="22"/>
      <c r="Y26" s="22"/>
      <c r="AA26" s="22"/>
      <c r="AB26" s="22"/>
      <c r="AC26" s="22"/>
      <c r="AD26" s="22">
        <f>ROW()</f>
        <v>26</v>
      </c>
      <c r="AE26" s="22"/>
      <c r="AF26" s="32" t="s">
        <v>297</v>
      </c>
      <c r="AG26" s="32" t="s">
        <v>298</v>
      </c>
      <c r="AH26" s="22"/>
      <c r="AI26" s="22"/>
      <c r="AJ26" s="22"/>
      <c r="AK26" s="22"/>
      <c r="AL26" s="22"/>
      <c r="AM26" s="22"/>
      <c r="AN26" s="22"/>
      <c r="AO26" s="22"/>
      <c r="AP26" s="22"/>
      <c r="AR26" s="21" t="s">
        <v>160</v>
      </c>
      <c r="AS26" s="21" t="s">
        <v>299</v>
      </c>
      <c r="AT26" s="21" t="s">
        <v>223</v>
      </c>
      <c r="AU26" s="21">
        <v>33</v>
      </c>
      <c r="AV26" s="21" t="s">
        <v>224</v>
      </c>
      <c r="AW26" s="21" t="b">
        <v>0</v>
      </c>
      <c r="AY26" s="21" t="b">
        <v>0</v>
      </c>
      <c r="AZ26" s="21" t="b">
        <v>0</v>
      </c>
      <c r="BB26" s="30" t="s">
        <v>300</v>
      </c>
      <c r="BC26" s="21" t="s">
        <v>127</v>
      </c>
      <c r="BD26" s="21" t="b">
        <v>0</v>
      </c>
      <c r="BE26" s="73">
        <f>B54</f>
        <v>0</v>
      </c>
      <c r="BF26" s="21" t="str">
        <f>""&amp;B54</f>
        <v/>
      </c>
      <c r="BG26" s="21" t="b">
        <v>0</v>
      </c>
      <c r="BH26" s="21" t="b">
        <v>0</v>
      </c>
      <c r="BK26" s="21" t="str">
        <f ca="1">_xlfn.FORMULATEXT(BE26)</f>
        <v>=B54</v>
      </c>
      <c r="BL26" s="21" t="str">
        <f ca="1">_xlfn.FORMULATEXT(BE26)</f>
        <v>=B54</v>
      </c>
    </row>
    <row r="27" spans="1:64" ht="14.75" customHeight="1">
      <c r="A27" s="21"/>
      <c r="B27" s="586" t="s">
        <v>252</v>
      </c>
      <c r="C27" s="585"/>
      <c r="D27" s="585"/>
      <c r="E27" s="587"/>
      <c r="L27" s="586" t="s">
        <v>183</v>
      </c>
      <c r="M27" s="585"/>
      <c r="N27" s="585"/>
      <c r="O27" s="587"/>
      <c r="W27" s="22"/>
      <c r="X27" s="22"/>
      <c r="Y27" s="22"/>
      <c r="AA27" s="22"/>
      <c r="AB27" s="22"/>
      <c r="AC27" s="22"/>
      <c r="AD27" s="22">
        <f>ROW()</f>
        <v>27</v>
      </c>
      <c r="AE27" s="22"/>
      <c r="AF27" s="32" t="s">
        <v>301</v>
      </c>
      <c r="AG27" s="32" t="s">
        <v>302</v>
      </c>
      <c r="AH27" s="22"/>
      <c r="AI27" s="22"/>
      <c r="AJ27" s="22"/>
      <c r="AK27" s="22"/>
      <c r="AL27" s="22"/>
      <c r="AM27" s="22"/>
      <c r="AN27" s="22"/>
      <c r="AO27" s="22"/>
      <c r="AP27" s="22"/>
      <c r="AR27" s="21" t="s">
        <v>177</v>
      </c>
      <c r="AS27" s="21" t="s">
        <v>303</v>
      </c>
      <c r="AT27" s="21" t="s">
        <v>304</v>
      </c>
      <c r="AU27" s="21">
        <v>0</v>
      </c>
      <c r="AV27" s="21" t="s">
        <v>121</v>
      </c>
      <c r="AW27" s="21" t="b">
        <v>0</v>
      </c>
      <c r="AY27" s="21" t="b">
        <v>1</v>
      </c>
      <c r="AZ27" s="21" t="b">
        <v>0</v>
      </c>
      <c r="BB27" s="30" t="s">
        <v>305</v>
      </c>
      <c r="BC27" s="21" t="s">
        <v>268</v>
      </c>
      <c r="BD27" s="21" t="b">
        <v>0</v>
      </c>
      <c r="BE27" s="21" t="str">
        <f>IF(AA81=1,"Yes",IF(AA81=2,"No",IF(AA81=3,"Not applicable","")))</f>
        <v>Yes</v>
      </c>
      <c r="BF27" s="21" t="str">
        <f>BE27</f>
        <v>Yes</v>
      </c>
      <c r="BG27" s="21" t="b">
        <v>0</v>
      </c>
      <c r="BH27" s="21" t="b">
        <v>0</v>
      </c>
      <c r="BJ27" s="21">
        <f>AA81</f>
        <v>1</v>
      </c>
      <c r="BK27" s="21" t="str">
        <f ca="1">_xlfn.FORMULATEXT(BJ27)</f>
        <v>=AA81</v>
      </c>
      <c r="BL27" s="21" t="s">
        <v>306</v>
      </c>
    </row>
    <row r="28" spans="1:64" ht="14.75" customHeight="1">
      <c r="A28" s="21"/>
      <c r="W28" s="22"/>
      <c r="X28" s="22"/>
      <c r="Y28" s="22"/>
      <c r="AA28" s="22"/>
      <c r="AB28" s="22"/>
      <c r="AC28" s="22"/>
      <c r="AD28" s="22">
        <f>ROW()</f>
        <v>28</v>
      </c>
      <c r="AE28" s="22"/>
      <c r="AF28" s="32" t="s">
        <v>307</v>
      </c>
      <c r="AG28" s="32" t="s">
        <v>308</v>
      </c>
      <c r="AH28" s="22"/>
      <c r="AI28" s="22"/>
      <c r="AJ28" s="22"/>
      <c r="AK28" s="22"/>
      <c r="AL28" s="22"/>
      <c r="AM28" s="22"/>
      <c r="AN28" s="22"/>
      <c r="AO28" s="22"/>
      <c r="AP28" s="22"/>
      <c r="AR28" s="21" t="s">
        <v>177</v>
      </c>
      <c r="AS28" s="21" t="s">
        <v>309</v>
      </c>
      <c r="AT28" s="21" t="s">
        <v>304</v>
      </c>
      <c r="AU28" s="21">
        <v>0</v>
      </c>
      <c r="AV28" s="21" t="s">
        <v>310</v>
      </c>
      <c r="AW28" s="21" t="b">
        <v>0</v>
      </c>
      <c r="AY28" s="21" t="b">
        <v>0</v>
      </c>
      <c r="AZ28" s="21" t="b">
        <v>0</v>
      </c>
      <c r="BB28" s="30" t="s">
        <v>311</v>
      </c>
      <c r="BC28" s="21" t="s">
        <v>127</v>
      </c>
      <c r="BD28" s="21" t="b">
        <v>0</v>
      </c>
      <c r="BE28" s="21" t="str">
        <f>G83</f>
        <v>26/06/2026</v>
      </c>
      <c r="BF28" s="21" t="str">
        <f>""&amp;G83</f>
        <v>26/06/2026</v>
      </c>
      <c r="BG28" s="21" t="b">
        <v>0</v>
      </c>
      <c r="BH28" s="21" t="b">
        <v>0</v>
      </c>
      <c r="BK28" s="21" t="str">
        <f ca="1">_xlfn.FORMULATEXT(BE28)</f>
        <v>=G83</v>
      </c>
      <c r="BL28" s="21" t="str">
        <f ca="1">_xlfn.FORMULATEXT(BE28)</f>
        <v>=G83</v>
      </c>
    </row>
    <row r="29" spans="1:64" ht="14.5">
      <c r="A29" s="21"/>
      <c r="B29" s="434" t="s">
        <v>312</v>
      </c>
      <c r="C29" s="434"/>
      <c r="D29" s="434"/>
      <c r="E29" s="434"/>
      <c r="F29" s="77"/>
      <c r="G29" s="77"/>
      <c r="H29" s="77"/>
      <c r="I29" s="77"/>
      <c r="J29" s="77"/>
      <c r="K29" s="77"/>
      <c r="L29" s="77"/>
      <c r="M29" s="77"/>
      <c r="N29" s="77"/>
      <c r="O29" s="77"/>
      <c r="P29" s="53"/>
      <c r="Q29" s="53"/>
      <c r="W29" s="22"/>
      <c r="X29" s="22"/>
      <c r="Y29" s="22"/>
      <c r="AA29" s="22"/>
      <c r="AB29" s="22"/>
      <c r="AC29" s="22"/>
      <c r="AD29" s="22">
        <f>ROW()</f>
        <v>29</v>
      </c>
      <c r="AE29" s="22"/>
      <c r="AF29" s="32" t="s">
        <v>313</v>
      </c>
      <c r="AG29" s="32" t="s">
        <v>314</v>
      </c>
      <c r="AH29" s="22"/>
      <c r="AI29" s="22"/>
      <c r="AJ29" s="22"/>
      <c r="AK29" s="22"/>
      <c r="AL29" s="22"/>
      <c r="AM29" s="22"/>
      <c r="AN29" s="22"/>
      <c r="AO29" s="22"/>
      <c r="AP29" s="22"/>
      <c r="AR29" s="21" t="s">
        <v>177</v>
      </c>
      <c r="AS29" s="21" t="s">
        <v>315</v>
      </c>
      <c r="AT29" s="21" t="s">
        <v>304</v>
      </c>
      <c r="AU29" s="21">
        <v>0</v>
      </c>
      <c r="AV29" s="21" t="s">
        <v>224</v>
      </c>
      <c r="AW29" s="21" t="b">
        <v>1</v>
      </c>
      <c r="AY29" s="21" t="b">
        <v>1</v>
      </c>
      <c r="AZ29" s="21" t="b">
        <v>0</v>
      </c>
      <c r="BB29" s="30" t="s">
        <v>316</v>
      </c>
      <c r="BC29" s="21" t="s">
        <v>127</v>
      </c>
      <c r="BD29" s="21" t="b">
        <v>0</v>
      </c>
      <c r="BE29" s="21" t="str">
        <f>G85</f>
        <v>30/09/2022</v>
      </c>
      <c r="BF29" s="21" t="str">
        <f>""&amp;G85</f>
        <v>30/09/2022</v>
      </c>
      <c r="BG29" s="21" t="b">
        <v>0</v>
      </c>
      <c r="BH29" s="21" t="b">
        <v>0</v>
      </c>
      <c r="BK29" s="21" t="str">
        <f ca="1">_xlfn.FORMULATEXT(BE29)</f>
        <v>=G85</v>
      </c>
      <c r="BL29" s="21" t="str">
        <f ca="1">_xlfn.FORMULATEXT(BE29)</f>
        <v>=G85</v>
      </c>
    </row>
    <row r="30" spans="1:64" ht="14.5">
      <c r="A30" s="21"/>
      <c r="B30" s="586" t="s">
        <v>317</v>
      </c>
      <c r="C30" s="585"/>
      <c r="D30" s="585"/>
      <c r="E30" s="587"/>
      <c r="W30" s="22"/>
      <c r="X30" s="22"/>
      <c r="Y30" s="22"/>
      <c r="AA30" s="22"/>
      <c r="AB30" s="22"/>
      <c r="AC30" s="22"/>
      <c r="AD30" s="22">
        <f>ROW()</f>
        <v>30</v>
      </c>
      <c r="AE30" s="22"/>
      <c r="AF30" s="32" t="s">
        <v>318</v>
      </c>
      <c r="AG30" s="32" t="s">
        <v>319</v>
      </c>
      <c r="AH30" s="22"/>
      <c r="AI30" s="22"/>
      <c r="AJ30" s="22"/>
      <c r="AK30" s="22"/>
      <c r="AL30" s="22"/>
      <c r="AM30" s="22"/>
      <c r="AN30" s="22"/>
      <c r="AO30" s="22"/>
      <c r="AP30" s="22"/>
      <c r="AR30" s="21" t="s">
        <v>177</v>
      </c>
      <c r="AS30" s="21" t="s">
        <v>320</v>
      </c>
      <c r="AT30" s="21" t="s">
        <v>304</v>
      </c>
      <c r="AU30" s="21">
        <v>0</v>
      </c>
      <c r="AV30" s="21" t="s">
        <v>163</v>
      </c>
      <c r="AW30" s="21" t="b">
        <v>0</v>
      </c>
      <c r="AY30" s="21" t="b">
        <v>1</v>
      </c>
      <c r="AZ30" s="21" t="b">
        <v>0</v>
      </c>
      <c r="BB30" s="30" t="s">
        <v>321</v>
      </c>
      <c r="BC30" s="21" t="s">
        <v>268</v>
      </c>
      <c r="BD30" s="21" t="b">
        <v>0</v>
      </c>
      <c r="BE30" s="21" t="str">
        <f>IF(AA87=1,"Yes",IF(AA87=2,"No",""))</f>
        <v>No</v>
      </c>
      <c r="BF30" s="21" t="str">
        <f>BE30</f>
        <v>No</v>
      </c>
      <c r="BG30" s="21" t="b">
        <v>0</v>
      </c>
      <c r="BH30" s="21" t="b">
        <v>0</v>
      </c>
      <c r="BJ30" s="21">
        <f>AA87</f>
        <v>2</v>
      </c>
      <c r="BK30" s="21" t="str">
        <f ca="1">_xlfn.FORMULATEXT(BJ30)</f>
        <v>=AA87</v>
      </c>
      <c r="BL30" s="21" t="s">
        <v>322</v>
      </c>
    </row>
    <row r="31" spans="1:64" ht="14.5">
      <c r="A31" s="21"/>
      <c r="G31" s="78"/>
      <c r="H31" s="78"/>
      <c r="I31" s="79"/>
      <c r="J31" s="79"/>
      <c r="K31" s="79"/>
      <c r="L31" s="79"/>
      <c r="R31" s="53"/>
      <c r="W31" s="22"/>
      <c r="X31" s="22"/>
      <c r="Y31" s="22"/>
      <c r="AA31" s="22"/>
      <c r="AB31" s="22"/>
      <c r="AC31" s="22"/>
      <c r="AD31" s="22">
        <f>ROW()</f>
        <v>31</v>
      </c>
      <c r="AE31" s="22"/>
      <c r="AF31" s="32" t="s">
        <v>323</v>
      </c>
      <c r="AG31" s="32" t="s">
        <v>324</v>
      </c>
      <c r="AH31" s="22"/>
      <c r="AI31" s="22"/>
      <c r="AJ31" s="22"/>
      <c r="AK31" s="22"/>
      <c r="AL31" s="22"/>
      <c r="AM31" s="22"/>
      <c r="AN31" s="22"/>
      <c r="AO31" s="22"/>
      <c r="AP31" s="22"/>
      <c r="AR31" s="21" t="s">
        <v>177</v>
      </c>
      <c r="AS31" s="21" t="s">
        <v>325</v>
      </c>
      <c r="AT31" s="21" t="s">
        <v>304</v>
      </c>
      <c r="AU31" s="21">
        <v>0</v>
      </c>
      <c r="AV31" s="21" t="s">
        <v>326</v>
      </c>
      <c r="AW31" s="21" t="b">
        <v>0</v>
      </c>
      <c r="AY31" s="21" t="b">
        <v>1</v>
      </c>
      <c r="AZ31" s="21" t="b">
        <v>0</v>
      </c>
      <c r="BB31" s="30" t="s">
        <v>327</v>
      </c>
      <c r="BC31" s="21" t="s">
        <v>127</v>
      </c>
      <c r="BD31" s="21" t="b">
        <v>0</v>
      </c>
      <c r="BE31" s="21">
        <f>G89</f>
        <v>0</v>
      </c>
      <c r="BF31" s="21" t="str">
        <f>""&amp;G89</f>
        <v/>
      </c>
      <c r="BG31" s="21" t="b">
        <v>0</v>
      </c>
      <c r="BH31" s="21" t="b">
        <v>0</v>
      </c>
      <c r="BK31" s="21" t="str">
        <f ca="1">_xlfn.FORMULATEXT(BE31)</f>
        <v>=G89</v>
      </c>
      <c r="BL31" s="21" t="str">
        <f ca="1">_xlfn.FORMULATEXT(BE31)</f>
        <v>=G89</v>
      </c>
    </row>
    <row r="32" spans="1:64" ht="14.5">
      <c r="A32" s="21"/>
      <c r="B32" s="590" t="s">
        <v>328</v>
      </c>
      <c r="C32" s="590"/>
      <c r="D32" s="590"/>
      <c r="E32" s="590"/>
      <c r="F32" s="80"/>
      <c r="G32" s="80"/>
      <c r="W32" s="22"/>
      <c r="X32" s="22"/>
      <c r="Y32" s="22"/>
      <c r="AA32" s="22"/>
      <c r="AB32" s="22"/>
      <c r="AC32" s="22"/>
      <c r="AD32" s="22">
        <f>ROW()</f>
        <v>32</v>
      </c>
      <c r="AE32" s="22"/>
      <c r="AF32" s="32" t="s">
        <v>329</v>
      </c>
      <c r="AG32" s="32" t="s">
        <v>330</v>
      </c>
      <c r="AH32" s="22"/>
      <c r="AI32" s="22"/>
      <c r="AJ32" s="22"/>
      <c r="AK32" s="22"/>
      <c r="AL32" s="22"/>
      <c r="AM32" s="22"/>
      <c r="AN32" s="22"/>
      <c r="AO32" s="22"/>
      <c r="AP32" s="22"/>
      <c r="AR32" s="21" t="s">
        <v>177</v>
      </c>
      <c r="AS32" s="81" t="s">
        <v>331</v>
      </c>
      <c r="AT32" s="21" t="s">
        <v>304</v>
      </c>
      <c r="AU32" s="21">
        <v>0</v>
      </c>
      <c r="AV32" s="21" t="s">
        <v>332</v>
      </c>
      <c r="AW32" s="21" t="b">
        <v>1</v>
      </c>
      <c r="AY32" s="21" t="b">
        <v>1</v>
      </c>
      <c r="AZ32" s="21" t="b">
        <v>0</v>
      </c>
      <c r="BB32" s="30" t="s">
        <v>333</v>
      </c>
      <c r="BC32" s="21" t="s">
        <v>127</v>
      </c>
      <c r="BD32" s="21" t="b">
        <v>0</v>
      </c>
      <c r="BE32" s="21">
        <f>G91</f>
        <v>0</v>
      </c>
      <c r="BF32" s="21" t="str">
        <f>""&amp;G91</f>
        <v/>
      </c>
      <c r="BG32" s="21" t="b">
        <v>0</v>
      </c>
      <c r="BH32" s="21" t="b">
        <v>0</v>
      </c>
      <c r="BK32" s="21" t="str">
        <f ca="1">_xlfn.FORMULATEXT(BE32)</f>
        <v>=G91</v>
      </c>
      <c r="BL32" s="21" t="str">
        <f ca="1">_xlfn.FORMULATEXT(BE32)</f>
        <v>=G91</v>
      </c>
    </row>
    <row r="33" spans="1:64" ht="14.5">
      <c r="A33" s="21"/>
      <c r="B33" s="547" t="s">
        <v>334</v>
      </c>
      <c r="C33" s="546"/>
      <c r="D33" s="546"/>
      <c r="E33" s="548"/>
      <c r="F33" s="53"/>
      <c r="G33" s="53"/>
      <c r="H33" s="53"/>
      <c r="I33" s="53"/>
      <c r="J33" s="53"/>
      <c r="K33" s="53"/>
      <c r="L33" s="53"/>
      <c r="M33" s="53"/>
      <c r="N33" s="53"/>
      <c r="O33" s="53"/>
      <c r="P33" s="53"/>
      <c r="Q33" s="53"/>
      <c r="W33" s="22"/>
      <c r="X33" s="22"/>
      <c r="Y33" s="22"/>
      <c r="AA33" s="22"/>
      <c r="AB33" s="22"/>
      <c r="AC33" s="22"/>
      <c r="AD33" s="22">
        <f>ROW()</f>
        <v>33</v>
      </c>
      <c r="AE33" s="22"/>
      <c r="AF33" s="32" t="s">
        <v>335</v>
      </c>
      <c r="AG33" s="32" t="s">
        <v>336</v>
      </c>
      <c r="AH33" s="22"/>
      <c r="AI33" s="22"/>
      <c r="AJ33" s="22"/>
      <c r="AK33" s="22"/>
      <c r="AL33" s="22"/>
      <c r="AM33" s="22"/>
      <c r="AN33" s="22"/>
      <c r="AO33" s="22"/>
      <c r="AP33" s="22"/>
      <c r="AR33" s="21" t="s">
        <v>189</v>
      </c>
      <c r="AS33" s="81" t="s">
        <v>337</v>
      </c>
      <c r="AT33" s="21" t="s">
        <v>338</v>
      </c>
      <c r="AU33" s="21">
        <v>0</v>
      </c>
      <c r="AV33" s="21" t="s">
        <v>121</v>
      </c>
      <c r="AW33" s="21" t="b">
        <v>0</v>
      </c>
      <c r="AY33" s="21" t="b">
        <v>0</v>
      </c>
      <c r="AZ33" s="21" t="b">
        <v>0</v>
      </c>
      <c r="BB33" s="30" t="s">
        <v>339</v>
      </c>
      <c r="BC33" s="21" t="s">
        <v>268</v>
      </c>
      <c r="BD33" s="21" t="b">
        <v>0</v>
      </c>
      <c r="BE33" s="21" t="str">
        <f>IF(AA97=1,"Yes",IF(AA97=2,"No",""))</f>
        <v>No</v>
      </c>
      <c r="BF33" s="21" t="str">
        <f>BE33</f>
        <v>No</v>
      </c>
      <c r="BG33" s="21" t="b">
        <v>0</v>
      </c>
      <c r="BH33" s="21" t="b">
        <v>0</v>
      </c>
      <c r="BJ33" s="21">
        <f>AA97</f>
        <v>2</v>
      </c>
      <c r="BK33" s="21" t="str">
        <f ca="1">_xlfn.FORMULATEXT(BJ33)</f>
        <v>=AA97</v>
      </c>
      <c r="BL33" s="21" t="s">
        <v>340</v>
      </c>
    </row>
    <row r="34" spans="1:64" ht="14.5">
      <c r="A34" s="21"/>
      <c r="W34" s="22"/>
      <c r="X34" s="22"/>
      <c r="Y34" s="22"/>
      <c r="AA34" s="22"/>
      <c r="AB34" s="22"/>
      <c r="AC34" s="22"/>
      <c r="AD34" s="22">
        <f>ROW()</f>
        <v>34</v>
      </c>
      <c r="AE34" s="22"/>
      <c r="AF34" s="32" t="s">
        <v>341</v>
      </c>
      <c r="AG34" s="32" t="s">
        <v>342</v>
      </c>
      <c r="AH34" s="22"/>
      <c r="AI34" s="22"/>
      <c r="AJ34" s="22"/>
      <c r="AK34" s="22"/>
      <c r="AL34" s="22"/>
      <c r="AM34" s="22"/>
      <c r="AN34" s="22"/>
      <c r="AO34" s="22"/>
      <c r="AP34" s="22"/>
      <c r="AR34" s="21" t="s">
        <v>189</v>
      </c>
      <c r="AS34" s="81" t="s">
        <v>343</v>
      </c>
      <c r="AT34" s="21" t="s">
        <v>338</v>
      </c>
      <c r="AU34" s="21">
        <v>0</v>
      </c>
      <c r="AV34" s="21" t="s">
        <v>344</v>
      </c>
      <c r="AW34" s="21" t="b">
        <v>0</v>
      </c>
      <c r="AY34" s="21" t="b">
        <v>1</v>
      </c>
      <c r="AZ34" s="21" t="b">
        <v>0</v>
      </c>
      <c r="BB34" s="30" t="s">
        <v>345</v>
      </c>
      <c r="BC34" s="21" t="s">
        <v>127</v>
      </c>
      <c r="BD34" s="21" t="b">
        <v>0</v>
      </c>
      <c r="BE34" s="21">
        <f>G99</f>
        <v>0</v>
      </c>
      <c r="BF34" s="21" t="str">
        <f>""&amp;G99</f>
        <v/>
      </c>
      <c r="BG34" s="21" t="b">
        <v>0</v>
      </c>
      <c r="BH34" s="21" t="b">
        <v>0</v>
      </c>
      <c r="BK34" s="21" t="str">
        <f ca="1">_xlfn.FORMULATEXT(BE34)</f>
        <v>=G99</v>
      </c>
      <c r="BL34" s="21" t="str">
        <f ca="1">_xlfn.FORMULATEXT(BE34)</f>
        <v>=G99</v>
      </c>
    </row>
    <row r="35" spans="1:81" s="710" customFormat="1" ht="14.5" hidden="1">
      <c r="A35" s="710" t="s">
        <v>673</v>
      </c>
      <c r="B35" s="711" t="s">
        <v>346</v>
      </c>
      <c r="C35" s="711"/>
      <c r="D35" s="711"/>
      <c r="E35" s="711"/>
      <c r="F35" s="711"/>
      <c r="G35" s="711"/>
      <c r="H35" s="711"/>
      <c r="I35" s="711"/>
      <c r="J35" s="710"/>
      <c r="K35" s="710"/>
      <c r="L35" s="710"/>
      <c r="M35" s="710"/>
      <c r="N35" s="710"/>
      <c r="O35" s="710"/>
      <c r="P35" s="710"/>
      <c r="Q35" s="710"/>
      <c r="R35" s="712"/>
      <c r="S35" s="710"/>
      <c r="T35" s="710"/>
      <c r="U35" s="710"/>
      <c r="V35" s="710"/>
      <c r="W35" s="22"/>
      <c r="X35" s="22"/>
      <c r="Y35" s="22"/>
      <c r="Z35" s="710"/>
      <c r="AA35" s="22"/>
      <c r="AB35" s="22"/>
      <c r="AC35" s="22"/>
      <c r="AD35" s="22">
        <f>ROW()</f>
        <v>35</v>
      </c>
      <c r="AE35" s="22"/>
      <c r="AF35" s="32" t="s">
        <v>347</v>
      </c>
      <c r="AG35" s="32" t="s">
        <v>348</v>
      </c>
      <c r="AH35" s="22"/>
      <c r="AI35" s="22"/>
      <c r="AJ35" s="22"/>
      <c r="AK35" s="22"/>
      <c r="AL35" s="22"/>
      <c r="AM35" s="22"/>
      <c r="AN35" s="22"/>
      <c r="AO35" s="22"/>
      <c r="AP35" s="22"/>
      <c r="AQ35" s="710"/>
      <c r="AR35" s="710" t="s">
        <v>189</v>
      </c>
      <c r="AS35" s="713" t="s">
        <v>349</v>
      </c>
      <c r="AT35" s="710" t="s">
        <v>338</v>
      </c>
      <c r="AU35" s="710">
        <v>0</v>
      </c>
      <c r="AV35" s="710" t="s">
        <v>350</v>
      </c>
      <c r="AW35" s="710" t="b">
        <v>0</v>
      </c>
      <c r="AX35" s="710"/>
      <c r="AY35" s="710" t="b">
        <v>1</v>
      </c>
      <c r="AZ35" s="710" t="b">
        <v>0</v>
      </c>
      <c r="BA35" s="710"/>
      <c r="BB35" s="714" t="s">
        <v>351</v>
      </c>
      <c r="BC35" s="710" t="s">
        <v>127</v>
      </c>
      <c r="BD35" s="710" t="b">
        <v>0</v>
      </c>
      <c r="BE35" s="710">
        <f>G101</f>
        <v>0</v>
      </c>
      <c r="BF35" s="710" t="str">
        <f>""&amp;G101</f>
        <v/>
      </c>
      <c r="BG35" s="710" t="b">
        <v>1</v>
      </c>
      <c r="BH35" s="710" t="b">
        <v>1</v>
      </c>
      <c r="BI35" s="710"/>
      <c r="BJ35" s="710"/>
      <c r="BK35" s="710" t="str">
        <f ca="1">_xlfn.FORMULATEXT(BE35)</f>
        <v>=G101</v>
      </c>
      <c r="BL35" s="710" t="str">
        <f ca="1">_xlfn.FORMULATEXT(BE35)</f>
        <v>=G101</v>
      </c>
      <c r="BM35" s="710"/>
      <c r="BN35" s="710"/>
      <c r="BO35" s="710"/>
      <c r="BP35" s="710"/>
      <c r="BQ35" s="710"/>
      <c r="BR35" s="710"/>
      <c r="BS35" s="710"/>
      <c r="BT35" s="710"/>
      <c r="BU35" s="710"/>
      <c r="BV35" s="710"/>
      <c r="BW35" s="710"/>
      <c r="BX35" s="710"/>
      <c r="BY35" s="710"/>
      <c r="BZ35" s="710"/>
      <c r="CA35" s="710"/>
      <c r="CB35" s="710"/>
      <c r="CC35" s="710"/>
    </row>
    <row r="36" spans="1:81" s="710" customFormat="1" ht="14.5" hidden="1">
      <c r="A36" s="710" t="s">
        <v>673</v>
      </c>
      <c r="B36" s="710"/>
      <c r="C36" s="710"/>
      <c r="D36" s="710"/>
      <c r="E36" s="710"/>
      <c r="F36" s="710"/>
      <c r="G36" s="710"/>
      <c r="H36" s="710"/>
      <c r="I36" s="710"/>
      <c r="J36" s="710"/>
      <c r="K36" s="710"/>
      <c r="L36" s="710"/>
      <c r="M36" s="710"/>
      <c r="N36" s="710"/>
      <c r="O36" s="710"/>
      <c r="P36" s="710"/>
      <c r="Q36" s="710"/>
      <c r="R36" s="710"/>
      <c r="S36" s="710"/>
      <c r="T36" s="710"/>
      <c r="U36" s="710"/>
      <c r="V36" s="710"/>
      <c r="W36" s="22"/>
      <c r="X36" s="22"/>
      <c r="Y36" s="22"/>
      <c r="Z36" s="710"/>
      <c r="AA36" s="591" t="s">
        <v>673</v>
      </c>
      <c r="AB36" s="22" t="str">
        <f>IF(AC36="0",1,IF(AC36="1",2,IF(AC36="2",3,"")))</f>
        <v/>
      </c>
      <c r="AC36" s="22"/>
      <c r="AD36" s="22">
        <f>ROW()</f>
        <v>36</v>
      </c>
      <c r="AE36" s="22"/>
      <c r="AF36" s="32" t="s">
        <v>352</v>
      </c>
      <c r="AG36" s="32" t="s">
        <v>353</v>
      </c>
      <c r="AH36" s="22"/>
      <c r="AI36" s="22"/>
      <c r="AJ36" s="22"/>
      <c r="AK36" s="22"/>
      <c r="AL36" s="22"/>
      <c r="AM36" s="22"/>
      <c r="AN36" s="22"/>
      <c r="AO36" s="22"/>
      <c r="AP36" s="22"/>
      <c r="AQ36" s="710"/>
      <c r="AR36" s="710" t="s">
        <v>199</v>
      </c>
      <c r="AS36" s="710" t="s">
        <v>354</v>
      </c>
      <c r="AT36" s="710" t="s">
        <v>355</v>
      </c>
      <c r="AU36" s="710">
        <v>0</v>
      </c>
      <c r="AV36" s="710" t="s">
        <v>121</v>
      </c>
      <c r="AW36" s="710" t="b">
        <v>0</v>
      </c>
      <c r="AX36" s="710"/>
      <c r="AY36" s="710" t="b">
        <v>1</v>
      </c>
      <c r="AZ36" s="710" t="b">
        <v>0</v>
      </c>
      <c r="BA36" s="710"/>
      <c r="BB36" s="714" t="s">
        <v>356</v>
      </c>
      <c r="BC36" s="710" t="s">
        <v>127</v>
      </c>
      <c r="BD36" s="710" t="b">
        <v>0</v>
      </c>
      <c r="BE36" s="710">
        <f>G103</f>
        <v>0</v>
      </c>
      <c r="BF36" s="710" t="str">
        <f>""&amp;G103</f>
        <v/>
      </c>
      <c r="BG36" s="710" t="b">
        <v>1</v>
      </c>
      <c r="BH36" s="710" t="b">
        <v>0</v>
      </c>
      <c r="BI36" s="710"/>
      <c r="BJ36" s="710"/>
      <c r="BK36" s="710" t="str">
        <f ca="1">_xlfn.FORMULATEXT(BE36)</f>
        <v>=G103</v>
      </c>
      <c r="BL36" s="710" t="str">
        <f ca="1">_xlfn.FORMULATEXT(BE36)</f>
        <v>=G103</v>
      </c>
      <c r="BM36" s="710"/>
      <c r="BN36" s="710"/>
      <c r="BO36" s="710"/>
      <c r="BP36" s="710"/>
      <c r="BQ36" s="710"/>
      <c r="BR36" s="710"/>
      <c r="BS36" s="710"/>
      <c r="BT36" s="710"/>
      <c r="BU36" s="710"/>
      <c r="BV36" s="710"/>
      <c r="BW36" s="710"/>
      <c r="BX36" s="710"/>
      <c r="BY36" s="710"/>
      <c r="BZ36" s="710"/>
      <c r="CA36" s="710"/>
      <c r="CB36" s="710"/>
      <c r="CC36" s="710"/>
    </row>
    <row r="37" spans="1:81" s="710" customFormat="1" ht="14.5" hidden="1">
      <c r="A37" s="710" t="s">
        <v>673</v>
      </c>
      <c r="B37" s="710"/>
      <c r="C37" s="710"/>
      <c r="D37" s="710"/>
      <c r="E37" s="710"/>
      <c r="F37" s="710"/>
      <c r="G37" s="710"/>
      <c r="H37" s="710"/>
      <c r="I37" s="710"/>
      <c r="J37" s="710"/>
      <c r="K37" s="710"/>
      <c r="L37" s="710"/>
      <c r="M37" s="710"/>
      <c r="N37" s="710"/>
      <c r="O37" s="710"/>
      <c r="P37" s="710"/>
      <c r="Q37" s="710"/>
      <c r="R37" s="710"/>
      <c r="S37" s="710"/>
      <c r="T37" s="710"/>
      <c r="U37" s="710"/>
      <c r="V37" s="710"/>
      <c r="W37" s="22"/>
      <c r="X37" s="22"/>
      <c r="Y37" s="22"/>
      <c r="Z37" s="710"/>
      <c r="AA37" s="22"/>
      <c r="AB37" s="22"/>
      <c r="AC37" s="22"/>
      <c r="AD37" s="22">
        <f>ROW()</f>
        <v>37</v>
      </c>
      <c r="AE37" s="22"/>
      <c r="AF37" s="32" t="s">
        <v>357</v>
      </c>
      <c r="AG37" s="32" t="s">
        <v>358</v>
      </c>
      <c r="AH37" s="22"/>
      <c r="AI37" s="22"/>
      <c r="AJ37" s="22"/>
      <c r="AK37" s="22"/>
      <c r="AL37" s="22"/>
      <c r="AM37" s="22"/>
      <c r="AN37" s="22"/>
      <c r="AO37" s="22"/>
      <c r="AP37" s="22"/>
      <c r="AQ37" s="710"/>
      <c r="AR37" s="710"/>
      <c r="AS37" s="710"/>
      <c r="AT37" s="710"/>
      <c r="AU37" s="710"/>
      <c r="AV37" s="710"/>
      <c r="AW37" s="710"/>
      <c r="AX37" s="710"/>
      <c r="AY37" s="710"/>
      <c r="AZ37" s="710"/>
      <c r="BA37" s="710"/>
      <c r="BB37" s="714" t="s">
        <v>359</v>
      </c>
      <c r="BC37" s="710" t="s">
        <v>268</v>
      </c>
      <c r="BD37" s="710" t="b">
        <v>0</v>
      </c>
      <c r="BE37" s="710" t="str">
        <f>IF(AA108=1,"Y","N")</f>
        <v>N</v>
      </c>
      <c r="BF37" s="710" t="str">
        <f>BE37</f>
        <v>N</v>
      </c>
      <c r="BG37" s="710" t="b">
        <v>0</v>
      </c>
      <c r="BH37" s="710" t="b">
        <v>0</v>
      </c>
      <c r="BI37" s="710"/>
      <c r="BJ37" s="710">
        <f>AA108</f>
        <v>2</v>
      </c>
      <c r="BK37" s="710" t="str">
        <f ca="1">_xlfn.FORMULATEXT(BJ37)</f>
        <v>=AA108</v>
      </c>
      <c r="BL37" s="710" t="s">
        <v>360</v>
      </c>
      <c r="BM37" s="710"/>
      <c r="BN37" s="710"/>
      <c r="BO37" s="710"/>
      <c r="BP37" s="710"/>
      <c r="BQ37" s="710"/>
      <c r="BR37" s="710"/>
      <c r="BS37" s="710"/>
      <c r="BT37" s="710"/>
      <c r="BU37" s="710"/>
      <c r="BV37" s="710"/>
      <c r="BW37" s="710"/>
      <c r="BX37" s="710"/>
      <c r="BY37" s="710"/>
      <c r="BZ37" s="710"/>
      <c r="CA37" s="710"/>
      <c r="CB37" s="710"/>
      <c r="CC37" s="710"/>
    </row>
    <row r="38" spans="1:81" s="710" customFormat="1" ht="14.5" hidden="1">
      <c r="A38" s="710" t="s">
        <v>673</v>
      </c>
      <c r="B38" s="711" t="s">
        <v>361</v>
      </c>
      <c r="C38" s="711"/>
      <c r="D38" s="711"/>
      <c r="E38" s="711"/>
      <c r="F38" s="711"/>
      <c r="G38" s="711"/>
      <c r="H38" s="711"/>
      <c r="I38" s="711"/>
      <c r="J38" s="710"/>
      <c r="K38" s="710"/>
      <c r="L38" s="710"/>
      <c r="M38" s="710"/>
      <c r="N38" s="710"/>
      <c r="O38" s="710"/>
      <c r="P38" s="710"/>
      <c r="Q38" s="710"/>
      <c r="R38" s="710"/>
      <c r="S38" s="710"/>
      <c r="T38" s="710"/>
      <c r="U38" s="710"/>
      <c r="V38" s="710"/>
      <c r="W38" s="22"/>
      <c r="X38" s="22"/>
      <c r="Y38" s="22"/>
      <c r="Z38" s="710"/>
      <c r="AA38" s="22"/>
      <c r="AB38" s="22"/>
      <c r="AC38" s="22"/>
      <c r="AD38" s="22">
        <f>ROW()</f>
        <v>38</v>
      </c>
      <c r="AE38" s="22"/>
      <c r="AF38" s="32" t="s">
        <v>329</v>
      </c>
      <c r="AG38" s="32" t="s">
        <v>362</v>
      </c>
      <c r="AH38" s="22"/>
      <c r="AI38" s="22"/>
      <c r="AJ38" s="22"/>
      <c r="AK38" s="22"/>
      <c r="AL38" s="22"/>
      <c r="AM38" s="22"/>
      <c r="AN38" s="22"/>
      <c r="AO38" s="22"/>
      <c r="AP38" s="22"/>
      <c r="AQ38" s="710"/>
      <c r="AR38" s="710"/>
      <c r="AS38" s="710"/>
      <c r="AT38" s="710"/>
      <c r="AU38" s="710"/>
      <c r="AV38" s="710"/>
      <c r="AW38" s="710"/>
      <c r="AX38" s="710"/>
      <c r="AY38" s="710"/>
      <c r="AZ38" s="710"/>
      <c r="BA38" s="710"/>
      <c r="BB38" s="714" t="s">
        <v>363</v>
      </c>
      <c r="BC38" s="710" t="s">
        <v>127</v>
      </c>
      <c r="BD38" s="710" t="b">
        <v>0</v>
      </c>
      <c r="BE38" s="710" t="str">
        <f>L68</f>
        <v>26/06/2026</v>
      </c>
      <c r="BF38" s="710" t="str">
        <f>""&amp;L68</f>
        <v>26/06/2026</v>
      </c>
      <c r="BG38" s="710" t="b">
        <v>0</v>
      </c>
      <c r="BH38" s="710" t="b">
        <v>0</v>
      </c>
      <c r="BI38" s="710"/>
      <c r="BJ38" s="710"/>
      <c r="BK38" s="710" t="str">
        <f ca="1">_xlfn.FORMULATEXT(BE38)</f>
        <v>=L68</v>
      </c>
      <c r="BL38" s="710" t="str">
        <f ca="1">_xlfn.FORMULATEXT(BE38)</f>
        <v>=L68</v>
      </c>
      <c r="BM38" s="710"/>
      <c r="BN38" s="710"/>
      <c r="BO38" s="710"/>
      <c r="BP38" s="710"/>
      <c r="BQ38" s="710"/>
      <c r="BR38" s="710"/>
      <c r="BS38" s="710"/>
      <c r="BT38" s="710"/>
      <c r="BU38" s="710"/>
      <c r="BV38" s="710"/>
      <c r="BW38" s="710"/>
      <c r="BX38" s="710"/>
      <c r="BY38" s="710"/>
      <c r="BZ38" s="710"/>
      <c r="CA38" s="710"/>
      <c r="CB38" s="710"/>
      <c r="CC38" s="710"/>
    </row>
    <row r="39" spans="1:81" s="710" customFormat="1" ht="14.5" hidden="1">
      <c r="A39" s="710" t="s">
        <v>673</v>
      </c>
      <c r="B39" s="710"/>
      <c r="C39" s="710"/>
      <c r="D39" s="710"/>
      <c r="E39" s="710"/>
      <c r="F39" s="710"/>
      <c r="G39" s="710"/>
      <c r="H39" s="710"/>
      <c r="I39" s="710"/>
      <c r="J39" s="710"/>
      <c r="K39" s="710"/>
      <c r="L39" s="710"/>
      <c r="M39" s="710"/>
      <c r="N39" s="710"/>
      <c r="O39" s="710"/>
      <c r="P39" s="710"/>
      <c r="Q39" s="710"/>
      <c r="R39" s="710"/>
      <c r="S39" s="710"/>
      <c r="T39" s="710"/>
      <c r="U39" s="710"/>
      <c r="V39" s="710"/>
      <c r="W39" s="22"/>
      <c r="X39" s="22"/>
      <c r="Y39" s="22"/>
      <c r="Z39" s="710"/>
      <c r="AA39" s="592" t="s">
        <v>673</v>
      </c>
      <c r="AB39" s="22" t="str">
        <f>IF(AC39="0",1,IF(AC39="1",2,IF(AC39="2",3,"")))</f>
        <v/>
      </c>
      <c r="AC39" s="22"/>
      <c r="AD39" s="22">
        <f>ROW()</f>
        <v>39</v>
      </c>
      <c r="AE39" s="22"/>
      <c r="AF39" s="32" t="s">
        <v>335</v>
      </c>
      <c r="AG39" s="32" t="s">
        <v>364</v>
      </c>
      <c r="AH39" s="22"/>
      <c r="AI39" s="22"/>
      <c r="AJ39" s="22"/>
      <c r="AK39" s="22"/>
      <c r="AL39" s="22"/>
      <c r="AM39" s="22"/>
      <c r="AN39" s="22"/>
      <c r="AO39" s="22"/>
      <c r="AP39" s="22"/>
      <c r="AQ39" s="710"/>
      <c r="AR39" s="710"/>
      <c r="AS39" s="710"/>
      <c r="AT39" s="710"/>
      <c r="AU39" s="710"/>
      <c r="AV39" s="710"/>
      <c r="AW39" s="710"/>
      <c r="AX39" s="710"/>
      <c r="AY39" s="710"/>
      <c r="AZ39" s="710"/>
      <c r="BA39" s="710"/>
      <c r="BB39" s="714" t="s">
        <v>365</v>
      </c>
      <c r="BC39" s="710" t="s">
        <v>127</v>
      </c>
      <c r="BD39" s="710" t="b">
        <v>0</v>
      </c>
      <c r="BE39" s="710" t="str">
        <f>L77</f>
        <v>26/06/2026</v>
      </c>
      <c r="BF39" s="710" t="str">
        <f>""&amp;L77</f>
        <v>26/06/2026</v>
      </c>
      <c r="BG39" s="710" t="b">
        <v>0</v>
      </c>
      <c r="BH39" s="710" t="b">
        <v>0</v>
      </c>
      <c r="BI39" s="710"/>
      <c r="BJ39" s="710"/>
      <c r="BK39" s="710" t="str">
        <f ca="1">_xlfn.FORMULATEXT(BE39)</f>
        <v>=L77</v>
      </c>
      <c r="BL39" s="710" t="str">
        <f ca="1">_xlfn.FORMULATEXT(BE39)</f>
        <v>=L77</v>
      </c>
      <c r="BM39" s="710"/>
      <c r="BN39" s="710"/>
      <c r="BO39" s="710"/>
      <c r="BP39" s="710"/>
      <c r="BQ39" s="710"/>
      <c r="BR39" s="710"/>
      <c r="BS39" s="710"/>
      <c r="BT39" s="710"/>
      <c r="BU39" s="710"/>
      <c r="BV39" s="710"/>
      <c r="BW39" s="710"/>
      <c r="BX39" s="710"/>
      <c r="BY39" s="710"/>
      <c r="BZ39" s="710"/>
      <c r="CA39" s="710"/>
      <c r="CB39" s="710"/>
      <c r="CC39" s="710"/>
    </row>
    <row r="40" spans="1:81" s="710" customFormat="1" ht="14.5" hidden="1">
      <c r="A40" s="710" t="s">
        <v>673</v>
      </c>
      <c r="B40" s="710"/>
      <c r="C40" s="710"/>
      <c r="D40" s="710"/>
      <c r="E40" s="710"/>
      <c r="F40" s="710"/>
      <c r="G40" s="710"/>
      <c r="H40" s="710"/>
      <c r="I40" s="710"/>
      <c r="J40" s="710"/>
      <c r="K40" s="710"/>
      <c r="L40" s="710"/>
      <c r="M40" s="710"/>
      <c r="N40" s="710"/>
      <c r="O40" s="710"/>
      <c r="P40" s="710"/>
      <c r="Q40" s="710"/>
      <c r="R40" s="710"/>
      <c r="S40" s="710"/>
      <c r="T40" s="710"/>
      <c r="U40" s="710"/>
      <c r="V40" s="710"/>
      <c r="W40" s="22"/>
      <c r="X40" s="22"/>
      <c r="Y40" s="22"/>
      <c r="Z40" s="710"/>
      <c r="AA40" s="710"/>
      <c r="AB40" s="710"/>
      <c r="AC40" s="710"/>
      <c r="AD40" s="22">
        <f>ROW()</f>
        <v>40</v>
      </c>
      <c r="AE40" s="22"/>
      <c r="AF40" s="32" t="s">
        <v>341</v>
      </c>
      <c r="AG40" s="32" t="s">
        <v>366</v>
      </c>
      <c r="AH40" s="22"/>
      <c r="AI40" s="22"/>
      <c r="AJ40" s="22"/>
      <c r="AK40" s="22"/>
      <c r="AL40" s="22"/>
      <c r="AM40" s="22"/>
      <c r="AN40" s="22"/>
      <c r="AO40" s="22"/>
      <c r="AP40" s="22"/>
      <c r="AQ40" s="710"/>
      <c r="AR40" s="710"/>
      <c r="AS40" s="710"/>
      <c r="AT40" s="710"/>
      <c r="AU40" s="710"/>
      <c r="AV40" s="710"/>
      <c r="AW40" s="710"/>
      <c r="AX40" s="710"/>
      <c r="AY40" s="710"/>
      <c r="AZ40" s="710"/>
      <c r="BA40" s="710"/>
      <c r="BB40" s="714" t="s">
        <v>367</v>
      </c>
      <c r="BC40" s="710" t="s">
        <v>127</v>
      </c>
      <c r="BD40" s="710" t="b">
        <v>0</v>
      </c>
      <c r="BE40" s="710" t="str">
        <f>G113</f>
        <v>1</v>
      </c>
      <c r="BF40" s="710" t="str">
        <f>""&amp;G113</f>
        <v>1</v>
      </c>
      <c r="BG40" s="710" t="b">
        <v>0</v>
      </c>
      <c r="BH40" s="710" t="b">
        <v>0</v>
      </c>
      <c r="BI40" s="710"/>
      <c r="BJ40" s="710"/>
      <c r="BK40" s="710" t="str">
        <f ca="1">_xlfn.FORMULATEXT(BE40)</f>
        <v>=G113</v>
      </c>
      <c r="BL40" s="710" t="str">
        <f ca="1">_xlfn.FORMULATEXT(BE40)</f>
        <v>=G113</v>
      </c>
      <c r="BM40" s="710"/>
      <c r="BN40" s="710"/>
      <c r="BO40" s="710"/>
      <c r="BP40" s="710"/>
      <c r="BQ40" s="710"/>
      <c r="BR40" s="710"/>
      <c r="BS40" s="710"/>
      <c r="BT40" s="710"/>
      <c r="BU40" s="710"/>
      <c r="BV40" s="710"/>
      <c r="BW40" s="710"/>
      <c r="BX40" s="710"/>
      <c r="BY40" s="710"/>
      <c r="BZ40" s="710"/>
      <c r="CA40" s="710"/>
      <c r="CB40" s="710"/>
      <c r="CC40" s="710"/>
    </row>
    <row r="41" spans="1:81" s="710" customFormat="1" ht="14.5" hidden="1">
      <c r="A41" s="710" t="s">
        <v>673</v>
      </c>
      <c r="B41" s="715" t="s">
        <v>368</v>
      </c>
      <c r="C41" s="715"/>
      <c r="D41" s="715"/>
      <c r="E41" s="715"/>
      <c r="F41" s="716"/>
      <c r="G41" s="716"/>
      <c r="H41" s="716"/>
      <c r="I41" s="716"/>
      <c r="J41" s="716"/>
      <c r="K41" s="716"/>
      <c r="L41" s="710"/>
      <c r="M41" s="710"/>
      <c r="N41" s="710"/>
      <c r="O41" s="710"/>
      <c r="P41" s="710"/>
      <c r="Q41" s="710"/>
      <c r="R41" s="710"/>
      <c r="S41" s="710"/>
      <c r="T41" s="710"/>
      <c r="U41" s="710"/>
      <c r="V41" s="710"/>
      <c r="W41" s="22"/>
      <c r="X41" s="22"/>
      <c r="Y41" s="22"/>
      <c r="Z41" s="710"/>
      <c r="AA41" s="22"/>
      <c r="AB41" s="22"/>
      <c r="AC41" s="22"/>
      <c r="AD41" s="22">
        <f>ROW()</f>
        <v>41</v>
      </c>
      <c r="AE41" s="22"/>
      <c r="AF41" s="32" t="s">
        <v>347</v>
      </c>
      <c r="AG41" s="32" t="s">
        <v>369</v>
      </c>
      <c r="AH41" s="22"/>
      <c r="AI41" s="22"/>
      <c r="AJ41" s="22"/>
      <c r="AK41" s="22"/>
      <c r="AL41" s="22"/>
      <c r="AM41" s="22"/>
      <c r="AN41" s="22"/>
      <c r="AO41" s="22"/>
      <c r="AP41" s="22"/>
      <c r="AQ41" s="710"/>
      <c r="AR41" s="710"/>
      <c r="AS41" s="710"/>
      <c r="AT41" s="710"/>
      <c r="AU41" s="710"/>
      <c r="AV41" s="710"/>
      <c r="AW41" s="710"/>
      <c r="AX41" s="710"/>
      <c r="AY41" s="710"/>
      <c r="AZ41" s="710"/>
      <c r="BA41" s="710"/>
      <c r="BB41" s="714" t="s">
        <v>370</v>
      </c>
      <c r="BC41" s="710" t="s">
        <v>127</v>
      </c>
      <c r="BD41" s="710" t="b">
        <v>0</v>
      </c>
      <c r="BE41" s="710" t="str">
        <f>B113</f>
        <v>AC4439048</v>
      </c>
      <c r="BF41" s="710" t="str">
        <f>""&amp;B113</f>
        <v>AC4439048</v>
      </c>
      <c r="BG41" s="710" t="b">
        <v>0</v>
      </c>
      <c r="BH41" s="710" t="b">
        <v>0</v>
      </c>
      <c r="BI41" s="710"/>
      <c r="BJ41" s="710"/>
      <c r="BK41" s="710" t="str">
        <f ca="1">_xlfn.FORMULATEXT(BE41)</f>
        <v>=B113</v>
      </c>
      <c r="BL41" s="710" t="str">
        <f ca="1">_xlfn.FORMULATEXT(BE41)</f>
        <v>=B113</v>
      </c>
      <c r="BM41" s="710"/>
      <c r="BN41" s="710"/>
      <c r="BO41" s="710"/>
      <c r="BP41" s="710"/>
      <c r="BQ41" s="710"/>
      <c r="BR41" s="710"/>
      <c r="BS41" s="710"/>
      <c r="BT41" s="710"/>
      <c r="BU41" s="710"/>
      <c r="BV41" s="710"/>
      <c r="BW41" s="710"/>
      <c r="BX41" s="710"/>
      <c r="BY41" s="710"/>
      <c r="BZ41" s="710"/>
      <c r="CA41" s="710"/>
      <c r="CB41" s="710"/>
      <c r="CC41" s="710"/>
    </row>
    <row r="42" spans="1:81" s="710" customFormat="1" ht="14.5" hidden="1">
      <c r="A42" s="710" t="s">
        <v>673</v>
      </c>
      <c r="B42" s="586"/>
      <c r="C42" s="585"/>
      <c r="D42" s="585"/>
      <c r="E42" s="587"/>
      <c r="F42" s="710"/>
      <c r="G42" s="710"/>
      <c r="H42" s="710"/>
      <c r="I42" s="710"/>
      <c r="J42" s="710"/>
      <c r="K42" s="710"/>
      <c r="L42" s="710"/>
      <c r="M42" s="710"/>
      <c r="N42" s="710"/>
      <c r="O42" s="710"/>
      <c r="P42" s="710"/>
      <c r="Q42" s="710"/>
      <c r="R42" s="710"/>
      <c r="S42" s="710"/>
      <c r="T42" s="710"/>
      <c r="U42" s="710"/>
      <c r="V42" s="710"/>
      <c r="W42" s="22"/>
      <c r="X42" s="22"/>
      <c r="Y42" s="22"/>
      <c r="Z42" s="710"/>
      <c r="AA42" s="22"/>
      <c r="AB42" s="22"/>
      <c r="AC42" s="22"/>
      <c r="AD42" s="22">
        <f>ROW()</f>
        <v>42</v>
      </c>
      <c r="AE42" s="22"/>
      <c r="AF42" s="32" t="s">
        <v>352</v>
      </c>
      <c r="AG42" s="32" t="s">
        <v>371</v>
      </c>
      <c r="AH42" s="22"/>
      <c r="AI42" s="22"/>
      <c r="AJ42" s="22"/>
      <c r="AK42" s="22"/>
      <c r="AL42" s="22"/>
      <c r="AM42" s="22"/>
      <c r="AN42" s="22"/>
      <c r="AO42" s="22"/>
      <c r="AP42" s="22"/>
      <c r="AQ42" s="710"/>
      <c r="AR42" s="710"/>
      <c r="AS42" s="710"/>
      <c r="AT42" s="710"/>
      <c r="AU42" s="710"/>
      <c r="AV42" s="710"/>
      <c r="AW42" s="710"/>
      <c r="AX42" s="710"/>
      <c r="AY42" s="710"/>
      <c r="AZ42" s="710"/>
      <c r="BA42" s="710"/>
      <c r="BB42" s="714" t="s">
        <v>372</v>
      </c>
      <c r="BC42" s="710" t="s">
        <v>127</v>
      </c>
      <c r="BD42" s="710" t="b">
        <v>0</v>
      </c>
      <c r="BE42" s="710" t="str">
        <f>G152</f>
        <v>Commercial &amp; Industrial</v>
      </c>
      <c r="BF42" s="710" t="str">
        <f>""&amp;G152</f>
        <v>Commercial &amp; Industrial</v>
      </c>
      <c r="BG42" s="710" t="b">
        <v>0</v>
      </c>
      <c r="BH42" s="710" t="b">
        <v>0</v>
      </c>
      <c r="BI42" s="710"/>
      <c r="BJ42" s="710"/>
      <c r="BK42" s="710" t="str">
        <f ca="1">_xlfn.FORMULATEXT(BE42)</f>
        <v>=G152</v>
      </c>
      <c r="BL42" s="710" t="str">
        <f ca="1">_xlfn.FORMULATEXT(BE42)</f>
        <v>=G152</v>
      </c>
      <c r="BM42" s="710"/>
      <c r="BN42" s="710"/>
      <c r="BO42" s="710"/>
      <c r="BP42" s="710"/>
      <c r="BQ42" s="710"/>
      <c r="BR42" s="710"/>
      <c r="BS42" s="710"/>
      <c r="BT42" s="710"/>
      <c r="BU42" s="710"/>
      <c r="BV42" s="710"/>
      <c r="BW42" s="710"/>
      <c r="BX42" s="710"/>
      <c r="BY42" s="710"/>
      <c r="BZ42" s="710"/>
      <c r="CA42" s="710"/>
      <c r="CB42" s="710"/>
      <c r="CC42" s="710"/>
    </row>
    <row r="43" spans="1:81" s="710" customFormat="1" ht="14.5" hidden="1">
      <c r="A43" s="710" t="s">
        <v>673</v>
      </c>
      <c r="B43" s="710"/>
      <c r="C43" s="710"/>
      <c r="D43" s="710"/>
      <c r="E43" s="710"/>
      <c r="F43" s="710"/>
      <c r="G43" s="710"/>
      <c r="H43" s="710"/>
      <c r="I43" s="710"/>
      <c r="J43" s="717"/>
      <c r="K43" s="710"/>
      <c r="L43" s="710"/>
      <c r="M43" s="710"/>
      <c r="N43" s="710"/>
      <c r="O43" s="710"/>
      <c r="P43" s="710"/>
      <c r="Q43" s="710"/>
      <c r="R43" s="710"/>
      <c r="S43" s="710"/>
      <c r="T43" s="710"/>
      <c r="U43" s="710"/>
      <c r="V43" s="710"/>
      <c r="W43" s="22"/>
      <c r="X43" s="22"/>
      <c r="Y43" s="22"/>
      <c r="Z43" s="710"/>
      <c r="AA43" s="22"/>
      <c r="AB43" s="22"/>
      <c r="AC43" s="22"/>
      <c r="AD43" s="22">
        <f>ROW()</f>
        <v>43</v>
      </c>
      <c r="AE43" s="22"/>
      <c r="AF43" s="32" t="s">
        <v>357</v>
      </c>
      <c r="AG43" s="32" t="s">
        <v>373</v>
      </c>
      <c r="AH43" s="22"/>
      <c r="AI43" s="22"/>
      <c r="AJ43" s="22"/>
      <c r="AK43" s="22"/>
      <c r="AL43" s="22"/>
      <c r="AM43" s="22"/>
      <c r="AN43" s="22"/>
      <c r="AO43" s="22"/>
      <c r="AP43" s="22"/>
      <c r="AQ43" s="710"/>
      <c r="AR43" s="710"/>
      <c r="AS43" s="710"/>
      <c r="AT43" s="710"/>
      <c r="AU43" s="710"/>
      <c r="AV43" s="710"/>
      <c r="AW43" s="710"/>
      <c r="AX43" s="710"/>
      <c r="AY43" s="710"/>
      <c r="AZ43" s="710"/>
      <c r="BA43" s="710"/>
      <c r="BB43" s="714" t="s">
        <v>374</v>
      </c>
      <c r="BC43" s="710" t="s">
        <v>268</v>
      </c>
      <c r="BD43" s="710" t="b">
        <v>0</v>
      </c>
      <c r="BE43" s="710" t="str">
        <f>IF(AA157=1,"Y","N")</f>
        <v>Y</v>
      </c>
      <c r="BF43" s="710" t="str">
        <f>BE43</f>
        <v>Y</v>
      </c>
      <c r="BG43" s="710" t="b">
        <v>0</v>
      </c>
      <c r="BH43" s="710" t="b">
        <v>0</v>
      </c>
      <c r="BI43" s="710"/>
      <c r="BJ43" s="710">
        <f>AA157</f>
        <v>1</v>
      </c>
      <c r="BK43" s="710" t="str">
        <f ca="1">_xlfn.FORMULATEXT(BJ43)</f>
        <v>=AA157</v>
      </c>
      <c r="BL43" s="710" t="s">
        <v>375</v>
      </c>
      <c r="BM43" s="710"/>
      <c r="BN43" s="710"/>
      <c r="BO43" s="710"/>
      <c r="BP43" s="710"/>
      <c r="BQ43" s="710"/>
      <c r="BR43" s="710"/>
      <c r="BS43" s="710"/>
      <c r="BT43" s="710"/>
      <c r="BU43" s="710"/>
      <c r="BV43" s="710"/>
      <c r="BW43" s="710"/>
      <c r="BX43" s="710"/>
      <c r="BY43" s="710"/>
      <c r="BZ43" s="710"/>
      <c r="CA43" s="710"/>
      <c r="CB43" s="710"/>
      <c r="CC43" s="710"/>
    </row>
    <row r="44" spans="1:81" s="710" customFormat="1" ht="14.5" hidden="1">
      <c r="A44" s="710" t="s">
        <v>673</v>
      </c>
      <c r="B44" s="718" t="s">
        <v>376</v>
      </c>
      <c r="C44" s="718"/>
      <c r="D44" s="718"/>
      <c r="E44" s="710"/>
      <c r="F44" s="710"/>
      <c r="G44" s="710"/>
      <c r="H44" s="710"/>
      <c r="I44" s="710"/>
      <c r="J44" s="710"/>
      <c r="K44" s="710"/>
      <c r="L44" s="710"/>
      <c r="M44" s="710"/>
      <c r="N44" s="710"/>
      <c r="O44" s="710"/>
      <c r="P44" s="710"/>
      <c r="Q44" s="710"/>
      <c r="R44" s="710"/>
      <c r="S44" s="710"/>
      <c r="T44" s="710"/>
      <c r="U44" s="710"/>
      <c r="V44" s="710"/>
      <c r="W44" s="22"/>
      <c r="X44" s="22"/>
      <c r="Y44" s="22"/>
      <c r="Z44" s="710"/>
      <c r="AA44" s="22"/>
      <c r="AB44" s="22"/>
      <c r="AC44" s="22"/>
      <c r="AD44" s="22">
        <f>ROW()</f>
        <v>44</v>
      </c>
      <c r="AE44" s="22"/>
      <c r="AF44" s="88" t="s">
        <v>377</v>
      </c>
      <c r="AG44" s="88" t="s">
        <v>378</v>
      </c>
      <c r="AH44" s="22"/>
      <c r="AI44" s="22"/>
      <c r="AJ44" s="22"/>
      <c r="AK44" s="22"/>
      <c r="AL44" s="22"/>
      <c r="AM44" s="22"/>
      <c r="AN44" s="22"/>
      <c r="AO44" s="22"/>
      <c r="AP44" s="22"/>
      <c r="AQ44" s="710"/>
      <c r="AR44" s="710"/>
      <c r="AS44" s="710"/>
      <c r="AT44" s="710"/>
      <c r="AU44" s="710"/>
      <c r="AV44" s="710"/>
      <c r="AW44" s="710"/>
      <c r="AX44" s="710"/>
      <c r="AY44" s="710"/>
      <c r="AZ44" s="710"/>
      <c r="BA44" s="710"/>
      <c r="BB44" s="714" t="s">
        <v>379</v>
      </c>
      <c r="BC44" s="710" t="s">
        <v>268</v>
      </c>
      <c r="BD44" s="710" t="b">
        <v>0</v>
      </c>
      <c r="BE44" s="710" t="str">
        <f>IF(AA160=1,"Y","N")</f>
        <v>N</v>
      </c>
      <c r="BF44" s="710" t="str">
        <f>BE44</f>
        <v>N</v>
      </c>
      <c r="BG44" s="710" t="b">
        <v>0</v>
      </c>
      <c r="BH44" s="710" t="b">
        <v>0</v>
      </c>
      <c r="BI44" s="710"/>
      <c r="BJ44" s="710">
        <f>AA160</f>
        <v>2</v>
      </c>
      <c r="BK44" s="710" t="str">
        <f ca="1">_xlfn.FORMULATEXT(BJ44)</f>
        <v>=AA160</v>
      </c>
      <c r="BL44" s="710" t="s">
        <v>380</v>
      </c>
      <c r="BM44" s="710"/>
      <c r="BN44" s="710"/>
      <c r="BO44" s="710"/>
      <c r="BP44" s="710"/>
      <c r="BQ44" s="710"/>
      <c r="BR44" s="710"/>
      <c r="BS44" s="710"/>
      <c r="BT44" s="710"/>
      <c r="BU44" s="710"/>
      <c r="BV44" s="710"/>
      <c r="BW44" s="710"/>
      <c r="BX44" s="710"/>
      <c r="BY44" s="710"/>
      <c r="BZ44" s="710"/>
      <c r="CA44" s="710"/>
      <c r="CB44" s="710"/>
      <c r="CC44" s="710"/>
    </row>
    <row r="45" spans="1:81" s="710" customFormat="1" ht="14.5" hidden="1">
      <c r="A45" s="710" t="s">
        <v>673</v>
      </c>
      <c r="B45" s="547"/>
      <c r="C45" s="546"/>
      <c r="D45" s="546"/>
      <c r="E45" s="548"/>
      <c r="F45" s="710"/>
      <c r="G45" s="710"/>
      <c r="H45" s="710"/>
      <c r="I45" s="710"/>
      <c r="J45" s="710"/>
      <c r="K45" s="710"/>
      <c r="L45" s="710"/>
      <c r="M45" s="710"/>
      <c r="N45" s="710"/>
      <c r="O45" s="710"/>
      <c r="P45" s="710"/>
      <c r="Q45" s="710"/>
      <c r="R45" s="710"/>
      <c r="S45" s="710"/>
      <c r="T45" s="710"/>
      <c r="U45" s="710"/>
      <c r="V45" s="710"/>
      <c r="W45" s="22"/>
      <c r="X45" s="22"/>
      <c r="Y45" s="22"/>
      <c r="Z45" s="710"/>
      <c r="AA45" s="22"/>
      <c r="AB45" s="22"/>
      <c r="AC45" s="22"/>
      <c r="AD45" s="22">
        <f>ROW()</f>
        <v>45</v>
      </c>
      <c r="AE45" s="22"/>
      <c r="AF45" s="22"/>
      <c r="AG45" s="22"/>
      <c r="AH45" s="22"/>
      <c r="AI45" s="22"/>
      <c r="AJ45" s="22"/>
      <c r="AK45" s="22"/>
      <c r="AL45" s="22"/>
      <c r="AM45" s="22"/>
      <c r="AN45" s="22"/>
      <c r="AO45" s="22"/>
      <c r="AP45" s="22"/>
      <c r="AQ45" s="710"/>
      <c r="AR45" s="710"/>
      <c r="AS45" s="710"/>
      <c r="AT45" s="710"/>
      <c r="AU45" s="710"/>
      <c r="AV45" s="710"/>
      <c r="AW45" s="710"/>
      <c r="AX45" s="710"/>
      <c r="AY45" s="710"/>
      <c r="AZ45" s="710"/>
      <c r="BA45" s="710"/>
      <c r="BB45" s="714" t="s">
        <v>381</v>
      </c>
      <c r="BC45" s="710" t="s">
        <v>268</v>
      </c>
      <c r="BD45" s="710" t="b">
        <v>0</v>
      </c>
      <c r="BE45" s="710" t="str">
        <f>IF(AA163=1,"Y","N")</f>
        <v>N</v>
      </c>
      <c r="BF45" s="710" t="str">
        <f>BE45</f>
        <v>N</v>
      </c>
      <c r="BG45" s="710" t="b">
        <v>0</v>
      </c>
      <c r="BH45" s="710" t="b">
        <v>0</v>
      </c>
      <c r="BI45" s="710"/>
      <c r="BJ45" s="710">
        <f>AA163</f>
        <v>2</v>
      </c>
      <c r="BK45" s="710" t="str">
        <f ca="1">_xlfn.FORMULATEXT(BJ45)</f>
        <v>=AA163</v>
      </c>
      <c r="BL45" s="710" t="s">
        <v>382</v>
      </c>
      <c r="BM45" s="710"/>
      <c r="BN45" s="710"/>
      <c r="BO45" s="710"/>
      <c r="BP45" s="710"/>
      <c r="BQ45" s="710"/>
      <c r="BR45" s="710"/>
      <c r="BS45" s="710"/>
      <c r="BT45" s="710"/>
      <c r="BU45" s="710"/>
      <c r="BV45" s="710"/>
      <c r="BW45" s="710"/>
      <c r="BX45" s="710"/>
      <c r="BY45" s="710"/>
      <c r="BZ45" s="710"/>
      <c r="CA45" s="710"/>
      <c r="CB45" s="710"/>
      <c r="CC45" s="710"/>
    </row>
    <row r="46" spans="1:81" s="710" customFormat="1" ht="14.5" hidden="1">
      <c r="A46" s="710" t="s">
        <v>673</v>
      </c>
      <c r="B46" s="710"/>
      <c r="C46" s="710"/>
      <c r="D46" s="710"/>
      <c r="E46" s="710"/>
      <c r="F46" s="710"/>
      <c r="G46" s="710"/>
      <c r="H46" s="710"/>
      <c r="I46" s="710"/>
      <c r="J46" s="710"/>
      <c r="K46" s="710"/>
      <c r="L46" s="710"/>
      <c r="M46" s="710"/>
      <c r="N46" s="710"/>
      <c r="O46" s="710"/>
      <c r="P46" s="710"/>
      <c r="Q46" s="710"/>
      <c r="R46" s="710"/>
      <c r="S46" s="710"/>
      <c r="T46" s="710"/>
      <c r="U46" s="710"/>
      <c r="V46" s="710"/>
      <c r="W46" s="22"/>
      <c r="X46" s="22"/>
      <c r="Y46" s="22"/>
      <c r="Z46" s="710"/>
      <c r="AA46" s="710"/>
      <c r="AB46" s="710"/>
      <c r="AC46" s="710"/>
      <c r="AD46" s="22">
        <f>ROW()</f>
        <v>46</v>
      </c>
      <c r="AE46" s="22"/>
      <c r="AF46" s="22"/>
      <c r="AG46" s="22"/>
      <c r="AH46" s="22"/>
      <c r="AI46" s="22"/>
      <c r="AJ46" s="22"/>
      <c r="AK46" s="22"/>
      <c r="AL46" s="22"/>
      <c r="AM46" s="22"/>
      <c r="AN46" s="22"/>
      <c r="AO46" s="22"/>
      <c r="AP46" s="22"/>
      <c r="AQ46" s="710"/>
      <c r="AR46" s="710"/>
      <c r="AS46" s="710"/>
      <c r="AT46" s="710"/>
      <c r="AU46" s="710"/>
      <c r="AV46" s="710"/>
      <c r="AW46" s="710"/>
      <c r="AX46" s="710"/>
      <c r="AY46" s="710"/>
      <c r="AZ46" s="710"/>
      <c r="BA46" s="710"/>
      <c r="BB46" s="714" t="s">
        <v>383</v>
      </c>
      <c r="BC46" s="710" t="s">
        <v>127</v>
      </c>
      <c r="BD46" s="710" t="b">
        <v>0</v>
      </c>
      <c r="BE46" s="710">
        <f>G185</f>
        <v>0</v>
      </c>
      <c r="BF46" s="710" t="str">
        <f>""&amp;G185</f>
        <v/>
      </c>
      <c r="BG46" s="710" t="b">
        <v>1</v>
      </c>
      <c r="BH46" s="710" t="b">
        <v>0</v>
      </c>
      <c r="BI46" s="710"/>
      <c r="BJ46" s="710"/>
      <c r="BK46" s="710" t="str">
        <f ca="1">_xlfn.FORMULATEXT(BE46)</f>
        <v>=G185</v>
      </c>
      <c r="BL46" s="710" t="str">
        <f ca="1">_xlfn.FORMULATEXT(BE46)</f>
        <v>=G185</v>
      </c>
      <c r="BM46" s="710"/>
      <c r="BN46" s="710"/>
      <c r="BO46" s="710"/>
      <c r="BP46" s="710"/>
      <c r="BQ46" s="710"/>
      <c r="BR46" s="710"/>
      <c r="BS46" s="710"/>
      <c r="BT46" s="710"/>
      <c r="BU46" s="710"/>
      <c r="BV46" s="710"/>
      <c r="BW46" s="710"/>
      <c r="BX46" s="710"/>
      <c r="BY46" s="710"/>
      <c r="BZ46" s="710"/>
      <c r="CA46" s="710"/>
      <c r="CB46" s="710"/>
      <c r="CC46" s="710"/>
    </row>
    <row r="47" spans="1:81" s="710" customFormat="1" ht="14.5" hidden="1">
      <c r="A47" s="710" t="s">
        <v>673</v>
      </c>
      <c r="B47" s="719" t="s">
        <v>384</v>
      </c>
      <c r="C47" s="719"/>
      <c r="D47" s="720"/>
      <c r="E47" s="720"/>
      <c r="F47" s="710"/>
      <c r="G47" s="710"/>
      <c r="H47" s="710"/>
      <c r="I47" s="710"/>
      <c r="J47" s="717"/>
      <c r="K47" s="710"/>
      <c r="L47" s="710"/>
      <c r="M47" s="710"/>
      <c r="N47" s="710"/>
      <c r="O47" s="710"/>
      <c r="P47" s="710"/>
      <c r="Q47" s="710"/>
      <c r="R47" s="710"/>
      <c r="S47" s="710"/>
      <c r="T47" s="710"/>
      <c r="U47" s="710"/>
      <c r="V47" s="710"/>
      <c r="W47" s="22"/>
      <c r="X47" s="22"/>
      <c r="Y47" s="22"/>
      <c r="Z47" s="710"/>
      <c r="AA47" s="22"/>
      <c r="AB47" s="22"/>
      <c r="AC47" s="22"/>
      <c r="AD47" s="22">
        <f>ROW()</f>
        <v>47</v>
      </c>
      <c r="AE47" s="22"/>
      <c r="AF47" s="22"/>
      <c r="AG47" s="22"/>
      <c r="AH47" s="22"/>
      <c r="AI47" s="22"/>
      <c r="AJ47" s="22"/>
      <c r="AK47" s="22"/>
      <c r="AL47" s="22"/>
      <c r="AM47" s="22"/>
      <c r="AN47" s="22"/>
      <c r="AO47" s="22"/>
      <c r="AP47" s="22"/>
      <c r="AQ47" s="710"/>
      <c r="AR47" s="710"/>
      <c r="AS47" s="710"/>
      <c r="AT47" s="710"/>
      <c r="AU47" s="710"/>
      <c r="AV47" s="710"/>
      <c r="AW47" s="710"/>
      <c r="AX47" s="710"/>
      <c r="AY47" s="710"/>
      <c r="AZ47" s="710"/>
      <c r="BA47" s="710"/>
      <c r="BB47" s="714" t="s">
        <v>385</v>
      </c>
      <c r="BC47" s="710" t="s">
        <v>127</v>
      </c>
      <c r="BD47" s="710" t="b">
        <v>0</v>
      </c>
      <c r="BE47" s="710">
        <f>G187</f>
        <v>0</v>
      </c>
      <c r="BF47" s="710" t="str">
        <f>""&amp;G187</f>
        <v/>
      </c>
      <c r="BG47" s="710" t="b">
        <v>1</v>
      </c>
      <c r="BH47" s="710" t="b">
        <v>0</v>
      </c>
      <c r="BI47" s="710"/>
      <c r="BJ47" s="710"/>
      <c r="BK47" s="710" t="str">
        <f ca="1">_xlfn.FORMULATEXT(BE47)</f>
        <v>=G187</v>
      </c>
      <c r="BL47" s="710" t="str">
        <f ca="1">_xlfn.FORMULATEXT(BE47)</f>
        <v>=G187</v>
      </c>
      <c r="BM47" s="710"/>
      <c r="BN47" s="710"/>
      <c r="BO47" s="710"/>
      <c r="BP47" s="710"/>
      <c r="BQ47" s="710"/>
      <c r="BR47" s="710"/>
      <c r="BS47" s="710"/>
      <c r="BT47" s="710"/>
      <c r="BU47" s="710"/>
      <c r="BV47" s="710"/>
      <c r="BW47" s="710"/>
      <c r="BX47" s="710"/>
      <c r="BY47" s="710"/>
      <c r="BZ47" s="710"/>
      <c r="CA47" s="710"/>
      <c r="CB47" s="710"/>
      <c r="CC47" s="710"/>
    </row>
    <row r="48" spans="1:81" s="710" customFormat="1" ht="14.5" hidden="1">
      <c r="A48" s="710" t="s">
        <v>673</v>
      </c>
      <c r="B48" s="598"/>
      <c r="C48" s="597"/>
      <c r="D48" s="597"/>
      <c r="E48" s="599"/>
      <c r="F48" s="710"/>
      <c r="G48" s="710"/>
      <c r="H48" s="710"/>
      <c r="I48" s="710"/>
      <c r="J48" s="710"/>
      <c r="K48" s="710"/>
      <c r="L48" s="710"/>
      <c r="M48" s="710"/>
      <c r="N48" s="710"/>
      <c r="O48" s="710"/>
      <c r="P48" s="710"/>
      <c r="Q48" s="710"/>
      <c r="R48" s="710"/>
      <c r="S48" s="710"/>
      <c r="T48" s="710"/>
      <c r="U48" s="710"/>
      <c r="V48" s="710"/>
      <c r="W48" s="22"/>
      <c r="X48" s="22"/>
      <c r="Y48" s="22"/>
      <c r="Z48" s="710"/>
      <c r="AA48" s="22"/>
      <c r="AB48" s="22"/>
      <c r="AC48" s="22"/>
      <c r="AD48" s="22">
        <f>ROW()</f>
        <v>48</v>
      </c>
      <c r="AE48" s="22"/>
      <c r="AF48" s="22"/>
      <c r="AG48" s="22"/>
      <c r="AH48" s="22"/>
      <c r="AI48" s="22"/>
      <c r="AJ48" s="22"/>
      <c r="AK48" s="22"/>
      <c r="AL48" s="22"/>
      <c r="AM48" s="22"/>
      <c r="AN48" s="22"/>
      <c r="AO48" s="22"/>
      <c r="AP48" s="22"/>
      <c r="AQ48" s="710"/>
      <c r="AR48" s="710"/>
      <c r="AS48" s="710"/>
      <c r="AT48" s="710"/>
      <c r="AU48" s="710"/>
      <c r="AV48" s="710"/>
      <c r="AW48" s="710"/>
      <c r="AX48" s="710"/>
      <c r="AY48" s="710"/>
      <c r="AZ48" s="710"/>
      <c r="BA48" s="710"/>
      <c r="BB48" s="714" t="s">
        <v>386</v>
      </c>
      <c r="BC48" s="710" t="s">
        <v>127</v>
      </c>
      <c r="BD48" s="710" t="b">
        <v>0</v>
      </c>
      <c r="BE48" s="710">
        <f>G189</f>
        <v>0</v>
      </c>
      <c r="BF48" s="710" t="str">
        <f>""&amp;G189</f>
        <v/>
      </c>
      <c r="BG48" s="710" t="b">
        <v>1</v>
      </c>
      <c r="BH48" s="710" t="b">
        <v>0</v>
      </c>
      <c r="BI48" s="710"/>
      <c r="BJ48" s="710"/>
      <c r="BK48" s="710" t="str">
        <f ca="1">_xlfn.FORMULATEXT(BE48)</f>
        <v>=G189</v>
      </c>
      <c r="BL48" s="710" t="str">
        <f ca="1">_xlfn.FORMULATEXT(BE48)</f>
        <v>=G189</v>
      </c>
      <c r="BM48" s="710"/>
      <c r="BN48" s="710"/>
      <c r="BO48" s="710"/>
      <c r="BP48" s="710"/>
      <c r="BQ48" s="710"/>
      <c r="BR48" s="710"/>
      <c r="BS48" s="710"/>
      <c r="BT48" s="710"/>
      <c r="BU48" s="710"/>
      <c r="BV48" s="710"/>
      <c r="BW48" s="710"/>
      <c r="BX48" s="710"/>
      <c r="BY48" s="710"/>
      <c r="BZ48" s="710"/>
      <c r="CA48" s="710"/>
      <c r="CB48" s="710"/>
      <c r="CC48" s="710"/>
    </row>
    <row r="49" spans="1:81" s="710" customFormat="1" ht="14.5" hidden="1">
      <c r="A49" s="710" t="s">
        <v>673</v>
      </c>
      <c r="B49" s="710"/>
      <c r="C49" s="710"/>
      <c r="D49" s="710"/>
      <c r="E49" s="710"/>
      <c r="F49" s="710"/>
      <c r="G49" s="710"/>
      <c r="H49" s="710"/>
      <c r="I49" s="710"/>
      <c r="J49" s="710"/>
      <c r="K49" s="710"/>
      <c r="L49" s="710"/>
      <c r="M49" s="710"/>
      <c r="N49" s="710"/>
      <c r="O49" s="710"/>
      <c r="P49" s="710"/>
      <c r="Q49" s="710"/>
      <c r="R49" s="710"/>
      <c r="S49" s="710"/>
      <c r="T49" s="710"/>
      <c r="U49" s="710"/>
      <c r="V49" s="710"/>
      <c r="W49" s="22"/>
      <c r="X49" s="22"/>
      <c r="Y49" s="22"/>
      <c r="Z49" s="710"/>
      <c r="AA49" s="22"/>
      <c r="AB49" s="22"/>
      <c r="AC49" s="22"/>
      <c r="AD49" s="22">
        <f>ROW()</f>
        <v>49</v>
      </c>
      <c r="AE49" s="22"/>
      <c r="AF49" s="22"/>
      <c r="AG49" s="22"/>
      <c r="AH49" s="22"/>
      <c r="AI49" s="22"/>
      <c r="AJ49" s="22"/>
      <c r="AK49" s="22"/>
      <c r="AL49" s="22"/>
      <c r="AM49" s="22"/>
      <c r="AN49" s="22"/>
      <c r="AO49" s="22"/>
      <c r="AP49" s="22"/>
      <c r="AQ49" s="710"/>
      <c r="AR49" s="710"/>
      <c r="AS49" s="710"/>
      <c r="AT49" s="710"/>
      <c r="AU49" s="710"/>
      <c r="AV49" s="710"/>
      <c r="AW49" s="710"/>
      <c r="AX49" s="710"/>
      <c r="AY49" s="710"/>
      <c r="AZ49" s="710"/>
      <c r="BA49" s="710"/>
      <c r="BB49" s="714" t="s">
        <v>387</v>
      </c>
      <c r="BC49" s="710" t="s">
        <v>268</v>
      </c>
      <c r="BD49" s="710" t="b">
        <v>0</v>
      </c>
      <c r="BE49" s="710" t="str">
        <f>IF(AA191=1,"Y","N")</f>
        <v>N</v>
      </c>
      <c r="BF49" s="710" t="str">
        <f>BE49</f>
        <v>N</v>
      </c>
      <c r="BG49" s="710" t="b">
        <v>1</v>
      </c>
      <c r="BH49" s="710" t="b">
        <v>0</v>
      </c>
      <c r="BI49" s="710"/>
      <c r="BJ49" s="710">
        <f>AA191</f>
        <v>2</v>
      </c>
      <c r="BK49" s="710" t="str">
        <f ca="1">_xlfn.FORMULATEXT(BJ49)</f>
        <v>=AA191</v>
      </c>
      <c r="BL49" s="710" t="s">
        <v>388</v>
      </c>
      <c r="BM49" s="710"/>
      <c r="BN49" s="710"/>
      <c r="BO49" s="710"/>
      <c r="BP49" s="710"/>
      <c r="BQ49" s="710"/>
      <c r="BR49" s="710"/>
      <c r="BS49" s="710"/>
      <c r="BT49" s="710"/>
      <c r="BU49" s="710"/>
      <c r="BV49" s="710"/>
      <c r="BW49" s="710"/>
      <c r="BX49" s="710"/>
      <c r="BY49" s="710"/>
      <c r="BZ49" s="710"/>
      <c r="CA49" s="710"/>
      <c r="CB49" s="710"/>
      <c r="CC49" s="710"/>
    </row>
    <row r="50" spans="1:81" s="710" customFormat="1" ht="14.5" hidden="1">
      <c r="A50" s="710" t="s">
        <v>673</v>
      </c>
      <c r="B50" s="721" t="s">
        <v>389</v>
      </c>
      <c r="C50" s="721"/>
      <c r="D50" s="721"/>
      <c r="E50" s="721"/>
      <c r="F50" s="710"/>
      <c r="G50" s="710"/>
      <c r="H50" s="710"/>
      <c r="I50" s="710"/>
      <c r="J50" s="710"/>
      <c r="K50" s="710"/>
      <c r="L50" s="710"/>
      <c r="M50" s="710"/>
      <c r="N50" s="710"/>
      <c r="O50" s="710"/>
      <c r="P50" s="710"/>
      <c r="Q50" s="710"/>
      <c r="R50" s="710"/>
      <c r="S50" s="710"/>
      <c r="T50" s="710"/>
      <c r="U50" s="710"/>
      <c r="V50" s="710"/>
      <c r="W50" s="22"/>
      <c r="X50" s="22"/>
      <c r="Y50" s="22"/>
      <c r="Z50" s="710"/>
      <c r="AA50" s="22"/>
      <c r="AB50" s="22"/>
      <c r="AC50" s="22"/>
      <c r="AD50" s="22">
        <f>ROW()</f>
        <v>50</v>
      </c>
      <c r="AE50" s="22"/>
      <c r="AF50" s="22"/>
      <c r="AG50" s="22"/>
      <c r="AH50" s="22"/>
      <c r="AI50" s="22"/>
      <c r="AJ50" s="22"/>
      <c r="AK50" s="22"/>
      <c r="AL50" s="22"/>
      <c r="AM50" s="22"/>
      <c r="AN50" s="22"/>
      <c r="AO50" s="22"/>
      <c r="AP50" s="22"/>
      <c r="AQ50" s="710"/>
      <c r="AR50" s="710"/>
      <c r="AS50" s="710"/>
      <c r="AT50" s="710"/>
      <c r="AU50" s="710"/>
      <c r="AV50" s="710"/>
      <c r="AW50" s="710"/>
      <c r="AX50" s="710"/>
      <c r="AY50" s="710"/>
      <c r="AZ50" s="710"/>
      <c r="BA50" s="710"/>
      <c r="BB50" s="714" t="s">
        <v>390</v>
      </c>
      <c r="BC50" s="710" t="s">
        <v>127</v>
      </c>
      <c r="BD50" s="710" t="b">
        <v>0</v>
      </c>
      <c r="BE50" s="710">
        <f>G194</f>
        <v>0</v>
      </c>
      <c r="BF50" s="710" t="str">
        <f>""&amp;G194</f>
        <v/>
      </c>
      <c r="BG50" s="710" t="b">
        <v>1</v>
      </c>
      <c r="BH50" s="710" t="b">
        <v>0</v>
      </c>
      <c r="BI50" s="710"/>
      <c r="BJ50" s="710"/>
      <c r="BK50" s="710" t="str">
        <f ca="1">_xlfn.FORMULATEXT(BE50)</f>
        <v>=G194</v>
      </c>
      <c r="BL50" s="710" t="str">
        <f ca="1">_xlfn.FORMULATEXT(BE50)</f>
        <v>=G194</v>
      </c>
      <c r="BM50" s="710"/>
      <c r="BN50" s="710"/>
      <c r="BO50" s="710"/>
      <c r="BP50" s="710"/>
      <c r="BQ50" s="710"/>
      <c r="BR50" s="710"/>
      <c r="BS50" s="710"/>
      <c r="BT50" s="710"/>
      <c r="BU50" s="710"/>
      <c r="BV50" s="710"/>
      <c r="BW50" s="710"/>
      <c r="BX50" s="710"/>
      <c r="BY50" s="710"/>
      <c r="BZ50" s="710"/>
      <c r="CA50" s="710"/>
      <c r="CB50" s="710"/>
      <c r="CC50" s="710"/>
    </row>
    <row r="51" spans="1:81" s="710" customFormat="1" ht="14.5" hidden="1">
      <c r="A51" s="710" t="s">
        <v>673</v>
      </c>
      <c r="B51" s="598"/>
      <c r="C51" s="597"/>
      <c r="D51" s="597"/>
      <c r="E51" s="599"/>
      <c r="F51" s="710"/>
      <c r="G51" s="710"/>
      <c r="H51" s="710"/>
      <c r="I51" s="710"/>
      <c r="J51" s="710"/>
      <c r="K51" s="710"/>
      <c r="L51" s="710"/>
      <c r="M51" s="710"/>
      <c r="N51" s="710"/>
      <c r="O51" s="710"/>
      <c r="P51" s="710"/>
      <c r="Q51" s="710"/>
      <c r="R51" s="710"/>
      <c r="S51" s="710"/>
      <c r="T51" s="710"/>
      <c r="U51" s="710"/>
      <c r="V51" s="710"/>
      <c r="W51" s="22"/>
      <c r="X51" s="22"/>
      <c r="Y51" s="22"/>
      <c r="Z51" s="710"/>
      <c r="AA51" s="22"/>
      <c r="AB51" s="22"/>
      <c r="AC51" s="22"/>
      <c r="AD51" s="22">
        <f>ROW()</f>
        <v>51</v>
      </c>
      <c r="AE51" s="22"/>
      <c r="AF51" s="93"/>
      <c r="AG51" s="22"/>
      <c r="AH51" s="22"/>
      <c r="AI51" s="22"/>
      <c r="AJ51" s="22"/>
      <c r="AK51" s="22"/>
      <c r="AL51" s="22"/>
      <c r="AM51" s="22"/>
      <c r="AN51" s="22"/>
      <c r="AO51" s="22"/>
      <c r="AP51" s="22"/>
      <c r="AQ51" s="710"/>
      <c r="AR51" s="710"/>
      <c r="AS51" s="710"/>
      <c r="AT51" s="710"/>
      <c r="AU51" s="710"/>
      <c r="AV51" s="710"/>
      <c r="AW51" s="710"/>
      <c r="AX51" s="710"/>
      <c r="AY51" s="710"/>
      <c r="AZ51" s="710"/>
      <c r="BA51" s="710"/>
      <c r="BB51" s="714" t="s">
        <v>391</v>
      </c>
      <c r="BC51" s="710" t="s">
        <v>123</v>
      </c>
      <c r="BD51" s="710" t="b">
        <v>0</v>
      </c>
      <c r="BE51" s="710" t="s">
        <v>392</v>
      </c>
      <c r="BF51" s="710" t="str">
        <f>""&amp;BE51</f>
        <v>PP.V/351Q PERSHYAN BUILDINGS   ANAPANTHY KAVALA,VALLITHODE</v>
      </c>
      <c r="BG51" s="710" t="b">
        <v>0</v>
      </c>
      <c r="BH51" s="710" t="b">
        <v>0</v>
      </c>
      <c r="BI51" s="710"/>
      <c r="BJ51" s="710"/>
      <c r="BK51" s="710" t="s">
        <v>125</v>
      </c>
      <c r="BL51" s="710" t="s">
        <v>125</v>
      </c>
      <c r="BM51" s="710"/>
      <c r="BN51" s="710"/>
      <c r="BO51" s="710"/>
      <c r="BP51" s="710"/>
      <c r="BQ51" s="710"/>
      <c r="BR51" s="710"/>
      <c r="BS51" s="710"/>
      <c r="BT51" s="710"/>
      <c r="BU51" s="710"/>
      <c r="BV51" s="710"/>
      <c r="BW51" s="710"/>
      <c r="BX51" s="710"/>
      <c r="BY51" s="710"/>
      <c r="BZ51" s="710"/>
      <c r="CA51" s="710"/>
      <c r="CB51" s="710"/>
      <c r="CC51" s="710"/>
    </row>
    <row r="52" spans="1:81" s="710" customFormat="1" ht="14.5" hidden="1">
      <c r="A52" s="710" t="s">
        <v>673</v>
      </c>
      <c r="B52" s="710"/>
      <c r="C52" s="710"/>
      <c r="D52" s="710"/>
      <c r="E52" s="710"/>
      <c r="F52" s="710"/>
      <c r="G52" s="710"/>
      <c r="H52" s="710"/>
      <c r="I52" s="710"/>
      <c r="J52" s="710"/>
      <c r="K52" s="710"/>
      <c r="L52" s="710"/>
      <c r="M52" s="710"/>
      <c r="N52" s="710"/>
      <c r="O52" s="710"/>
      <c r="P52" s="710"/>
      <c r="Q52" s="722"/>
      <c r="R52" s="710"/>
      <c r="S52" s="710"/>
      <c r="T52" s="710"/>
      <c r="U52" s="710"/>
      <c r="V52" s="710"/>
      <c r="W52" s="22"/>
      <c r="X52" s="22"/>
      <c r="Y52" s="22"/>
      <c r="Z52" s="710"/>
      <c r="AA52" s="22"/>
      <c r="AB52" s="22"/>
      <c r="AC52" s="22"/>
      <c r="AD52" s="22">
        <f>ROW()</f>
        <v>52</v>
      </c>
      <c r="AE52" s="22"/>
      <c r="AF52" s="22"/>
      <c r="AG52" s="22"/>
      <c r="AH52" s="22"/>
      <c r="AI52" s="22"/>
      <c r="AJ52" s="22"/>
      <c r="AK52" s="22"/>
      <c r="AL52" s="22"/>
      <c r="AM52" s="22"/>
      <c r="AN52" s="22"/>
      <c r="AO52" s="22"/>
      <c r="AP52" s="22"/>
      <c r="AQ52" s="710"/>
      <c r="AR52" s="710"/>
      <c r="AS52" s="710"/>
      <c r="AT52" s="710"/>
      <c r="AU52" s="710"/>
      <c r="AV52" s="710"/>
      <c r="AW52" s="710"/>
      <c r="AX52" s="710"/>
      <c r="AY52" s="710"/>
      <c r="AZ52" s="710"/>
      <c r="BA52" s="710"/>
      <c r="BB52" s="714" t="s">
        <v>393</v>
      </c>
      <c r="BC52" s="710" t="s">
        <v>123</v>
      </c>
      <c r="BD52" s="710" t="b">
        <v>0</v>
      </c>
      <c r="BE52" s="710"/>
      <c r="BF52" s="710" t="str">
        <f>""&amp;BE52</f>
        <v/>
      </c>
      <c r="BG52" s="710" t="b">
        <v>0</v>
      </c>
      <c r="BH52" s="710" t="b">
        <v>0</v>
      </c>
      <c r="BI52" s="710"/>
      <c r="BJ52" s="710"/>
      <c r="BK52" s="710" t="s">
        <v>125</v>
      </c>
      <c r="BL52" s="710" t="s">
        <v>125</v>
      </c>
      <c r="BM52" s="710"/>
      <c r="BN52" s="710"/>
      <c r="BO52" s="710"/>
      <c r="BP52" s="710"/>
      <c r="BQ52" s="710"/>
      <c r="BR52" s="710"/>
      <c r="BS52" s="710"/>
      <c r="BT52" s="710"/>
      <c r="BU52" s="710"/>
      <c r="BV52" s="710"/>
      <c r="BW52" s="710"/>
      <c r="BX52" s="710"/>
      <c r="BY52" s="710"/>
      <c r="BZ52" s="710"/>
      <c r="CA52" s="710"/>
      <c r="CB52" s="710"/>
      <c r="CC52" s="710"/>
    </row>
    <row r="53" spans="1:81" s="710" customFormat="1" ht="14.5" hidden="1">
      <c r="A53" s="710" t="s">
        <v>673</v>
      </c>
      <c r="B53" s="723" t="s">
        <v>394</v>
      </c>
      <c r="C53" s="710"/>
      <c r="D53" s="710"/>
      <c r="E53" s="710"/>
      <c r="F53" s="710"/>
      <c r="G53" s="710"/>
      <c r="H53" s="710"/>
      <c r="I53" s="710"/>
      <c r="J53" s="710"/>
      <c r="K53" s="710"/>
      <c r="L53" s="710"/>
      <c r="M53" s="710"/>
      <c r="N53" s="710"/>
      <c r="O53" s="710"/>
      <c r="P53" s="710"/>
      <c r="Q53" s="722"/>
      <c r="R53" s="710"/>
      <c r="S53" s="710"/>
      <c r="T53" s="710"/>
      <c r="U53" s="710"/>
      <c r="V53" s="710"/>
      <c r="W53" s="22"/>
      <c r="X53" s="22"/>
      <c r="Y53" s="22"/>
      <c r="Z53" s="710"/>
      <c r="AA53" s="22"/>
      <c r="AB53" s="22"/>
      <c r="AC53" s="22"/>
      <c r="AD53" s="22">
        <f>ROW()</f>
        <v>53</v>
      </c>
      <c r="AE53" s="22"/>
      <c r="AF53" s="22"/>
      <c r="AG53" s="22"/>
      <c r="AH53" s="22"/>
      <c r="AI53" s="22"/>
      <c r="AJ53" s="22"/>
      <c r="AK53" s="22"/>
      <c r="AL53" s="22"/>
      <c r="AM53" s="22"/>
      <c r="AN53" s="22"/>
      <c r="AO53" s="22"/>
      <c r="AP53" s="22"/>
      <c r="AQ53" s="710"/>
      <c r="AR53" s="710"/>
      <c r="AS53" s="710"/>
      <c r="AT53" s="710"/>
      <c r="AU53" s="710"/>
      <c r="AV53" s="710"/>
      <c r="AW53" s="710"/>
      <c r="AX53" s="710"/>
      <c r="AY53" s="710"/>
      <c r="AZ53" s="710"/>
      <c r="BA53" s="710"/>
      <c r="BB53" s="714" t="s">
        <v>395</v>
      </c>
      <c r="BC53" s="710" t="s">
        <v>123</v>
      </c>
      <c r="BD53" s="710" t="b">
        <v>0</v>
      </c>
      <c r="BE53" s="710" t="s">
        <v>396</v>
      </c>
      <c r="BF53" s="710" t="str">
        <f>""&amp;BE53</f>
        <v>India</v>
      </c>
      <c r="BG53" s="710" t="b">
        <v>0</v>
      </c>
      <c r="BH53" s="710" t="b">
        <v>0</v>
      </c>
      <c r="BI53" s="710"/>
      <c r="BJ53" s="710"/>
      <c r="BK53" s="710" t="s">
        <v>125</v>
      </c>
      <c r="BL53" s="710" t="s">
        <v>125</v>
      </c>
      <c r="BM53" s="710"/>
      <c r="BN53" s="710"/>
      <c r="BO53" s="710"/>
      <c r="BP53" s="710"/>
      <c r="BQ53" s="710"/>
      <c r="BR53" s="710"/>
      <c r="BS53" s="710"/>
      <c r="BT53" s="710"/>
      <c r="BU53" s="710"/>
      <c r="BV53" s="710"/>
      <c r="BW53" s="710"/>
      <c r="BX53" s="710"/>
      <c r="BY53" s="710"/>
      <c r="BZ53" s="710"/>
      <c r="CA53" s="710"/>
      <c r="CB53" s="710"/>
      <c r="CC53" s="710"/>
    </row>
    <row r="54" spans="1:81" s="710" customFormat="1" ht="14.5" hidden="1">
      <c r="A54" s="710" t="s">
        <v>673</v>
      </c>
      <c r="B54" s="586"/>
      <c r="C54" s="585"/>
      <c r="D54" s="585"/>
      <c r="E54" s="587"/>
      <c r="F54" s="710"/>
      <c r="G54" s="710"/>
      <c r="H54" s="710"/>
      <c r="I54" s="710"/>
      <c r="J54" s="710"/>
      <c r="K54" s="710"/>
      <c r="L54" s="710"/>
      <c r="M54" s="710"/>
      <c r="N54" s="710"/>
      <c r="O54" s="710"/>
      <c r="P54" s="710"/>
      <c r="Q54" s="712"/>
      <c r="R54" s="710"/>
      <c r="S54" s="710"/>
      <c r="T54" s="710"/>
      <c r="U54" s="710"/>
      <c r="V54" s="710"/>
      <c r="W54" s="22"/>
      <c r="X54" s="22"/>
      <c r="Y54" s="22"/>
      <c r="Z54" s="710"/>
      <c r="AA54" s="710"/>
      <c r="AB54" s="22"/>
      <c r="AC54" s="22"/>
      <c r="AD54" s="22">
        <f>ROW()</f>
        <v>54</v>
      </c>
      <c r="AE54" s="22"/>
      <c r="AF54" s="22"/>
      <c r="AG54" s="22"/>
      <c r="AH54" s="22"/>
      <c r="AI54" s="22"/>
      <c r="AJ54" s="22"/>
      <c r="AK54" s="22"/>
      <c r="AL54" s="22"/>
      <c r="AM54" s="22"/>
      <c r="AN54" s="22"/>
      <c r="AO54" s="22"/>
      <c r="AP54" s="22"/>
      <c r="AQ54" s="710"/>
      <c r="AR54" s="710"/>
      <c r="AS54" s="710"/>
      <c r="AT54" s="710"/>
      <c r="AU54" s="710"/>
      <c r="AV54" s="710"/>
      <c r="AW54" s="710"/>
      <c r="AX54" s="710"/>
      <c r="AY54" s="710"/>
      <c r="AZ54" s="710"/>
      <c r="BA54" s="710"/>
      <c r="BB54" s="714" t="s">
        <v>397</v>
      </c>
      <c r="BC54" s="710" t="s">
        <v>123</v>
      </c>
      <c r="BD54" s="710" t="b">
        <v>0</v>
      </c>
      <c r="BE54" s="710" t="s">
        <v>398</v>
      </c>
      <c r="BF54" s="710" t="str">
        <f>""&amp;BE54</f>
        <v>670706</v>
      </c>
      <c r="BG54" s="710" t="b">
        <v>0</v>
      </c>
      <c r="BH54" s="710" t="b">
        <v>0</v>
      </c>
      <c r="BI54" s="710"/>
      <c r="BJ54" s="710"/>
      <c r="BK54" s="710" t="s">
        <v>125</v>
      </c>
      <c r="BL54" s="710" t="s">
        <v>125</v>
      </c>
      <c r="BM54" s="710"/>
      <c r="BN54" s="710"/>
      <c r="BO54" s="710"/>
      <c r="BP54" s="710"/>
      <c r="BQ54" s="710"/>
      <c r="BR54" s="710"/>
      <c r="BS54" s="710"/>
      <c r="BT54" s="710"/>
      <c r="BU54" s="710"/>
      <c r="BV54" s="710"/>
      <c r="BW54" s="710"/>
      <c r="BX54" s="710"/>
      <c r="BY54" s="710"/>
      <c r="BZ54" s="710"/>
      <c r="CA54" s="710"/>
      <c r="CB54" s="710"/>
      <c r="CC54" s="710"/>
    </row>
    <row r="55" spans="1:81" s="710" customFormat="1" ht="14.5" hidden="1">
      <c r="A55" s="710" t="s">
        <v>673</v>
      </c>
      <c r="B55" s="710"/>
      <c r="C55" s="710"/>
      <c r="D55" s="710"/>
      <c r="E55" s="710"/>
      <c r="F55" s="710"/>
      <c r="G55" s="710"/>
      <c r="H55" s="710"/>
      <c r="I55" s="710"/>
      <c r="J55" s="710"/>
      <c r="K55" s="710"/>
      <c r="L55" s="710"/>
      <c r="M55" s="710"/>
      <c r="N55" s="710"/>
      <c r="O55" s="710"/>
      <c r="P55" s="710"/>
      <c r="Q55" s="724"/>
      <c r="R55" s="710"/>
      <c r="S55" s="710"/>
      <c r="T55" s="710"/>
      <c r="U55" s="710"/>
      <c r="V55" s="710"/>
      <c r="W55" s="22"/>
      <c r="X55" s="22"/>
      <c r="Y55" s="22"/>
      <c r="Z55" s="710"/>
      <c r="AA55" s="710"/>
      <c r="AB55" s="22"/>
      <c r="AC55" s="22"/>
      <c r="AD55" s="22">
        <f>ROW()</f>
        <v>55</v>
      </c>
      <c r="AE55" s="22"/>
      <c r="AF55" s="22"/>
      <c r="AG55" s="22"/>
      <c r="AH55" s="22"/>
      <c r="AI55" s="22"/>
      <c r="AJ55" s="22"/>
      <c r="AK55" s="22"/>
      <c r="AL55" s="22"/>
      <c r="AM55" s="22"/>
      <c r="AN55" s="22"/>
      <c r="AO55" s="22"/>
      <c r="AP55" s="22"/>
      <c r="AQ55" s="710"/>
      <c r="AR55" s="710"/>
      <c r="AS55" s="710"/>
      <c r="AT55" s="710"/>
      <c r="AU55" s="710"/>
      <c r="AV55" s="710"/>
      <c r="AW55" s="710"/>
      <c r="AX55" s="710"/>
      <c r="AY55" s="710"/>
      <c r="AZ55" s="710"/>
      <c r="BA55" s="710"/>
      <c r="BB55" s="714" t="s">
        <v>399</v>
      </c>
      <c r="BC55" s="710" t="s">
        <v>123</v>
      </c>
      <c r="BD55" s="710" t="b">
        <v>0</v>
      </c>
      <c r="BE55" s="710" t="s">
        <v>125</v>
      </c>
      <c r="BF55" s="710" t="str">
        <f>""&amp;BE55</f>
        <v>NA</v>
      </c>
      <c r="BG55" s="710" t="b">
        <v>0</v>
      </c>
      <c r="BH55" s="710" t="b">
        <v>0</v>
      </c>
      <c r="BI55" s="710"/>
      <c r="BJ55" s="710"/>
      <c r="BK55" s="710" t="s">
        <v>125</v>
      </c>
      <c r="BL55" s="710" t="s">
        <v>125</v>
      </c>
      <c r="BM55" s="710"/>
      <c r="BN55" s="710"/>
      <c r="BO55" s="710"/>
      <c r="BP55" s="710"/>
      <c r="BQ55" s="710"/>
      <c r="BR55" s="710"/>
      <c r="BS55" s="710"/>
      <c r="BT55" s="710"/>
      <c r="BU55" s="710"/>
      <c r="BV55" s="710"/>
      <c r="BW55" s="710"/>
      <c r="BX55" s="710"/>
      <c r="BY55" s="710"/>
      <c r="BZ55" s="710"/>
      <c r="CA55" s="710"/>
      <c r="CB55" s="710"/>
      <c r="CC55" s="710"/>
    </row>
    <row r="56" spans="1:64" ht="27" customHeight="1">
      <c r="A56" s="21" t="s">
        <v>673</v>
      </c>
      <c r="B56" s="95" t="s">
        <v>400</v>
      </c>
      <c r="C56" s="95"/>
      <c r="Q56" s="94"/>
      <c r="W56" s="22"/>
      <c r="X56" s="22"/>
      <c r="Y56" s="22"/>
      <c r="AA56" s="22"/>
      <c r="AB56" s="22"/>
      <c r="AC56" s="22"/>
      <c r="AD56" s="22">
        <f>ROW()</f>
        <v>56</v>
      </c>
      <c r="AE56" s="22"/>
      <c r="AF56" s="22"/>
      <c r="AG56" s="22"/>
      <c r="AH56" s="22"/>
      <c r="AI56" s="22"/>
      <c r="AJ56" s="22"/>
      <c r="AK56" s="22"/>
      <c r="AL56" s="22"/>
      <c r="AM56" s="22"/>
      <c r="AN56" s="22"/>
      <c r="AO56" s="22"/>
      <c r="AP56" s="22"/>
      <c r="BB56" s="30" t="s">
        <v>401</v>
      </c>
      <c r="BC56" s="21" t="s">
        <v>123</v>
      </c>
      <c r="BD56" s="21" t="b">
        <v>0</v>
      </c>
      <c r="BE56" s="21" t="s">
        <v>402</v>
      </c>
      <c r="BF56" s="21" t="str">
        <f>""&amp;BE56</f>
        <v>KANNUR</v>
      </c>
      <c r="BG56" s="21" t="b">
        <v>0</v>
      </c>
      <c r="BH56" s="21" t="b">
        <v>0</v>
      </c>
      <c r="BK56" s="21" t="s">
        <v>125</v>
      </c>
      <c r="BL56" s="21" t="s">
        <v>125</v>
      </c>
    </row>
    <row r="57" spans="1:64" ht="14.5">
      <c r="A57" s="21" t="s">
        <v>673</v>
      </c>
      <c r="B57" s="77" t="s">
        <v>403</v>
      </c>
      <c r="C57" s="77"/>
      <c r="D57" s="77"/>
      <c r="E57" s="77"/>
      <c r="F57" s="77"/>
      <c r="G57" s="77"/>
      <c r="H57" s="77"/>
      <c r="I57" s="77"/>
      <c r="J57" s="77"/>
      <c r="K57" s="77"/>
      <c r="L57" s="77"/>
      <c r="M57" s="77"/>
      <c r="N57" s="77"/>
      <c r="O57" s="77"/>
      <c r="R57" s="72"/>
      <c r="W57" s="22"/>
      <c r="X57" s="22"/>
      <c r="Y57" s="22"/>
      <c r="AA57" s="72"/>
      <c r="AB57" s="22"/>
      <c r="AC57" s="22"/>
      <c r="AD57" s="22">
        <f>ROW()</f>
        <v>57</v>
      </c>
      <c r="AE57" s="22"/>
      <c r="AF57" s="22"/>
      <c r="AG57" s="22"/>
      <c r="AH57" s="22"/>
      <c r="AI57" s="22"/>
      <c r="AJ57" s="22"/>
      <c r="AK57" s="22"/>
      <c r="AL57" s="22"/>
      <c r="AM57" s="22"/>
      <c r="AN57" s="22"/>
      <c r="AO57" s="22"/>
      <c r="AP57" s="22"/>
      <c r="BB57" s="30" t="s">
        <v>404</v>
      </c>
      <c r="BC57" s="21" t="s">
        <v>123</v>
      </c>
      <c r="BD57" s="21" t="b">
        <v>0</v>
      </c>
      <c r="BE57" s="21" t="s">
        <v>405</v>
      </c>
      <c r="BF57" s="21" t="str">
        <f>""&amp;BE57</f>
        <v>Kannur</v>
      </c>
      <c r="BG57" s="21" t="b">
        <v>0</v>
      </c>
      <c r="BH57" s="21" t="b">
        <v>0</v>
      </c>
      <c r="BK57" s="21" t="s">
        <v>125</v>
      </c>
      <c r="BL57" s="21" t="s">
        <v>125</v>
      </c>
    </row>
    <row r="58" spans="1:64" ht="14.5">
      <c r="A58" s="21" t="s">
        <v>673</v>
      </c>
      <c r="B58" s="77"/>
      <c r="C58" s="77"/>
      <c r="D58" s="77"/>
      <c r="E58" s="77"/>
      <c r="F58" s="77"/>
      <c r="G58" s="77"/>
      <c r="H58" s="77"/>
      <c r="I58" s="77"/>
      <c r="J58" s="77"/>
      <c r="K58" s="77"/>
      <c r="L58" s="77"/>
      <c r="M58" s="77"/>
      <c r="N58" s="77"/>
      <c r="O58" s="77"/>
      <c r="P58" s="72"/>
      <c r="W58" s="22"/>
      <c r="X58" s="22"/>
      <c r="Y58" s="22"/>
      <c r="AA58" s="22"/>
      <c r="AB58" s="22"/>
      <c r="AC58" s="22"/>
      <c r="AD58" s="22">
        <f>ROW()</f>
        <v>58</v>
      </c>
      <c r="AE58" s="22"/>
      <c r="AF58" s="22"/>
      <c r="AG58" s="22"/>
      <c r="AH58" s="22"/>
      <c r="AI58" s="22"/>
      <c r="AJ58" s="22"/>
      <c r="AK58" s="22"/>
      <c r="AL58" s="22"/>
      <c r="AM58" s="22"/>
      <c r="AN58" s="22"/>
      <c r="AO58" s="22"/>
      <c r="AP58" s="22"/>
      <c r="BB58" s="30" t="s">
        <v>406</v>
      </c>
      <c r="BC58" s="21" t="s">
        <v>123</v>
      </c>
      <c r="BD58" s="21" t="b">
        <v>0</v>
      </c>
      <c r="BE58" s="21" t="s">
        <v>407</v>
      </c>
      <c r="BF58" s="21" t="str">
        <f>""&amp;BE58</f>
        <v>Kerala</v>
      </c>
      <c r="BG58" s="21" t="b">
        <v>0</v>
      </c>
      <c r="BH58" s="21" t="b">
        <v>0</v>
      </c>
      <c r="BK58" s="21" t="s">
        <v>125</v>
      </c>
      <c r="BL58" s="21" t="s">
        <v>125</v>
      </c>
    </row>
    <row r="59" spans="1:1 23:64" ht="14.5">
      <c r="A59" s="21" t="s">
        <v>673</v>
      </c>
      <c r="W59" s="22"/>
      <c r="X59" s="22"/>
      <c r="Y59" s="22"/>
      <c r="AA59" s="22"/>
      <c r="AB59" s="22"/>
      <c r="AC59" s="22"/>
      <c r="AD59" s="22">
        <f>ROW()</f>
        <v>59</v>
      </c>
      <c r="AE59" s="22"/>
      <c r="AF59" s="22"/>
      <c r="AG59" s="22"/>
      <c r="AH59" s="22"/>
      <c r="AI59" s="22"/>
      <c r="AJ59" s="22"/>
      <c r="AK59" s="22"/>
      <c r="AL59" s="22"/>
      <c r="AM59" s="22"/>
      <c r="AN59" s="22"/>
      <c r="AO59" s="22"/>
      <c r="AP59" s="22"/>
      <c r="BB59" s="30" t="s">
        <v>408</v>
      </c>
      <c r="BC59" s="21" t="s">
        <v>123</v>
      </c>
      <c r="BD59" s="21" t="b">
        <v>0</v>
      </c>
      <c r="BE59" s="21"/>
      <c r="BF59" s="21" t="str">
        <f>""&amp;BE59</f>
        <v/>
      </c>
      <c r="BG59" s="21" t="b">
        <v>0</v>
      </c>
      <c r="BH59" s="21" t="b">
        <v>0</v>
      </c>
      <c r="BK59" s="21" t="s">
        <v>125</v>
      </c>
      <c r="BL59" s="21" t="s">
        <v>125</v>
      </c>
    </row>
    <row r="60" spans="1:64" ht="14.5">
      <c r="A60" s="21" t="s">
        <v>673</v>
      </c>
      <c r="B60" s="96" t="s">
        <v>409</v>
      </c>
      <c r="C60" s="96"/>
      <c r="D60" s="96"/>
      <c r="E60" s="96"/>
      <c r="F60" s="96"/>
      <c r="G60" s="96"/>
      <c r="H60" s="96"/>
      <c r="I60" s="96"/>
      <c r="J60" s="96"/>
      <c r="K60" s="96"/>
      <c r="L60" s="96"/>
      <c r="M60" s="96"/>
      <c r="N60" s="96"/>
      <c r="O60" s="96"/>
      <c r="W60" s="22"/>
      <c r="X60" s="22"/>
      <c r="Y60" s="22"/>
      <c r="AA60" s="22"/>
      <c r="AB60" s="22"/>
      <c r="AC60" s="22"/>
      <c r="AD60" s="22">
        <f>ROW()</f>
        <v>60</v>
      </c>
      <c r="AE60" s="22"/>
      <c r="AF60" s="22"/>
      <c r="AG60" s="22"/>
      <c r="AH60" s="22"/>
      <c r="AI60" s="22"/>
      <c r="AJ60" s="22"/>
      <c r="AK60" s="22"/>
      <c r="AL60" s="22"/>
      <c r="AM60" s="22"/>
      <c r="AN60" s="22"/>
      <c r="AO60" s="22"/>
      <c r="AP60" s="22"/>
      <c r="BB60" s="30" t="s">
        <v>410</v>
      </c>
      <c r="BC60" s="21" t="s">
        <v>123</v>
      </c>
      <c r="BD60" s="21" t="b">
        <v>0</v>
      </c>
      <c r="BE60" s="21"/>
      <c r="BF60" s="21" t="str">
        <f>""&amp;BE60</f>
        <v/>
      </c>
      <c r="BG60" s="21" t="b">
        <v>0</v>
      </c>
      <c r="BH60" s="21" t="b">
        <v>0</v>
      </c>
      <c r="BK60" s="21" t="s">
        <v>125</v>
      </c>
      <c r="BL60" s="21" t="s">
        <v>125</v>
      </c>
    </row>
    <row r="61" spans="1:64" ht="14.5">
      <c r="A61" s="21" t="s">
        <v>673</v>
      </c>
      <c r="B61" s="96"/>
      <c r="C61" s="96"/>
      <c r="D61" s="96"/>
      <c r="E61" s="96"/>
      <c r="F61" s="96"/>
      <c r="G61" s="96"/>
      <c r="H61" s="96"/>
      <c r="I61" s="96"/>
      <c r="J61" s="96"/>
      <c r="K61" s="96"/>
      <c r="L61" s="96"/>
      <c r="M61" s="96"/>
      <c r="N61" s="96"/>
      <c r="O61" s="96"/>
      <c r="W61" s="22"/>
      <c r="X61" s="22"/>
      <c r="Y61" s="22"/>
      <c r="AA61" s="22"/>
      <c r="AB61" s="22"/>
      <c r="AC61" s="22"/>
      <c r="AD61" s="22">
        <f>ROW()</f>
        <v>61</v>
      </c>
      <c r="AE61" s="22"/>
      <c r="AF61" s="22"/>
      <c r="AG61" s="22"/>
      <c r="AH61" s="22"/>
      <c r="AI61" s="22"/>
      <c r="AJ61" s="22"/>
      <c r="AK61" s="22"/>
      <c r="AL61" s="22"/>
      <c r="AM61" s="22"/>
      <c r="AN61" s="22"/>
      <c r="AO61" s="22"/>
      <c r="AP61" s="22"/>
      <c r="BB61" s="30" t="s">
        <v>411</v>
      </c>
      <c r="BC61" s="21" t="s">
        <v>127</v>
      </c>
      <c r="BD61" s="21" t="b">
        <v>0</v>
      </c>
      <c r="BE61" s="21">
        <f>G167</f>
        <v>0</v>
      </c>
      <c r="BF61" s="21" t="str">
        <f>""&amp;G167</f>
        <v/>
      </c>
      <c r="BG61" s="21" t="b">
        <v>0</v>
      </c>
      <c r="BH61" s="21" t="b">
        <v>0</v>
      </c>
      <c r="BK61" s="21" t="str">
        <f ca="1">_xlfn.FORMULATEXT(BE61)</f>
        <v>=G167</v>
      </c>
      <c r="BL61" s="21" t="str">
        <f ca="1">_xlfn.FORMULATEXT(BE61)</f>
        <v>=G167</v>
      </c>
    </row>
    <row r="62" spans="1:1 23:64" ht="14.5">
      <c r="A62" s="21" t="s">
        <v>673</v>
      </c>
      <c r="W62" s="22"/>
      <c r="X62" s="22"/>
      <c r="Y62" s="22"/>
      <c r="AA62" s="22"/>
      <c r="AB62" s="22"/>
      <c r="AC62" s="22"/>
      <c r="AD62" s="22">
        <f>ROW()</f>
        <v>62</v>
      </c>
      <c r="AE62" s="22"/>
      <c r="AF62" s="22"/>
      <c r="AG62" s="22"/>
      <c r="AH62" s="22"/>
      <c r="AI62" s="22"/>
      <c r="AJ62" s="22"/>
      <c r="AK62" s="22"/>
      <c r="AL62" s="22"/>
      <c r="AM62" s="22"/>
      <c r="AN62" s="22"/>
      <c r="AO62" s="22"/>
      <c r="AP62" s="22"/>
      <c r="BB62" s="30" t="s">
        <v>412</v>
      </c>
      <c r="BC62" s="21" t="s">
        <v>127</v>
      </c>
      <c r="BD62" s="21" t="b">
        <v>0</v>
      </c>
      <c r="BE62" s="21">
        <f>G169</f>
        <v>0</v>
      </c>
      <c r="BF62" s="21" t="str">
        <f>""&amp;G169</f>
        <v/>
      </c>
      <c r="BG62" s="21" t="b">
        <v>0</v>
      </c>
      <c r="BH62" s="21" t="b">
        <v>0</v>
      </c>
      <c r="BK62" s="21" t="str">
        <f ca="1">_xlfn.FORMULATEXT(BE62)</f>
        <v>=G169</v>
      </c>
      <c r="BL62" s="21" t="str">
        <f ca="1">_xlfn.FORMULATEXT(BE62)</f>
        <v>=G169</v>
      </c>
    </row>
    <row r="63" spans="1:64" ht="14.5">
      <c r="A63" s="21" t="s">
        <v>673</v>
      </c>
      <c r="B63" s="97" t="s">
        <v>413</v>
      </c>
      <c r="C63" s="97"/>
      <c r="D63" s="97"/>
      <c r="E63" s="97" t="s">
        <v>414</v>
      </c>
      <c r="F63" s="97"/>
      <c r="G63" s="97"/>
      <c r="H63" s="97"/>
      <c r="I63" s="97" t="s">
        <v>415</v>
      </c>
      <c r="J63" s="97"/>
      <c r="K63" s="97"/>
      <c r="L63" s="97" t="s">
        <v>416</v>
      </c>
      <c r="M63" s="97"/>
      <c r="N63" s="97"/>
      <c r="O63" s="97"/>
      <c r="W63" s="22"/>
      <c r="X63" s="22"/>
      <c r="Y63" s="22"/>
      <c r="AA63" s="22"/>
      <c r="AB63" s="22"/>
      <c r="AC63" s="22"/>
      <c r="AD63" s="22">
        <f>ROW()</f>
        <v>63</v>
      </c>
      <c r="AE63" s="22"/>
      <c r="AF63" s="22"/>
      <c r="AG63" s="22"/>
      <c r="AH63" s="22"/>
      <c r="AI63" s="22"/>
      <c r="AJ63" s="22"/>
      <c r="AK63" s="22"/>
      <c r="AL63" s="22"/>
      <c r="AM63" s="22"/>
      <c r="AN63" s="22"/>
      <c r="AO63" s="22"/>
      <c r="AP63" s="22"/>
      <c r="BB63" s="30" t="s">
        <v>417</v>
      </c>
      <c r="BC63" s="21" t="s">
        <v>127</v>
      </c>
      <c r="BD63" s="21" t="b">
        <v>0</v>
      </c>
      <c r="BE63" s="21">
        <f>G171</f>
        <v>0</v>
      </c>
      <c r="BF63" s="21" t="str">
        <f>""&amp;G171</f>
        <v/>
      </c>
      <c r="BG63" s="21" t="b">
        <v>0</v>
      </c>
      <c r="BH63" s="21" t="b">
        <v>0</v>
      </c>
      <c r="BK63" s="21" t="str">
        <f ca="1">_xlfn.FORMULATEXT(BE63)</f>
        <v>=G171</v>
      </c>
      <c r="BL63" s="21" t="str">
        <f ca="1">_xlfn.FORMULATEXT(BE63)</f>
        <v>=G171</v>
      </c>
    </row>
    <row r="64" spans="1:64" ht="14.5">
      <c r="A64" s="21" t="s">
        <v>673</v>
      </c>
      <c r="B64" s="667"/>
      <c r="C64" s="667"/>
      <c r="D64" s="667"/>
      <c r="E64" s="667"/>
      <c r="F64" s="667"/>
      <c r="G64" s="667"/>
      <c r="H64" s="667"/>
      <c r="I64" s="667"/>
      <c r="J64" s="667"/>
      <c r="K64" s="667"/>
      <c r="L64" s="667"/>
      <c r="M64" s="667"/>
      <c r="N64" s="667"/>
      <c r="O64" s="667"/>
      <c r="R64" s="78"/>
      <c r="AD64" s="22">
        <f>ROW()</f>
        <v>64</v>
      </c>
      <c r="AE64" s="22"/>
      <c r="AF64" s="22"/>
      <c r="AG64" s="22"/>
      <c r="AH64" s="22"/>
      <c r="AI64" s="22"/>
      <c r="AJ64" s="22"/>
      <c r="AK64" s="22"/>
      <c r="AL64" s="22"/>
      <c r="AM64" s="22"/>
      <c r="AN64" s="22"/>
      <c r="AO64" s="22"/>
      <c r="AP64" s="22"/>
      <c r="BB64" s="30" t="s">
        <v>418</v>
      </c>
      <c r="BC64" s="21" t="s">
        <v>127</v>
      </c>
      <c r="BD64" s="21" t="b">
        <v>0</v>
      </c>
      <c r="BE64" s="21">
        <f>G173</f>
        <v>0</v>
      </c>
      <c r="BF64" s="21" t="str">
        <f>""&amp;G173</f>
        <v/>
      </c>
      <c r="BG64" s="21" t="b">
        <v>0</v>
      </c>
      <c r="BH64" s="21" t="b">
        <v>0</v>
      </c>
      <c r="BK64" s="21" t="str">
        <f ca="1">_xlfn.FORMULATEXT(BE64)</f>
        <v>=G173</v>
      </c>
      <c r="BL64" s="21" t="str">
        <f ca="1">_xlfn.FORMULATEXT(BE64)</f>
        <v>=G173</v>
      </c>
    </row>
    <row r="65" spans="1:64" ht="14.5">
      <c r="A65" s="21" t="s">
        <v>673</v>
      </c>
      <c r="B65" s="669" t="s">
        <v>419</v>
      </c>
      <c r="C65" s="668"/>
      <c r="D65" s="579"/>
      <c r="E65" s="673" t="s">
        <v>420</v>
      </c>
      <c r="F65" s="672"/>
      <c r="G65" s="672"/>
      <c r="H65" s="548"/>
      <c r="I65" s="669" t="s">
        <v>421</v>
      </c>
      <c r="J65" s="668"/>
      <c r="K65" s="579"/>
      <c r="L65" s="586" t="s">
        <v>317</v>
      </c>
      <c r="M65" s="585"/>
      <c r="N65" s="585"/>
      <c r="O65" s="587"/>
      <c r="P65" s="674" t="s">
        <v>423</v>
      </c>
      <c r="R65" s="78"/>
      <c r="W65" s="22"/>
      <c r="X65" s="22"/>
      <c r="Y65" s="22"/>
      <c r="AA65" s="22"/>
      <c r="AB65" s="22"/>
      <c r="AC65" s="22"/>
      <c r="AD65" s="22">
        <f>ROW()</f>
        <v>65</v>
      </c>
      <c r="AE65" s="22"/>
      <c r="AF65" s="22"/>
      <c r="AG65" s="22"/>
      <c r="AH65" s="22"/>
      <c r="AI65" s="22"/>
      <c r="AJ65" s="22"/>
      <c r="AK65" s="22"/>
      <c r="AL65" s="22"/>
      <c r="AM65" s="22"/>
      <c r="AN65" s="22"/>
      <c r="AO65" s="22"/>
      <c r="AP65" s="22"/>
      <c r="BB65" s="30" t="s">
        <v>424</v>
      </c>
      <c r="BC65" s="21" t="s">
        <v>127</v>
      </c>
      <c r="BD65" s="21" t="b">
        <v>0</v>
      </c>
      <c r="BE65" s="21">
        <f>G175</f>
        <v>0</v>
      </c>
      <c r="BF65" s="21" t="str">
        <f>""&amp;G175</f>
        <v/>
      </c>
      <c r="BG65" s="21" t="b">
        <v>0</v>
      </c>
      <c r="BH65" s="21" t="b">
        <v>0</v>
      </c>
      <c r="BK65" s="21" t="str">
        <f ca="1">_xlfn.FORMULATEXT(BE65)</f>
        <v>=G175</v>
      </c>
      <c r="BL65" s="21" t="str">
        <f ca="1">_xlfn.FORMULATEXT(BE65)</f>
        <v>=G175</v>
      </c>
    </row>
    <row r="66" spans="1:64" ht="14.5">
      <c r="A66" s="21"/>
      <c r="B66" s="669" t="s">
        <v>422</v>
      </c>
      <c r="C66" s="668"/>
      <c r="D66" s="579"/>
      <c r="E66" s="673" t="s">
        <v>1340</v>
      </c>
      <c r="F66" s="672"/>
      <c r="G66" s="672"/>
      <c r="H66" s="548"/>
      <c r="I66" s="669" t="s">
        <v>1345</v>
      </c>
      <c r="J66" s="668"/>
      <c r="K66" s="579"/>
      <c r="L66" s="586" t="s">
        <v>317</v>
      </c>
      <c r="M66" s="585"/>
      <c r="N66" s="585"/>
      <c r="O66" s="587"/>
      <c r="P66" s="674" t="s">
        <v>423</v>
      </c>
      <c r="R66" s="78"/>
      <c r="W66" s="22"/>
      <c r="X66" s="22"/>
      <c r="Y66" s="22"/>
      <c r="AA66" s="22"/>
      <c r="AB66" s="22"/>
      <c r="AC66" s="22"/>
      <c r="AD66" s="22"/>
      <c r="AE66" s="22"/>
      <c r="AF66" s="22"/>
      <c r="AG66" s="22"/>
      <c r="AH66" s="22"/>
      <c r="AI66" s="22"/>
      <c r="AJ66" s="22"/>
      <c r="AK66" s="22"/>
      <c r="AL66" s="22"/>
      <c r="AM66" s="22"/>
      <c r="AN66" s="22"/>
      <c r="AO66" s="22"/>
      <c r="AP66" s="22"/>
      <c r="BB66" s="30"/>
      <c r="BC66" s="21"/>
      <c r="BD66" s="21"/>
      <c r="BE66" s="21"/>
      <c r="BF66" s="21"/>
      <c r="BG66" s="21"/>
      <c r="BH66" s="21"/>
      <c r="BK66" s="21"/>
      <c r="BL66" s="21"/>
    </row>
    <row r="67" spans="1:64" ht="14.5">
      <c r="A67" s="21" t="s">
        <v>673</v>
      </c>
      <c r="P67" s="78"/>
      <c r="R67" s="53"/>
      <c r="W67" s="22"/>
      <c r="X67" s="22"/>
      <c r="Y67" s="22"/>
      <c r="AA67" s="22"/>
      <c r="AB67" s="22"/>
      <c r="AC67" s="22"/>
      <c r="AD67" s="22">
        <f>ROW()</f>
        <v>67</v>
      </c>
      <c r="AE67" s="22"/>
      <c r="AF67" s="22"/>
      <c r="AG67" s="22"/>
      <c r="AH67" s="22"/>
      <c r="AI67" s="22"/>
      <c r="AJ67" s="22"/>
      <c r="AK67" s="22"/>
      <c r="AL67" s="22"/>
      <c r="AM67" s="22"/>
      <c r="AN67" s="22"/>
      <c r="AO67" s="22"/>
      <c r="AP67" s="22"/>
      <c r="BB67" s="30" t="s">
        <v>425</v>
      </c>
      <c r="BC67" s="21" t="s">
        <v>127</v>
      </c>
      <c r="BD67" s="21" t="b">
        <v>0</v>
      </c>
      <c r="BE67" s="21">
        <f>G177</f>
        <v>0</v>
      </c>
      <c r="BF67" s="21" t="str">
        <f>""&amp;G177</f>
        <v/>
      </c>
      <c r="BG67" s="21" t="b">
        <v>0</v>
      </c>
      <c r="BH67" s="21" t="b">
        <v>0</v>
      </c>
      <c r="BK67" s="21" t="str">
        <f ca="1">_xlfn.FORMULATEXT(BE67)</f>
        <v>=G177</v>
      </c>
      <c r="BL67" s="21" t="str">
        <f ca="1">_xlfn.FORMULATEXT(BE67)</f>
        <v>=G177</v>
      </c>
    </row>
    <row r="68" spans="1:64" ht="14.5">
      <c r="A68" s="21" t="s">
        <v>673</v>
      </c>
      <c r="B68" s="42" t="s">
        <v>426</v>
      </c>
      <c r="C68" s="42"/>
      <c r="D68" s="42"/>
      <c r="E68" s="42"/>
      <c r="F68" s="42"/>
      <c r="G68" s="42"/>
      <c r="H68" s="42"/>
      <c r="I68" s="42"/>
      <c r="J68" s="42"/>
      <c r="L68" s="586" t="s">
        <v>317</v>
      </c>
      <c r="M68" s="585"/>
      <c r="N68" s="585"/>
      <c r="O68" s="587"/>
      <c r="P68" s="53"/>
      <c r="R68" s="94"/>
      <c r="W68" s="22"/>
      <c r="X68" s="22"/>
      <c r="Y68" s="22"/>
      <c r="AA68" s="22"/>
      <c r="AB68" s="22"/>
      <c r="AC68" s="22"/>
      <c r="AD68" s="22">
        <f>ROW()</f>
        <v>68</v>
      </c>
      <c r="AE68" s="22"/>
      <c r="AF68" s="22"/>
      <c r="AG68" s="22"/>
      <c r="AH68" s="22"/>
      <c r="AI68" s="22"/>
      <c r="AJ68" s="22"/>
      <c r="AK68" s="22"/>
      <c r="AL68" s="22"/>
      <c r="AM68" s="22"/>
      <c r="AN68" s="22"/>
      <c r="AO68" s="22"/>
      <c r="AP68" s="22"/>
      <c r="BB68" s="30" t="s">
        <v>427</v>
      </c>
      <c r="BC68" s="21" t="s">
        <v>127</v>
      </c>
      <c r="BD68" s="21" t="b">
        <v>0</v>
      </c>
      <c r="BE68" s="21">
        <f>G179</f>
        <v>0</v>
      </c>
      <c r="BF68" s="21" t="str">
        <f>""&amp;G179</f>
        <v/>
      </c>
      <c r="BG68" s="21" t="b">
        <v>0</v>
      </c>
      <c r="BH68" s="21" t="b">
        <v>0</v>
      </c>
      <c r="BK68" s="21" t="str">
        <f ca="1">_xlfn.FORMULATEXT(BE68)</f>
        <v>=G179</v>
      </c>
      <c r="BL68" s="21" t="str">
        <f ca="1">_xlfn.FORMULATEXT(BE68)</f>
        <v>=G179</v>
      </c>
    </row>
    <row r="69" spans="1:64" ht="14.5">
      <c r="A69" s="21" t="s">
        <v>673</v>
      </c>
      <c r="P69" s="94"/>
      <c r="R69" s="94"/>
      <c r="W69" s="22"/>
      <c r="X69" s="22"/>
      <c r="Y69" s="22"/>
      <c r="AA69" s="22"/>
      <c r="AB69" s="22"/>
      <c r="AC69" s="22"/>
      <c r="AD69" s="22">
        <f>ROW()</f>
        <v>69</v>
      </c>
      <c r="AE69" s="22"/>
      <c r="AF69" s="22"/>
      <c r="AG69" s="22"/>
      <c r="AH69" s="22"/>
      <c r="AI69" s="22"/>
      <c r="AJ69" s="22"/>
      <c r="AK69" s="22"/>
      <c r="AL69" s="22"/>
      <c r="AM69" s="22"/>
      <c r="AN69" s="22"/>
      <c r="AO69" s="22"/>
      <c r="AP69" s="22"/>
      <c r="BB69" s="30" t="s">
        <v>428</v>
      </c>
      <c r="BC69" s="21" t="s">
        <v>127</v>
      </c>
      <c r="BD69" s="21" t="b">
        <v>0</v>
      </c>
      <c r="BE69" s="21">
        <f>G181</f>
        <v>0</v>
      </c>
      <c r="BF69" s="21" t="str">
        <f>""&amp;G181</f>
        <v/>
      </c>
      <c r="BG69" s="21" t="b">
        <v>0</v>
      </c>
      <c r="BH69" s="21" t="b">
        <v>0</v>
      </c>
      <c r="BK69" s="21" t="str">
        <f ca="1">_xlfn.FORMULATEXT(BE69)</f>
        <v>=G181</v>
      </c>
      <c r="BL69" s="21" t="str">
        <f ca="1">_xlfn.FORMULATEXT(BE69)</f>
        <v>=G181</v>
      </c>
    </row>
    <row r="70" spans="1:64" ht="14.4" customHeight="1">
      <c r="A70" s="21" t="s">
        <v>673</v>
      </c>
      <c r="B70" s="42" t="s">
        <v>429</v>
      </c>
      <c r="C70" s="42"/>
      <c r="D70" s="42"/>
      <c r="E70" s="42"/>
      <c r="F70" s="42"/>
      <c r="G70" s="42"/>
      <c r="H70" s="42"/>
      <c r="I70" s="42"/>
      <c r="J70" s="42"/>
      <c r="K70" s="43"/>
      <c r="P70" s="94"/>
      <c r="W70" s="22"/>
      <c r="X70" s="22"/>
      <c r="Y70" s="22"/>
      <c r="AA70" s="22"/>
      <c r="AB70" s="22"/>
      <c r="AC70" s="22"/>
      <c r="AD70" s="22">
        <f>ROW()</f>
        <v>70</v>
      </c>
      <c r="AE70" s="22"/>
      <c r="AF70" s="22"/>
      <c r="AG70" s="22"/>
      <c r="AH70" s="22"/>
      <c r="AI70" s="22"/>
      <c r="AJ70" s="22"/>
      <c r="AK70" s="22"/>
      <c r="AL70" s="22"/>
      <c r="AM70" s="22"/>
      <c r="AN70" s="22"/>
      <c r="AO70" s="22"/>
      <c r="AP70" s="22"/>
      <c r="BB70" s="30" t="s">
        <v>430</v>
      </c>
      <c r="BC70" s="21" t="s">
        <v>123</v>
      </c>
      <c r="BD70" s="21" t="b">
        <v>0</v>
      </c>
      <c r="BE70" s="21" t="s">
        <v>431</v>
      </c>
      <c r="BF70" s="21" t="s">
        <v>431</v>
      </c>
      <c r="BG70" s="21" t="b">
        <v>0</v>
      </c>
      <c r="BH70" s="21" t="b">
        <v>0</v>
      </c>
      <c r="BK70" s="21" t="s">
        <v>125</v>
      </c>
      <c r="BL70" s="21" t="s">
        <v>125</v>
      </c>
    </row>
    <row r="71" spans="1:1 23:64" ht="14.5">
      <c r="A71" s="21" t="s">
        <v>673</v>
      </c>
      <c r="W71" s="22"/>
      <c r="X71" s="22"/>
      <c r="Y71" s="22"/>
      <c r="AA71" s="22"/>
      <c r="AB71" s="22"/>
      <c r="AC71" s="22"/>
      <c r="AD71" s="22">
        <f>ROW()</f>
        <v>71</v>
      </c>
      <c r="AE71" s="22"/>
      <c r="AF71" s="22"/>
      <c r="AG71" s="22"/>
      <c r="AH71" s="22"/>
      <c r="AI71" s="22"/>
      <c r="AJ71" s="22"/>
      <c r="AK71" s="22"/>
      <c r="AL71" s="22"/>
      <c r="AM71" s="22"/>
      <c r="AN71" s="22"/>
      <c r="AO71" s="22"/>
      <c r="AP71" s="22"/>
      <c r="BB71" s="30" t="s">
        <v>432</v>
      </c>
      <c r="BC71" s="21" t="s">
        <v>127</v>
      </c>
      <c r="BD71" s="21" t="b">
        <v>0</v>
      </c>
      <c r="BE71" s="21" t="str">
        <f>G200</f>
        <v>31/03/2022</v>
      </c>
      <c r="BF71" s="21" t="str">
        <f>""&amp;G200</f>
        <v>31/03/2022</v>
      </c>
      <c r="BG71" s="21" t="b">
        <v>0</v>
      </c>
      <c r="BH71" s="21" t="b">
        <v>0</v>
      </c>
      <c r="BK71" s="21" t="str">
        <f ca="1">_xlfn.FORMULATEXT(BE71)</f>
        <v>=G200</v>
      </c>
      <c r="BL71" s="21" t="str">
        <f ca="1">_xlfn.FORMULATEXT(BE71)</f>
        <v>=G200</v>
      </c>
    </row>
    <row r="72" spans="1:64" ht="14.5">
      <c r="A72" s="21" t="s">
        <v>673</v>
      </c>
      <c r="B72" s="97" t="s">
        <v>433</v>
      </c>
      <c r="C72" s="97"/>
      <c r="D72" s="97"/>
      <c r="E72" s="97" t="s">
        <v>414</v>
      </c>
      <c r="F72" s="97"/>
      <c r="G72" s="97"/>
      <c r="H72" s="97"/>
      <c r="I72" s="97" t="s">
        <v>415</v>
      </c>
      <c r="J72" s="97"/>
      <c r="K72" s="97"/>
      <c r="L72" s="97" t="s">
        <v>434</v>
      </c>
      <c r="M72" s="97"/>
      <c r="N72" s="97"/>
      <c r="O72" s="97"/>
      <c r="W72" s="22"/>
      <c r="X72" s="22"/>
      <c r="Y72" s="22"/>
      <c r="AA72" s="22"/>
      <c r="AB72" s="22"/>
      <c r="AC72" s="22"/>
      <c r="AD72" s="22">
        <f>ROW()</f>
        <v>72</v>
      </c>
      <c r="AE72" s="22"/>
      <c r="AF72" s="22"/>
      <c r="AG72" s="22"/>
      <c r="AH72" s="22"/>
      <c r="AI72" s="22"/>
      <c r="AJ72" s="22"/>
      <c r="AK72" s="22"/>
      <c r="AL72" s="22"/>
      <c r="AM72" s="22"/>
      <c r="AN72" s="22"/>
      <c r="AO72" s="22"/>
      <c r="AP72" s="22"/>
      <c r="BB72" s="30" t="s">
        <v>435</v>
      </c>
      <c r="BC72" s="21" t="s">
        <v>127</v>
      </c>
      <c r="BD72" s="21" t="b">
        <v>0</v>
      </c>
      <c r="BE72" s="21" t="str">
        <f>J200</f>
        <v>31/03/2021</v>
      </c>
      <c r="BF72" s="21" t="str">
        <f>""&amp;J200</f>
        <v>31/03/2021</v>
      </c>
      <c r="BG72" s="21" t="b">
        <v>1</v>
      </c>
      <c r="BH72" s="21" t="b">
        <v>0</v>
      </c>
      <c r="BK72" s="21" t="str">
        <f ca="1">_xlfn.FORMULATEXT(BE72)</f>
        <v>=J200</v>
      </c>
      <c r="BL72" s="21" t="str">
        <f ca="1">_xlfn.FORMULATEXT(BE72)</f>
        <v>=J200</v>
      </c>
    </row>
    <row r="73" spans="1:64" ht="14.5">
      <c r="A73" s="21" t="s">
        <v>673</v>
      </c>
      <c r="B73" s="667"/>
      <c r="C73" s="667"/>
      <c r="D73" s="667"/>
      <c r="E73" s="667"/>
      <c r="F73" s="667"/>
      <c r="G73" s="667"/>
      <c r="H73" s="667"/>
      <c r="I73" s="667"/>
      <c r="J73" s="667"/>
      <c r="K73" s="667"/>
      <c r="L73" s="667"/>
      <c r="M73" s="667"/>
      <c r="N73" s="667"/>
      <c r="O73" s="667"/>
      <c r="W73" s="22"/>
      <c r="X73" s="22"/>
      <c r="Y73" s="22"/>
      <c r="AA73" s="22"/>
      <c r="AB73" s="22"/>
      <c r="AC73" s="22"/>
      <c r="AD73" s="22">
        <f>ROW()</f>
        <v>73</v>
      </c>
      <c r="AE73" s="22"/>
      <c r="AF73" s="22"/>
      <c r="AG73" s="22"/>
      <c r="AH73" s="22"/>
      <c r="AI73" s="22"/>
      <c r="AJ73" s="22"/>
      <c r="AK73" s="22"/>
      <c r="AL73" s="22"/>
      <c r="AM73" s="22"/>
      <c r="AN73" s="22"/>
      <c r="AO73" s="22"/>
      <c r="AP73" s="22"/>
      <c r="BB73" s="30" t="s">
        <v>436</v>
      </c>
      <c r="BC73" s="21" t="s">
        <v>127</v>
      </c>
      <c r="BD73" s="21" t="b">
        <v>1</v>
      </c>
      <c r="BE73" s="21">
        <f>G204</f>
        <v>0</v>
      </c>
      <c r="BF73" s="21" t="str">
        <f>""&amp;G204</f>
        <v/>
      </c>
      <c r="BG73" s="21" t="b">
        <v>1</v>
      </c>
      <c r="BH73" s="21" t="b">
        <v>0</v>
      </c>
      <c r="BK73" s="21" t="str">
        <f ca="1">_xlfn.FORMULATEXT(BE73)</f>
        <v>=G204</v>
      </c>
      <c r="BL73" s="21" t="str">
        <f ca="1">_xlfn.FORMULATEXT(BE73)</f>
        <v>=G204</v>
      </c>
    </row>
    <row r="74" spans="1:64" ht="14.5">
      <c r="A74" s="21" t="s">
        <v>673</v>
      </c>
      <c r="B74" s="669" t="s">
        <v>419</v>
      </c>
      <c r="C74" s="668"/>
      <c r="D74" s="579"/>
      <c r="E74" s="673" t="s">
        <v>420</v>
      </c>
      <c r="F74" s="672"/>
      <c r="G74" s="672"/>
      <c r="H74" s="548"/>
      <c r="I74" s="669" t="s">
        <v>421</v>
      </c>
      <c r="J74" s="668"/>
      <c r="K74" s="579"/>
      <c r="L74" s="586" t="s">
        <v>317</v>
      </c>
      <c r="M74" s="585"/>
      <c r="N74" s="585"/>
      <c r="O74" s="587"/>
      <c r="P74" s="674" t="s">
        <v>441</v>
      </c>
      <c r="W74" s="22"/>
      <c r="X74" s="22"/>
      <c r="Y74" s="22"/>
      <c r="AA74" s="22"/>
      <c r="AB74" s="22"/>
      <c r="AC74" s="22"/>
      <c r="AD74" s="22">
        <f>ROW()</f>
        <v>74</v>
      </c>
      <c r="AE74" s="22"/>
      <c r="AF74" s="22"/>
      <c r="AG74" s="22"/>
      <c r="AH74" s="22"/>
      <c r="AI74" s="22"/>
      <c r="AJ74" s="22"/>
      <c r="AK74" s="22"/>
      <c r="AL74" s="22"/>
      <c r="AM74" s="22"/>
      <c r="AN74" s="22"/>
      <c r="AO74" s="22"/>
      <c r="AP74" s="22"/>
      <c r="BB74" s="30" t="s">
        <v>442</v>
      </c>
      <c r="BC74" s="21" t="s">
        <v>127</v>
      </c>
      <c r="BD74" s="21" t="b">
        <v>1</v>
      </c>
      <c r="BE74" s="21" t="str">
        <f>J204</f>
        <v>10000</v>
      </c>
      <c r="BF74" s="21" t="str">
        <f>""&amp;J204</f>
        <v>10000</v>
      </c>
      <c r="BG74" s="21" t="b">
        <v>1</v>
      </c>
      <c r="BH74" s="21" t="b">
        <v>0</v>
      </c>
      <c r="BI74" s="21" t="str">
        <f>BE74</f>
        <v>10000</v>
      </c>
      <c r="BK74" s="21" t="str">
        <f ca="1">_xlfn.FORMULATEXT(BE74)</f>
        <v>=J204</v>
      </c>
      <c r="BL74" s="21" t="str">
        <f ca="1">_xlfn.FORMULATEXT(BE74)</f>
        <v>=J204</v>
      </c>
    </row>
    <row r="75" spans="1:64" ht="14.5">
      <c r="A75" s="21"/>
      <c r="B75" s="669" t="s">
        <v>422</v>
      </c>
      <c r="C75" s="668"/>
      <c r="D75" s="579"/>
      <c r="E75" s="673" t="s">
        <v>1340</v>
      </c>
      <c r="F75" s="672"/>
      <c r="G75" s="672"/>
      <c r="H75" s="548"/>
      <c r="I75" s="669" t="s">
        <v>1345</v>
      </c>
      <c r="J75" s="668"/>
      <c r="K75" s="579"/>
      <c r="L75" s="586" t="s">
        <v>317</v>
      </c>
      <c r="M75" s="585"/>
      <c r="N75" s="585"/>
      <c r="O75" s="587"/>
      <c r="P75" s="674" t="s">
        <v>441</v>
      </c>
      <c r="W75" s="22"/>
      <c r="X75" s="22"/>
      <c r="Y75" s="22"/>
      <c r="AA75" s="22"/>
      <c r="AB75" s="22"/>
      <c r="AC75" s="22"/>
      <c r="AD75" s="22"/>
      <c r="AE75" s="22"/>
      <c r="AF75" s="22"/>
      <c r="AG75" s="22"/>
      <c r="AH75" s="22"/>
      <c r="AI75" s="22"/>
      <c r="AJ75" s="22"/>
      <c r="AK75" s="22"/>
      <c r="AL75" s="22"/>
      <c r="AM75" s="22"/>
      <c r="AN75" s="22"/>
      <c r="AO75" s="22"/>
      <c r="AP75" s="22"/>
      <c r="BB75" s="30"/>
      <c r="BC75" s="21"/>
      <c r="BD75" s="21"/>
      <c r="BE75" s="21"/>
      <c r="BF75" s="21"/>
      <c r="BG75" s="21"/>
      <c r="BH75" s="21"/>
      <c r="BI75" s="21"/>
      <c r="BK75" s="21"/>
      <c r="BL75" s="21"/>
    </row>
    <row r="76" spans="1:1 23:64" ht="14.5">
      <c r="A76" s="21" t="s">
        <v>673</v>
      </c>
      <c r="W76" s="22"/>
      <c r="X76" s="22"/>
      <c r="Y76" s="22"/>
      <c r="AA76" s="22"/>
      <c r="AB76" s="22"/>
      <c r="AC76" s="22"/>
      <c r="AD76" s="22">
        <f>ROW()</f>
        <v>76</v>
      </c>
      <c r="AE76" s="22"/>
      <c r="AF76" s="22"/>
      <c r="AG76" s="22"/>
      <c r="AH76" s="22"/>
      <c r="AI76" s="22"/>
      <c r="AJ76" s="22"/>
      <c r="AK76" s="22"/>
      <c r="AL76" s="22"/>
      <c r="AM76" s="22"/>
      <c r="AN76" s="22"/>
      <c r="AO76" s="22"/>
      <c r="AP76" s="22"/>
      <c r="BB76" s="30" t="s">
        <v>443</v>
      </c>
      <c r="BC76" s="21" t="s">
        <v>127</v>
      </c>
      <c r="BD76" s="21" t="b">
        <v>0</v>
      </c>
      <c r="BE76" s="21">
        <f>M204</f>
        <v>0</v>
      </c>
      <c r="BF76" s="21" t="str">
        <f>""&amp;M204</f>
        <v/>
      </c>
      <c r="BG76" s="21" t="b">
        <v>1</v>
      </c>
      <c r="BH76" s="21" t="b">
        <v>0</v>
      </c>
      <c r="BI76" s="21" t="str">
        <f>BE74</f>
        <v>10000</v>
      </c>
      <c r="BK76" s="21" t="str">
        <f ca="1">_xlfn.FORMULATEXT(BE76)</f>
        <v>=M204</v>
      </c>
      <c r="BL76" s="21" t="str">
        <f ca="1">_xlfn.FORMULATEXT(BE76)</f>
        <v>=M204</v>
      </c>
    </row>
    <row r="77" spans="1:64" ht="14.4" customHeight="1">
      <c r="A77" s="21" t="s">
        <v>673</v>
      </c>
      <c r="B77" s="42" t="s">
        <v>444</v>
      </c>
      <c r="C77" s="42"/>
      <c r="D77" s="42"/>
      <c r="E77" s="42"/>
      <c r="F77" s="42"/>
      <c r="G77" s="42"/>
      <c r="H77" s="42"/>
      <c r="I77" s="42"/>
      <c r="J77" s="42"/>
      <c r="L77" s="586" t="s">
        <v>317</v>
      </c>
      <c r="M77" s="585"/>
      <c r="N77" s="585"/>
      <c r="O77" s="587"/>
      <c r="W77" s="22"/>
      <c r="X77" s="22"/>
      <c r="Y77" s="22"/>
      <c r="AA77" s="22"/>
      <c r="AB77" s="22"/>
      <c r="AC77" s="22"/>
      <c r="AD77" s="22">
        <f>ROW()</f>
        <v>77</v>
      </c>
      <c r="AE77" s="22"/>
      <c r="AF77" s="22"/>
      <c r="AG77" s="22"/>
      <c r="AH77" s="22"/>
      <c r="AI77" s="22"/>
      <c r="AJ77" s="22"/>
      <c r="AK77" s="22"/>
      <c r="AL77" s="22"/>
      <c r="AM77" s="22"/>
      <c r="AN77" s="22"/>
      <c r="AO77" s="22"/>
      <c r="AP77" s="22"/>
      <c r="BB77" s="30" t="s">
        <v>445</v>
      </c>
      <c r="BC77" s="21" t="s">
        <v>127</v>
      </c>
      <c r="BD77" s="21" t="b">
        <v>1</v>
      </c>
      <c r="BE77" s="21">
        <f>G205</f>
        <v>0</v>
      </c>
      <c r="BF77" s="21" t="str">
        <f>""&amp;G205</f>
        <v/>
      </c>
      <c r="BG77" s="21" t="b">
        <v>1</v>
      </c>
      <c r="BH77" s="21" t="b">
        <v>0</v>
      </c>
      <c r="BK77" s="21" t="str">
        <f ca="1">_xlfn.FORMULATEXT(BE77)</f>
        <v>=G205</v>
      </c>
      <c r="BL77" s="21" t="str">
        <f ca="1">_xlfn.FORMULATEXT(BE77)</f>
        <v>=G205</v>
      </c>
    </row>
    <row r="78" spans="1:1 23:64" ht="14.5">
      <c r="A78" s="21" t="s">
        <v>673</v>
      </c>
      <c r="W78" s="22"/>
      <c r="X78" s="22"/>
      <c r="Y78" s="22"/>
      <c r="AD78" s="22">
        <f>ROW()</f>
        <v>78</v>
      </c>
      <c r="AE78" s="22"/>
      <c r="AF78" s="22"/>
      <c r="AG78" s="22"/>
      <c r="AH78" s="22"/>
      <c r="AI78" s="22"/>
      <c r="AJ78" s="22"/>
      <c r="AK78" s="22"/>
      <c r="AL78" s="22"/>
      <c r="AM78" s="22"/>
      <c r="AN78" s="22"/>
      <c r="AO78" s="22"/>
      <c r="AP78" s="22"/>
      <c r="BB78" s="30" t="s">
        <v>446</v>
      </c>
      <c r="BC78" s="21" t="s">
        <v>127</v>
      </c>
      <c r="BD78" s="21" t="b">
        <v>1</v>
      </c>
      <c r="BE78" s="21" t="str">
        <f>J205</f>
        <v>-24323</v>
      </c>
      <c r="BF78" s="21" t="str">
        <f>""&amp;J205</f>
        <v>-24323</v>
      </c>
      <c r="BG78" s="21" t="b">
        <v>1</v>
      </c>
      <c r="BH78" s="21" t="b">
        <v>0</v>
      </c>
      <c r="BI78" s="21" t="str">
        <f>BE78</f>
        <v>-24323</v>
      </c>
      <c r="BK78" s="21" t="str">
        <f ca="1">_xlfn.FORMULATEXT(BE78)</f>
        <v>=J205</v>
      </c>
      <c r="BL78" s="21" t="str">
        <f ca="1">_xlfn.FORMULATEXT(BE78)</f>
        <v>=J205</v>
      </c>
    </row>
    <row r="79" spans="1:64" ht="14.5">
      <c r="A79" s="21" t="s">
        <v>673</v>
      </c>
      <c r="B79" s="95" t="s">
        <v>447</v>
      </c>
      <c r="C79" s="29"/>
      <c r="D79" s="29"/>
      <c r="W79" s="22"/>
      <c r="X79" s="22"/>
      <c r="Y79" s="22"/>
      <c r="AA79" s="22"/>
      <c r="AB79" s="22"/>
      <c r="AC79" s="22"/>
      <c r="AD79" s="22">
        <f>ROW()</f>
        <v>79</v>
      </c>
      <c r="AE79" s="22"/>
      <c r="AF79" s="22"/>
      <c r="AG79" s="22"/>
      <c r="AH79" s="22"/>
      <c r="AI79" s="22"/>
      <c r="AJ79" s="22"/>
      <c r="AK79" s="22"/>
      <c r="AL79" s="22"/>
      <c r="AM79" s="22"/>
      <c r="AN79" s="22"/>
      <c r="AO79" s="22"/>
      <c r="AP79" s="22"/>
      <c r="BB79" s="30" t="s">
        <v>448</v>
      </c>
      <c r="BC79" s="21" t="s">
        <v>127</v>
      </c>
      <c r="BD79" s="21" t="b">
        <v>0</v>
      </c>
      <c r="BE79" s="21">
        <f>M205</f>
        <v>0</v>
      </c>
      <c r="BF79" s="21" t="str">
        <f>""&amp;M205</f>
        <v/>
      </c>
      <c r="BG79" s="21" t="b">
        <v>1</v>
      </c>
      <c r="BH79" s="21" t="b">
        <v>0</v>
      </c>
      <c r="BI79" s="21" t="str">
        <f>BE78</f>
        <v>-24323</v>
      </c>
      <c r="BK79" s="21" t="str">
        <f ca="1">_xlfn.FORMULATEXT(BE79)</f>
        <v>=M205</v>
      </c>
      <c r="BL79" s="21" t="str">
        <f ca="1">_xlfn.FORMULATEXT(BE79)</f>
        <v>=M205</v>
      </c>
    </row>
    <row r="80" spans="1:1 30:64" ht="14.5">
      <c r="A80" s="21" t="s">
        <v>673</v>
      </c>
      <c r="AD80" s="22">
        <f>ROW()</f>
        <v>80</v>
      </c>
      <c r="AE80" s="22"/>
      <c r="AF80" s="22"/>
      <c r="AG80" s="22"/>
      <c r="AH80" s="22"/>
      <c r="AI80" s="22"/>
      <c r="AJ80" s="22"/>
      <c r="AK80" s="22"/>
      <c r="AL80" s="22"/>
      <c r="AM80" s="22"/>
      <c r="AN80" s="22"/>
      <c r="AO80" s="22"/>
      <c r="AP80" s="22"/>
      <c r="BB80" s="30" t="s">
        <v>449</v>
      </c>
      <c r="BC80" s="21" t="s">
        <v>127</v>
      </c>
      <c r="BD80" s="21" t="b">
        <v>1</v>
      </c>
      <c r="BE80" s="21">
        <f>G206</f>
        <v>0</v>
      </c>
      <c r="BF80" s="21" t="str">
        <f>""&amp;G206</f>
        <v/>
      </c>
      <c r="BG80" s="21" t="b">
        <v>1</v>
      </c>
      <c r="BH80" s="21" t="b">
        <v>0</v>
      </c>
      <c r="BK80" s="21" t="str">
        <f ca="1">_xlfn.FORMULATEXT(BE80)</f>
        <v>=G206</v>
      </c>
      <c r="BL80" s="21" t="str">
        <f ca="1">_xlfn.FORMULATEXT(BE80)</f>
        <v>=G206</v>
      </c>
    </row>
    <row r="81" spans="1:64" ht="14.5">
      <c r="A81" s="21" t="s">
        <v>673</v>
      </c>
      <c r="B81" s="85" t="s">
        <v>306</v>
      </c>
      <c r="C81" s="101"/>
      <c r="D81" s="101"/>
      <c r="E81" s="101"/>
      <c r="F81" s="101"/>
      <c r="G81" s="101"/>
      <c r="H81" s="101"/>
      <c r="W81" s="22"/>
      <c r="X81" s="22"/>
      <c r="Y81" s="22"/>
      <c r="AA81" s="592">
        <v>1</v>
      </c>
      <c r="AB81" s="22">
        <f>IF(AC81="0",1,IF(AC81="1",2,IF(AC81="2",3,"")))</f>
        <v>1</v>
      </c>
      <c r="AC81" s="22" t="s">
        <v>450</v>
      </c>
      <c r="AD81" s="22">
        <f>ROW()</f>
        <v>81</v>
      </c>
      <c r="AE81" s="22"/>
      <c r="AF81" s="22"/>
      <c r="AG81" s="22"/>
      <c r="AH81" s="22"/>
      <c r="AI81" s="22"/>
      <c r="AJ81" s="22"/>
      <c r="AK81" s="22"/>
      <c r="AL81" s="22"/>
      <c r="AM81" s="22"/>
      <c r="AN81" s="22"/>
      <c r="AO81" s="22"/>
      <c r="AP81" s="22"/>
      <c r="BB81" s="30" t="s">
        <v>451</v>
      </c>
      <c r="BC81" s="21" t="s">
        <v>127</v>
      </c>
      <c r="BD81" s="21" t="b">
        <v>1</v>
      </c>
      <c r="BE81" s="21" t="str">
        <f>J206</f>
        <v>0</v>
      </c>
      <c r="BF81" s="21" t="str">
        <f>""&amp;J206</f>
        <v>0</v>
      </c>
      <c r="BG81" s="21" t="b">
        <v>1</v>
      </c>
      <c r="BH81" s="21" t="b">
        <v>0</v>
      </c>
      <c r="BI81" s="21" t="str">
        <f>BE81</f>
        <v>0</v>
      </c>
      <c r="BK81" s="21" t="str">
        <f ca="1">_xlfn.FORMULATEXT(BE81)</f>
        <v>=J206</v>
      </c>
      <c r="BL81" s="21" t="str">
        <f ca="1">_xlfn.FORMULATEXT(BE81)</f>
        <v>=J206</v>
      </c>
    </row>
    <row r="82" spans="1:1 23:64" ht="14.5">
      <c r="A82" s="21" t="s">
        <v>673</v>
      </c>
      <c r="W82" s="22"/>
      <c r="X82" s="22"/>
      <c r="Y82" s="22"/>
      <c r="AA82" s="22"/>
      <c r="AB82" s="22"/>
      <c r="AC82" s="22"/>
      <c r="AD82" s="22">
        <f>ROW()</f>
        <v>82</v>
      </c>
      <c r="AE82" s="22"/>
      <c r="AF82" s="22"/>
      <c r="AG82" s="22"/>
      <c r="AH82" s="22"/>
      <c r="AI82" s="22"/>
      <c r="AJ82" s="22"/>
      <c r="AK82" s="22"/>
      <c r="AL82" s="22"/>
      <c r="AM82" s="22"/>
      <c r="AN82" s="22"/>
      <c r="AO82" s="22"/>
      <c r="AP82" s="22"/>
      <c r="BB82" s="30" t="s">
        <v>452</v>
      </c>
      <c r="BC82" s="21" t="s">
        <v>127</v>
      </c>
      <c r="BD82" s="21" t="b">
        <v>0</v>
      </c>
      <c r="BE82" s="21">
        <f>M206</f>
        <v>0</v>
      </c>
      <c r="BF82" s="21" t="str">
        <f>""&amp;M206</f>
        <v/>
      </c>
      <c r="BG82" s="21" t="b">
        <v>1</v>
      </c>
      <c r="BH82" s="21" t="b">
        <v>0</v>
      </c>
      <c r="BI82" s="21" t="str">
        <f>BE81</f>
        <v>0</v>
      </c>
      <c r="BK82" s="21" t="str">
        <f ca="1">_xlfn.FORMULATEXT(BE82)</f>
        <v>=M206</v>
      </c>
      <c r="BL82" s="21" t="str">
        <f ca="1">_xlfn.FORMULATEXT(BE82)</f>
        <v>=M206</v>
      </c>
    </row>
    <row r="83" spans="1:64" ht="14.5">
      <c r="A83" s="21" t="s">
        <v>673</v>
      </c>
      <c r="B83" s="85" t="s">
        <v>453</v>
      </c>
      <c r="C83" s="101"/>
      <c r="D83" s="101"/>
      <c r="E83" s="101"/>
      <c r="G83" s="586" t="s">
        <v>317</v>
      </c>
      <c r="H83" s="585"/>
      <c r="I83" s="585"/>
      <c r="J83" s="587"/>
      <c r="W83" s="22"/>
      <c r="X83" s="22"/>
      <c r="Y83" s="22"/>
      <c r="AA83" s="22"/>
      <c r="AB83" s="22"/>
      <c r="AC83" s="22"/>
      <c r="AD83" s="22">
        <f>ROW()</f>
        <v>83</v>
      </c>
      <c r="AE83" s="22"/>
      <c r="AF83" s="22"/>
      <c r="AG83" s="22"/>
      <c r="AH83" s="22"/>
      <c r="AI83" s="22"/>
      <c r="AJ83" s="22"/>
      <c r="AK83" s="22"/>
      <c r="AL83" s="22"/>
      <c r="AM83" s="22"/>
      <c r="AN83" s="22"/>
      <c r="AO83" s="22"/>
      <c r="AP83" s="22"/>
      <c r="BB83" s="30" t="s">
        <v>454</v>
      </c>
      <c r="BC83" s="21" t="s">
        <v>127</v>
      </c>
      <c r="BD83" s="21" t="b">
        <v>1</v>
      </c>
      <c r="BE83" s="21">
        <f>G208</f>
        <v>0</v>
      </c>
      <c r="BF83" s="21" t="str">
        <f>""&amp;G208</f>
        <v/>
      </c>
      <c r="BG83" s="21" t="b">
        <v>1</v>
      </c>
      <c r="BH83" s="21" t="b">
        <v>0</v>
      </c>
      <c r="BK83" s="21" t="str">
        <f ca="1">_xlfn.FORMULATEXT(BE83)</f>
        <v>=G208</v>
      </c>
      <c r="BL83" s="21" t="str">
        <f ca="1">_xlfn.FORMULATEXT(BE83)</f>
        <v>=G208</v>
      </c>
    </row>
    <row r="84" spans="1:1 23:64" ht="14.5">
      <c r="A84" s="21" t="s">
        <v>673</v>
      </c>
      <c r="W84" s="22"/>
      <c r="X84" s="22"/>
      <c r="Y84" s="22"/>
      <c r="AD84" s="22">
        <f>ROW()</f>
        <v>84</v>
      </c>
      <c r="AE84" s="22"/>
      <c r="AF84" s="22"/>
      <c r="AG84" s="22"/>
      <c r="AH84" s="22"/>
      <c r="AI84" s="22"/>
      <c r="AJ84" s="22"/>
      <c r="AK84" s="22"/>
      <c r="AL84" s="22"/>
      <c r="AM84" s="22"/>
      <c r="AN84" s="22"/>
      <c r="AO84" s="22"/>
      <c r="AP84" s="22"/>
      <c r="BB84" s="30" t="s">
        <v>455</v>
      </c>
      <c r="BC84" s="21" t="s">
        <v>127</v>
      </c>
      <c r="BD84" s="21" t="b">
        <v>1</v>
      </c>
      <c r="BE84" s="21" t="str">
        <f>J208</f>
        <v>0</v>
      </c>
      <c r="BF84" s="21" t="str">
        <f>""&amp;J208</f>
        <v>0</v>
      </c>
      <c r="BG84" s="21" t="b">
        <v>1</v>
      </c>
      <c r="BH84" s="21" t="b">
        <v>0</v>
      </c>
      <c r="BI84" s="21" t="str">
        <f>BE84</f>
        <v>0</v>
      </c>
      <c r="BK84" s="21" t="str">
        <f ca="1">_xlfn.FORMULATEXT(BE84)</f>
        <v>=J208</v>
      </c>
      <c r="BL84" s="21" t="str">
        <f ca="1">_xlfn.FORMULATEXT(BE84)</f>
        <v>=J208</v>
      </c>
    </row>
    <row r="85" spans="1:64" ht="14.5">
      <c r="A85" s="21" t="s">
        <v>673</v>
      </c>
      <c r="B85" s="85" t="s">
        <v>456</v>
      </c>
      <c r="C85" s="101"/>
      <c r="D85" s="101"/>
      <c r="E85" s="101"/>
      <c r="F85" s="102"/>
      <c r="G85" s="586" t="s">
        <v>457</v>
      </c>
      <c r="H85" s="585"/>
      <c r="I85" s="585"/>
      <c r="J85" s="587"/>
      <c r="W85" s="22"/>
      <c r="X85" s="22"/>
      <c r="Y85" s="22"/>
      <c r="AA85" s="22"/>
      <c r="AB85" s="22"/>
      <c r="AC85" s="22"/>
      <c r="AD85" s="22">
        <f>ROW()</f>
        <v>85</v>
      </c>
      <c r="AE85" s="22"/>
      <c r="AF85" s="22"/>
      <c r="AG85" s="22"/>
      <c r="AH85" s="22"/>
      <c r="AI85" s="22"/>
      <c r="AJ85" s="22"/>
      <c r="AK85" s="22"/>
      <c r="AL85" s="22"/>
      <c r="AM85" s="22"/>
      <c r="AN85" s="22"/>
      <c r="AO85" s="22"/>
      <c r="AP85" s="22"/>
      <c r="BB85" s="30" t="s">
        <v>458</v>
      </c>
      <c r="BC85" s="21" t="s">
        <v>127</v>
      </c>
      <c r="BD85" s="21" t="b">
        <v>0</v>
      </c>
      <c r="BE85" s="21">
        <f>M208</f>
        <v>0</v>
      </c>
      <c r="BF85" s="21" t="str">
        <f>""&amp;M208</f>
        <v/>
      </c>
      <c r="BG85" s="21" t="b">
        <v>1</v>
      </c>
      <c r="BH85" s="21" t="b">
        <v>0</v>
      </c>
      <c r="BI85" s="21" t="str">
        <f>BE84</f>
        <v>0</v>
      </c>
      <c r="BK85" s="21" t="str">
        <f ca="1">_xlfn.FORMULATEXT(BE85)</f>
        <v>=M208</v>
      </c>
      <c r="BL85" s="21" t="str">
        <f ca="1">_xlfn.FORMULATEXT(BE85)</f>
        <v>=M208</v>
      </c>
    </row>
    <row r="86" spans="1:1 23:64" ht="14.5">
      <c r="A86" s="21" t="s">
        <v>673</v>
      </c>
      <c r="W86" s="22"/>
      <c r="X86" s="22"/>
      <c r="Y86" s="22"/>
      <c r="AA86" s="22"/>
      <c r="AB86" s="22"/>
      <c r="AC86" s="22"/>
      <c r="AD86" s="22">
        <f>ROW()</f>
        <v>86</v>
      </c>
      <c r="AE86" s="22"/>
      <c r="AF86" s="22"/>
      <c r="AG86" s="22"/>
      <c r="AH86" s="22"/>
      <c r="AI86" s="22"/>
      <c r="AJ86" s="22"/>
      <c r="AK86" s="22"/>
      <c r="AL86" s="22"/>
      <c r="AM86" s="22"/>
      <c r="AN86" s="22"/>
      <c r="AO86" s="22"/>
      <c r="AP86" s="22"/>
      <c r="BB86" s="30" t="s">
        <v>459</v>
      </c>
      <c r="BC86" s="21" t="s">
        <v>127</v>
      </c>
      <c r="BD86" s="21" t="b">
        <v>1</v>
      </c>
      <c r="BE86" s="21">
        <f>G212</f>
        <v>0</v>
      </c>
      <c r="BF86" s="21" t="str">
        <f>""&amp;G212</f>
        <v/>
      </c>
      <c r="BG86" s="21" t="b">
        <v>1</v>
      </c>
      <c r="BH86" s="21" t="b">
        <v>0</v>
      </c>
      <c r="BK86" s="21" t="str">
        <f ca="1">_xlfn.FORMULATEXT(BE86)</f>
        <v>=G212</v>
      </c>
      <c r="BL86" s="21" t="str">
        <f ca="1">_xlfn.FORMULATEXT(BE86)</f>
        <v>=G212</v>
      </c>
    </row>
    <row r="87" spans="1:64" ht="14.5">
      <c r="A87" s="21" t="s">
        <v>673</v>
      </c>
      <c r="B87" s="85" t="s">
        <v>460</v>
      </c>
      <c r="C87" s="101"/>
      <c r="D87" s="101"/>
      <c r="E87" s="101"/>
      <c r="W87" s="22"/>
      <c r="X87" s="22"/>
      <c r="Y87" s="22"/>
      <c r="AA87" s="592">
        <v>2</v>
      </c>
      <c r="AB87" s="22">
        <f>IF(AC87="0",1,2)</f>
        <v>2</v>
      </c>
      <c r="AC87" s="22" t="s">
        <v>44</v>
      </c>
      <c r="AD87" s="22">
        <f>ROW()</f>
        <v>87</v>
      </c>
      <c r="AE87" s="22"/>
      <c r="AF87" s="22"/>
      <c r="AG87" s="22"/>
      <c r="AH87" s="22"/>
      <c r="AI87" s="22"/>
      <c r="AJ87" s="22"/>
      <c r="AK87" s="22"/>
      <c r="AL87" s="22"/>
      <c r="AM87" s="22"/>
      <c r="AN87" s="22"/>
      <c r="AO87" s="22"/>
      <c r="AP87" s="22"/>
      <c r="BB87" s="30" t="s">
        <v>461</v>
      </c>
      <c r="BC87" s="21" t="s">
        <v>127</v>
      </c>
      <c r="BD87" s="21" t="b">
        <v>1</v>
      </c>
      <c r="BE87" s="21" t="str">
        <f>J212</f>
        <v>815620</v>
      </c>
      <c r="BF87" s="21" t="str">
        <f>""&amp;J212</f>
        <v>815620</v>
      </c>
      <c r="BG87" s="21" t="b">
        <v>1</v>
      </c>
      <c r="BH87" s="21" t="b">
        <v>0</v>
      </c>
      <c r="BI87" s="21" t="str">
        <f>BE87</f>
        <v>815620</v>
      </c>
      <c r="BK87" s="21" t="str">
        <f ca="1">_xlfn.FORMULATEXT(BE87)</f>
        <v>=J212</v>
      </c>
      <c r="BL87" s="21" t="str">
        <f ca="1">_xlfn.FORMULATEXT(BE87)</f>
        <v>=J212</v>
      </c>
    </row>
    <row r="88" spans="1:1 23:64" ht="14.5">
      <c r="A88" s="21" t="s">
        <v>673</v>
      </c>
      <c r="W88" s="22"/>
      <c r="X88" s="22"/>
      <c r="Y88" s="22"/>
      <c r="AA88" s="22"/>
      <c r="AB88" s="22"/>
      <c r="AC88" s="22"/>
      <c r="AD88" s="22">
        <f>ROW()</f>
        <v>88</v>
      </c>
      <c r="AE88" s="22"/>
      <c r="AF88" s="22"/>
      <c r="AG88" s="22"/>
      <c r="AH88" s="22"/>
      <c r="AI88" s="22"/>
      <c r="AJ88" s="22"/>
      <c r="AK88" s="22"/>
      <c r="AL88" s="22"/>
      <c r="AM88" s="22"/>
      <c r="AN88" s="22"/>
      <c r="AO88" s="22"/>
      <c r="AP88" s="22"/>
      <c r="BB88" s="30" t="s">
        <v>462</v>
      </c>
      <c r="BC88" s="21" t="s">
        <v>127</v>
      </c>
      <c r="BD88" s="21" t="b">
        <v>0</v>
      </c>
      <c r="BE88" s="21">
        <f>M212</f>
        <v>0</v>
      </c>
      <c r="BF88" s="21" t="str">
        <f>""&amp;M212</f>
        <v/>
      </c>
      <c r="BG88" s="21" t="b">
        <v>1</v>
      </c>
      <c r="BH88" s="21" t="b">
        <v>0</v>
      </c>
      <c r="BI88" s="21" t="str">
        <f>BE87</f>
        <v>815620</v>
      </c>
      <c r="BK88" s="21" t="str">
        <f ca="1">_xlfn.FORMULATEXT(BE88)</f>
        <v>=M212</v>
      </c>
      <c r="BL88" s="21" t="str">
        <f ca="1">_xlfn.FORMULATEXT(BE88)</f>
        <v>=M212</v>
      </c>
    </row>
    <row r="89" spans="1:81" s="710" customFormat="1" ht="14.5" hidden="1">
      <c r="A89" s="710" t="s">
        <v>673</v>
      </c>
      <c r="B89" s="711" t="s">
        <v>463</v>
      </c>
      <c r="C89" s="725"/>
      <c r="D89" s="725"/>
      <c r="E89" s="725"/>
      <c r="F89" s="710"/>
      <c r="G89" s="598"/>
      <c r="H89" s="597"/>
      <c r="I89" s="597"/>
      <c r="J89" s="599"/>
      <c r="K89" s="710"/>
      <c r="L89" s="710"/>
      <c r="M89" s="710"/>
      <c r="N89" s="710"/>
      <c r="O89" s="710"/>
      <c r="P89" s="710"/>
      <c r="Q89" s="710"/>
      <c r="R89" s="710"/>
      <c r="S89" s="710"/>
      <c r="T89" s="710"/>
      <c r="U89" s="710"/>
      <c r="V89" s="710"/>
      <c r="W89" s="22"/>
      <c r="X89" s="22"/>
      <c r="Y89" s="22"/>
      <c r="Z89" s="710"/>
      <c r="AA89" s="22"/>
      <c r="AB89" s="22"/>
      <c r="AC89" s="22"/>
      <c r="AD89" s="22">
        <f>ROW()</f>
        <v>89</v>
      </c>
      <c r="AE89" s="22"/>
      <c r="AF89" s="22"/>
      <c r="AG89" s="22"/>
      <c r="AH89" s="22"/>
      <c r="AI89" s="22"/>
      <c r="AJ89" s="22"/>
      <c r="AK89" s="22"/>
      <c r="AL89" s="22"/>
      <c r="AM89" s="22"/>
      <c r="AN89" s="22"/>
      <c r="AO89" s="22"/>
      <c r="AP89" s="22"/>
      <c r="AQ89" s="710"/>
      <c r="AR89" s="710"/>
      <c r="AS89" s="710"/>
      <c r="AT89" s="710"/>
      <c r="AU89" s="710"/>
      <c r="AV89" s="710"/>
      <c r="AW89" s="710"/>
      <c r="AX89" s="710"/>
      <c r="AY89" s="710"/>
      <c r="AZ89" s="710"/>
      <c r="BA89" s="710"/>
      <c r="BB89" s="714" t="s">
        <v>464</v>
      </c>
      <c r="BC89" s="710" t="s">
        <v>127</v>
      </c>
      <c r="BD89" s="710" t="b">
        <v>1</v>
      </c>
      <c r="BE89" s="710">
        <f>G213</f>
        <v>0</v>
      </c>
      <c r="BF89" s="710" t="str">
        <f>""&amp;G213</f>
        <v/>
      </c>
      <c r="BG89" s="710" t="b">
        <v>1</v>
      </c>
      <c r="BH89" s="710" t="b">
        <v>0</v>
      </c>
      <c r="BI89" s="710"/>
      <c r="BJ89" s="710"/>
      <c r="BK89" s="710" t="str">
        <f ca="1">_xlfn.FORMULATEXT(BE89)</f>
        <v>=G213</v>
      </c>
      <c r="BL89" s="710" t="str">
        <f ca="1">_xlfn.FORMULATEXT(BE89)</f>
        <v>=G213</v>
      </c>
      <c r="BM89" s="710"/>
      <c r="BN89" s="710"/>
      <c r="BO89" s="710"/>
      <c r="BP89" s="710"/>
      <c r="BQ89" s="710"/>
      <c r="BR89" s="710"/>
      <c r="BS89" s="710"/>
      <c r="BT89" s="710"/>
      <c r="BU89" s="710"/>
      <c r="BV89" s="710"/>
      <c r="BW89" s="710"/>
      <c r="BX89" s="710"/>
      <c r="BY89" s="710"/>
      <c r="BZ89" s="710"/>
      <c r="CA89" s="710"/>
      <c r="CB89" s="710"/>
      <c r="CC89" s="710"/>
    </row>
    <row r="90" spans="1:81" s="710" customFormat="1" ht="14.5" hidden="1">
      <c r="A90" s="710" t="s">
        <v>673</v>
      </c>
      <c r="B90" s="710"/>
      <c r="C90" s="710"/>
      <c r="D90" s="710"/>
      <c r="E90" s="710"/>
      <c r="F90" s="710"/>
      <c r="G90" s="710"/>
      <c r="H90" s="710"/>
      <c r="I90" s="710"/>
      <c r="J90" s="710"/>
      <c r="K90" s="710"/>
      <c r="L90" s="710"/>
      <c r="M90" s="710"/>
      <c r="N90" s="710"/>
      <c r="O90" s="710"/>
      <c r="P90" s="710"/>
      <c r="Q90" s="710"/>
      <c r="R90" s="710"/>
      <c r="S90" s="710"/>
      <c r="T90" s="710"/>
      <c r="U90" s="710"/>
      <c r="V90" s="710"/>
      <c r="W90" s="22"/>
      <c r="X90" s="22"/>
      <c r="Y90" s="22"/>
      <c r="Z90" s="710"/>
      <c r="AA90" s="22"/>
      <c r="AB90" s="22"/>
      <c r="AC90" s="22"/>
      <c r="AD90" s="22">
        <f>ROW()</f>
        <v>90</v>
      </c>
      <c r="AE90" s="22"/>
      <c r="AF90" s="22"/>
      <c r="AG90" s="22"/>
      <c r="AH90" s="22"/>
      <c r="AI90" s="22"/>
      <c r="AJ90" s="22"/>
      <c r="AK90" s="22"/>
      <c r="AL90" s="22"/>
      <c r="AM90" s="22"/>
      <c r="AN90" s="22"/>
      <c r="AO90" s="22"/>
      <c r="AP90" s="22"/>
      <c r="AQ90" s="710"/>
      <c r="AR90" s="710"/>
      <c r="AS90" s="710"/>
      <c r="AT90" s="710"/>
      <c r="AU90" s="710"/>
      <c r="AV90" s="710"/>
      <c r="AW90" s="710"/>
      <c r="AX90" s="710"/>
      <c r="AY90" s="710"/>
      <c r="AZ90" s="710"/>
      <c r="BA90" s="710"/>
      <c r="BB90" s="714" t="s">
        <v>465</v>
      </c>
      <c r="BC90" s="710" t="s">
        <v>127</v>
      </c>
      <c r="BD90" s="710" t="b">
        <v>1</v>
      </c>
      <c r="BE90" s="710" t="str">
        <f>J213</f>
        <v>0</v>
      </c>
      <c r="BF90" s="710" t="str">
        <f>""&amp;J213</f>
        <v>0</v>
      </c>
      <c r="BG90" s="710" t="b">
        <v>1</v>
      </c>
      <c r="BH90" s="710" t="b">
        <v>0</v>
      </c>
      <c r="BI90" s="710" t="str">
        <f>BE90</f>
        <v>0</v>
      </c>
      <c r="BJ90" s="710"/>
      <c r="BK90" s="710" t="str">
        <f ca="1">_xlfn.FORMULATEXT(BE90)</f>
        <v>=J213</v>
      </c>
      <c r="BL90" s="710" t="str">
        <f ca="1">_xlfn.FORMULATEXT(BE90)</f>
        <v>=J213</v>
      </c>
      <c r="BM90" s="710"/>
      <c r="BN90" s="710"/>
      <c r="BO90" s="710"/>
      <c r="BP90" s="710"/>
      <c r="BQ90" s="710"/>
      <c r="BR90" s="710"/>
      <c r="BS90" s="710"/>
      <c r="BT90" s="710"/>
      <c r="BU90" s="710"/>
      <c r="BV90" s="710"/>
      <c r="BW90" s="710"/>
      <c r="BX90" s="710"/>
      <c r="BY90" s="710"/>
      <c r="BZ90" s="710"/>
      <c r="CA90" s="710"/>
      <c r="CB90" s="710"/>
      <c r="CC90" s="710"/>
    </row>
    <row r="91" spans="1:81" s="710" customFormat="1" ht="14.4" customHeight="1" hidden="1">
      <c r="A91" s="710" t="s">
        <v>673</v>
      </c>
      <c r="B91" s="726" t="s">
        <v>466</v>
      </c>
      <c r="C91" s="726"/>
      <c r="D91" s="726"/>
      <c r="E91" s="726"/>
      <c r="F91" s="727"/>
      <c r="G91" s="604"/>
      <c r="H91" s="603"/>
      <c r="I91" s="603"/>
      <c r="J91" s="605"/>
      <c r="K91" s="710"/>
      <c r="L91" s="710"/>
      <c r="M91" s="710"/>
      <c r="N91" s="710"/>
      <c r="O91" s="710"/>
      <c r="P91" s="710"/>
      <c r="Q91" s="710"/>
      <c r="R91" s="710"/>
      <c r="S91" s="710"/>
      <c r="T91" s="710"/>
      <c r="U91" s="710"/>
      <c r="V91" s="710"/>
      <c r="W91" s="22"/>
      <c r="X91" s="22"/>
      <c r="Y91" s="22"/>
      <c r="Z91" s="710"/>
      <c r="AA91" s="22"/>
      <c r="AB91" s="22"/>
      <c r="AC91" s="22"/>
      <c r="AD91" s="22">
        <f>ROW()</f>
        <v>91</v>
      </c>
      <c r="AE91" s="22"/>
      <c r="AF91" s="22"/>
      <c r="AG91" s="22"/>
      <c r="AH91" s="22"/>
      <c r="AI91" s="22"/>
      <c r="AJ91" s="22"/>
      <c r="AK91" s="22"/>
      <c r="AL91" s="22"/>
      <c r="AM91" s="22"/>
      <c r="AN91" s="22"/>
      <c r="AO91" s="22"/>
      <c r="AP91" s="22"/>
      <c r="AQ91" s="710"/>
      <c r="AR91" s="710"/>
      <c r="AS91" s="710"/>
      <c r="AT91" s="710"/>
      <c r="AU91" s="710"/>
      <c r="AV91" s="710"/>
      <c r="AW91" s="710"/>
      <c r="AX91" s="710"/>
      <c r="AY91" s="710"/>
      <c r="AZ91" s="710"/>
      <c r="BA91" s="710"/>
      <c r="BB91" s="714" t="s">
        <v>467</v>
      </c>
      <c r="BC91" s="710" t="s">
        <v>127</v>
      </c>
      <c r="BD91" s="710" t="b">
        <v>0</v>
      </c>
      <c r="BE91" s="710">
        <f>M213</f>
        <v>0</v>
      </c>
      <c r="BF91" s="710" t="str">
        <f>""&amp;M213</f>
        <v/>
      </c>
      <c r="BG91" s="710" t="b">
        <v>1</v>
      </c>
      <c r="BH91" s="710" t="b">
        <v>0</v>
      </c>
      <c r="BI91" s="710" t="str">
        <f>BE90</f>
        <v>0</v>
      </c>
      <c r="BJ91" s="710"/>
      <c r="BK91" s="710" t="str">
        <f ca="1">_xlfn.FORMULATEXT(BE91)</f>
        <v>=M213</v>
      </c>
      <c r="BL91" s="710" t="str">
        <f ca="1">_xlfn.FORMULATEXT(BE91)</f>
        <v>=M213</v>
      </c>
      <c r="BM91" s="710"/>
      <c r="BN91" s="710"/>
      <c r="BO91" s="710"/>
      <c r="BP91" s="710"/>
      <c r="BQ91" s="710"/>
      <c r="BR91" s="710"/>
      <c r="BS91" s="710"/>
      <c r="BT91" s="710"/>
      <c r="BU91" s="710"/>
      <c r="BV91" s="710"/>
      <c r="BW91" s="710"/>
      <c r="BX91" s="710"/>
      <c r="BY91" s="710"/>
      <c r="BZ91" s="710"/>
      <c r="CA91" s="710"/>
      <c r="CB91" s="710"/>
      <c r="CC91" s="710"/>
    </row>
    <row r="92" spans="1:81" s="710" customFormat="1" ht="14.5" hidden="1">
      <c r="A92" s="710" t="s">
        <v>673</v>
      </c>
      <c r="B92" s="726"/>
      <c r="C92" s="726"/>
      <c r="D92" s="726"/>
      <c r="E92" s="726"/>
      <c r="F92" s="727"/>
      <c r="G92" s="727"/>
      <c r="H92" s="727"/>
      <c r="I92" s="710"/>
      <c r="J92" s="710"/>
      <c r="K92" s="710"/>
      <c r="L92" s="710"/>
      <c r="M92" s="710"/>
      <c r="N92" s="710"/>
      <c r="O92" s="710"/>
      <c r="P92" s="710"/>
      <c r="Q92" s="710"/>
      <c r="R92" s="710"/>
      <c r="S92" s="710"/>
      <c r="T92" s="710"/>
      <c r="U92" s="710"/>
      <c r="V92" s="710"/>
      <c r="W92" s="22"/>
      <c r="X92" s="22"/>
      <c r="Y92" s="22"/>
      <c r="Z92" s="710"/>
      <c r="AA92" s="22"/>
      <c r="AB92" s="22"/>
      <c r="AC92" s="22"/>
      <c r="AD92" s="22">
        <f>ROW()</f>
        <v>92</v>
      </c>
      <c r="AE92" s="22"/>
      <c r="AF92" s="22"/>
      <c r="AG92" s="22"/>
      <c r="AH92" s="22"/>
      <c r="AI92" s="22"/>
      <c r="AJ92" s="22"/>
      <c r="AK92" s="22"/>
      <c r="AL92" s="22"/>
      <c r="AM92" s="22"/>
      <c r="AN92" s="22"/>
      <c r="AO92" s="22"/>
      <c r="AP92" s="22"/>
      <c r="AQ92" s="710"/>
      <c r="AR92" s="710"/>
      <c r="AS92" s="710"/>
      <c r="AT92" s="710"/>
      <c r="AU92" s="710"/>
      <c r="AV92" s="710"/>
      <c r="AW92" s="710"/>
      <c r="AX92" s="710"/>
      <c r="AY92" s="710"/>
      <c r="AZ92" s="710"/>
      <c r="BA92" s="710"/>
      <c r="BB92" s="714" t="s">
        <v>468</v>
      </c>
      <c r="BC92" s="710" t="s">
        <v>127</v>
      </c>
      <c r="BD92" s="710" t="b">
        <v>1</v>
      </c>
      <c r="BE92" s="710">
        <f>G214</f>
        <v>0</v>
      </c>
      <c r="BF92" s="710" t="str">
        <f>""&amp;G214</f>
        <v/>
      </c>
      <c r="BG92" s="710" t="b">
        <v>1</v>
      </c>
      <c r="BH92" s="710" t="b">
        <v>0</v>
      </c>
      <c r="BI92" s="710"/>
      <c r="BJ92" s="710"/>
      <c r="BK92" s="710" t="str">
        <f ca="1">_xlfn.FORMULATEXT(BE92)</f>
        <v>=G214</v>
      </c>
      <c r="BL92" s="710" t="str">
        <f ca="1">_xlfn.FORMULATEXT(BE92)</f>
        <v>=G214</v>
      </c>
      <c r="BM92" s="710"/>
      <c r="BN92" s="710"/>
      <c r="BO92" s="710"/>
      <c r="BP92" s="710"/>
      <c r="BQ92" s="710"/>
      <c r="BR92" s="710"/>
      <c r="BS92" s="710"/>
      <c r="BT92" s="710"/>
      <c r="BU92" s="710"/>
      <c r="BV92" s="710"/>
      <c r="BW92" s="710"/>
      <c r="BX92" s="710"/>
      <c r="BY92" s="710"/>
      <c r="BZ92" s="710"/>
      <c r="CA92" s="710"/>
      <c r="CB92" s="710"/>
      <c r="CC92" s="710"/>
    </row>
    <row r="93" spans="1:1 23:64" ht="14.5">
      <c r="A93" s="21"/>
      <c r="W93" s="22"/>
      <c r="X93" s="22"/>
      <c r="Y93" s="22"/>
      <c r="AA93" s="22"/>
      <c r="AB93" s="22"/>
      <c r="AC93" s="22"/>
      <c r="AD93" s="22">
        <f>ROW()</f>
        <v>93</v>
      </c>
      <c r="AE93" s="22"/>
      <c r="AF93" s="22"/>
      <c r="AG93" s="22"/>
      <c r="AH93" s="22"/>
      <c r="AI93" s="22"/>
      <c r="AJ93" s="22"/>
      <c r="AK93" s="22"/>
      <c r="AL93" s="22"/>
      <c r="AM93" s="22"/>
      <c r="AN93" s="22"/>
      <c r="AO93" s="22"/>
      <c r="AP93" s="22"/>
      <c r="BB93" s="30" t="s">
        <v>469</v>
      </c>
      <c r="BC93" s="21" t="s">
        <v>127</v>
      </c>
      <c r="BD93" s="21" t="b">
        <v>1</v>
      </c>
      <c r="BE93" s="21" t="str">
        <f>J214</f>
        <v>0</v>
      </c>
      <c r="BF93" s="21" t="str">
        <f>""&amp;J214</f>
        <v>0</v>
      </c>
      <c r="BG93" s="21" t="b">
        <v>1</v>
      </c>
      <c r="BH93" s="21" t="b">
        <v>0</v>
      </c>
      <c r="BI93" s="21" t="str">
        <f>BE93</f>
        <v>0</v>
      </c>
      <c r="BK93" s="21" t="str">
        <f ca="1">_xlfn.FORMULATEXT(BE93)</f>
        <v>=J214</v>
      </c>
      <c r="BL93" s="21" t="str">
        <f ca="1">_xlfn.FORMULATEXT(BE93)</f>
        <v>=J214</v>
      </c>
    </row>
    <row r="94" spans="1:4 23:64" ht="14.5">
      <c r="A94" s="21"/>
      <c r="B94" s="95" t="s">
        <v>470</v>
      </c>
      <c r="C94" s="29"/>
      <c r="D94" s="29"/>
      <c r="W94" s="22"/>
      <c r="X94" s="22"/>
      <c r="Y94" s="22"/>
      <c r="AD94" s="22">
        <f>ROW()</f>
        <v>94</v>
      </c>
      <c r="AE94" s="22"/>
      <c r="AF94" s="22"/>
      <c r="AG94" s="22"/>
      <c r="AH94" s="22"/>
      <c r="AI94" s="22"/>
      <c r="AJ94" s="22"/>
      <c r="AK94" s="22"/>
      <c r="AL94" s="22"/>
      <c r="AM94" s="22"/>
      <c r="AN94" s="22"/>
      <c r="AO94" s="22"/>
      <c r="AP94" s="22"/>
      <c r="BB94" s="30" t="s">
        <v>471</v>
      </c>
      <c r="BC94" s="21" t="s">
        <v>127</v>
      </c>
      <c r="BD94" s="21" t="b">
        <v>0</v>
      </c>
      <c r="BE94" s="21">
        <f>M214</f>
        <v>0</v>
      </c>
      <c r="BF94" s="21" t="str">
        <f>""&amp;M214</f>
        <v/>
      </c>
      <c r="BG94" s="21" t="b">
        <v>1</v>
      </c>
      <c r="BH94" s="21" t="b">
        <v>0</v>
      </c>
      <c r="BI94" s="21" t="str">
        <f>BE93</f>
        <v>0</v>
      </c>
      <c r="BK94" s="21" t="str">
        <f ca="1">_xlfn.FORMULATEXT(BE94)</f>
        <v>=M214</v>
      </c>
      <c r="BL94" s="21" t="str">
        <f ca="1">_xlfn.FORMULATEXT(BE94)</f>
        <v>=M214</v>
      </c>
    </row>
    <row r="95" spans="1:1 23:64" ht="14.5">
      <c r="A95" s="21"/>
      <c r="W95" s="22"/>
      <c r="X95" s="22"/>
      <c r="Y95" s="22"/>
      <c r="AA95" s="22"/>
      <c r="AB95" s="22"/>
      <c r="AC95" s="22"/>
      <c r="AD95" s="22">
        <f>ROW()</f>
        <v>95</v>
      </c>
      <c r="AE95" s="22"/>
      <c r="AF95" s="22"/>
      <c r="AG95" s="22"/>
      <c r="AH95" s="22"/>
      <c r="AI95" s="22"/>
      <c r="AJ95" s="22"/>
      <c r="AK95" s="22"/>
      <c r="AL95" s="22"/>
      <c r="AM95" s="22"/>
      <c r="AN95" s="22"/>
      <c r="AO95" s="22"/>
      <c r="AP95" s="22"/>
      <c r="BB95" s="30" t="s">
        <v>472</v>
      </c>
      <c r="BC95" s="21" t="s">
        <v>127</v>
      </c>
      <c r="BD95" s="21" t="b">
        <v>1</v>
      </c>
      <c r="BE95" s="21">
        <f>G215</f>
        <v>0</v>
      </c>
      <c r="BF95" s="21" t="str">
        <f>""&amp;G215</f>
        <v/>
      </c>
      <c r="BG95" s="21" t="b">
        <v>1</v>
      </c>
      <c r="BH95" s="21" t="b">
        <v>0</v>
      </c>
      <c r="BK95" s="21" t="str">
        <f ca="1">_xlfn.FORMULATEXT(BE95)</f>
        <v>=G215</v>
      </c>
      <c r="BL95" s="21" t="str">
        <f ca="1">_xlfn.FORMULATEXT(BE95)</f>
        <v>=G215</v>
      </c>
    </row>
    <row r="96" spans="1:64" ht="14.5">
      <c r="A96" s="21"/>
      <c r="B96" s="68" t="s">
        <v>473</v>
      </c>
      <c r="C96" s="68"/>
      <c r="D96" s="69"/>
      <c r="E96" s="69"/>
      <c r="F96" s="69"/>
      <c r="G96" s="69"/>
      <c r="H96" s="69"/>
      <c r="I96" s="69"/>
      <c r="J96" s="69"/>
      <c r="K96" s="69"/>
      <c r="L96" s="69"/>
      <c r="W96" s="22"/>
      <c r="X96" s="22"/>
      <c r="Y96" s="22"/>
      <c r="AA96" s="22"/>
      <c r="AB96" s="22"/>
      <c r="AC96" s="22"/>
      <c r="AD96" s="22">
        <f>ROW()</f>
        <v>96</v>
      </c>
      <c r="AE96" s="22"/>
      <c r="AF96" s="22"/>
      <c r="AG96" s="22"/>
      <c r="AH96" s="22"/>
      <c r="AI96" s="22"/>
      <c r="AJ96" s="22"/>
      <c r="AK96" s="22"/>
      <c r="AL96" s="22"/>
      <c r="AM96" s="22"/>
      <c r="AN96" s="22"/>
      <c r="AO96" s="22"/>
      <c r="AP96" s="22"/>
      <c r="BB96" s="30" t="s">
        <v>474</v>
      </c>
      <c r="BC96" s="21" t="s">
        <v>127</v>
      </c>
      <c r="BD96" s="21" t="b">
        <v>1</v>
      </c>
      <c r="BE96" s="21" t="str">
        <f>J215</f>
        <v>0</v>
      </c>
      <c r="BF96" s="21" t="str">
        <f>""&amp;J215</f>
        <v>0</v>
      </c>
      <c r="BG96" s="21" t="b">
        <v>1</v>
      </c>
      <c r="BH96" s="21" t="b">
        <v>0</v>
      </c>
      <c r="BI96" s="21" t="str">
        <f>BE96</f>
        <v>0</v>
      </c>
      <c r="BK96" s="21" t="str">
        <f ca="1">_xlfn.FORMULATEXT(BE96)</f>
        <v>=J215</v>
      </c>
      <c r="BL96" s="21" t="str">
        <f ca="1">_xlfn.FORMULATEXT(BE96)</f>
        <v>=J215</v>
      </c>
    </row>
    <row r="97" spans="1:64" ht="14.5">
      <c r="A97" s="21"/>
      <c r="B97" s="69"/>
      <c r="C97" s="69"/>
      <c r="D97" s="69"/>
      <c r="E97" s="69"/>
      <c r="F97" s="69"/>
      <c r="G97" s="69"/>
      <c r="H97" s="69"/>
      <c r="I97" s="69"/>
      <c r="J97" s="69"/>
      <c r="K97" s="69"/>
      <c r="L97" s="69"/>
      <c r="W97" s="22"/>
      <c r="X97" s="22"/>
      <c r="Y97" s="22"/>
      <c r="AA97" s="592">
        <v>2</v>
      </c>
      <c r="AB97" s="22">
        <f>IF(AC97="0",1,2)</f>
        <v>2</v>
      </c>
      <c r="AC97" s="22" t="s">
        <v>44</v>
      </c>
      <c r="AD97" s="22">
        <f>ROW()</f>
        <v>97</v>
      </c>
      <c r="AE97" s="22"/>
      <c r="AF97" s="22"/>
      <c r="AG97" s="22"/>
      <c r="AH97" s="22"/>
      <c r="AI97" s="22"/>
      <c r="AJ97" s="22"/>
      <c r="AK97" s="22"/>
      <c r="AL97" s="22"/>
      <c r="AM97" s="22"/>
      <c r="AN97" s="22"/>
      <c r="AO97" s="22"/>
      <c r="AP97" s="22"/>
      <c r="BB97" s="30" t="s">
        <v>475</v>
      </c>
      <c r="BC97" s="21" t="s">
        <v>127</v>
      </c>
      <c r="BD97" s="21" t="b">
        <v>0</v>
      </c>
      <c r="BE97" s="21">
        <f>M215</f>
        <v>0</v>
      </c>
      <c r="BF97" s="21" t="str">
        <f>""&amp;M215</f>
        <v/>
      </c>
      <c r="BG97" s="21" t="b">
        <v>1</v>
      </c>
      <c r="BH97" s="21" t="b">
        <v>0</v>
      </c>
      <c r="BI97" s="21" t="str">
        <f>BE96</f>
        <v>0</v>
      </c>
      <c r="BK97" s="21" t="str">
        <f ca="1">_xlfn.FORMULATEXT(BE97)</f>
        <v>=M215</v>
      </c>
      <c r="BL97" s="21" t="str">
        <f ca="1">_xlfn.FORMULATEXT(BE97)</f>
        <v>=M215</v>
      </c>
    </row>
    <row r="98" spans="1:1 23:64" ht="14.5">
      <c r="A98" s="21"/>
      <c r="W98" s="22"/>
      <c r="X98" s="22"/>
      <c r="Y98" s="22"/>
      <c r="AA98" s="22"/>
      <c r="AB98" s="22"/>
      <c r="AC98" s="22"/>
      <c r="AD98" s="22">
        <f>ROW()</f>
        <v>98</v>
      </c>
      <c r="AE98" s="22"/>
      <c r="AF98" s="22"/>
      <c r="AG98" s="22"/>
      <c r="AH98" s="22"/>
      <c r="AI98" s="22"/>
      <c r="AJ98" s="22"/>
      <c r="AK98" s="22"/>
      <c r="AL98" s="22"/>
      <c r="AM98" s="22"/>
      <c r="AN98" s="22"/>
      <c r="AO98" s="22"/>
      <c r="AP98" s="22"/>
      <c r="BB98" s="30" t="s">
        <v>476</v>
      </c>
      <c r="BC98" s="21" t="s">
        <v>127</v>
      </c>
      <c r="BD98" s="21" t="b">
        <v>1</v>
      </c>
      <c r="BE98" s="21">
        <f>G218</f>
        <v>0</v>
      </c>
      <c r="BF98" s="21" t="str">
        <f>""&amp;G218</f>
        <v/>
      </c>
      <c r="BG98" s="21" t="b">
        <v>1</v>
      </c>
      <c r="BH98" s="21" t="b">
        <v>0</v>
      </c>
      <c r="BK98" s="21" t="str">
        <f ca="1">_xlfn.FORMULATEXT(BE98)</f>
        <v>=G218</v>
      </c>
      <c r="BL98" s="21" t="str">
        <f ca="1">_xlfn.FORMULATEXT(BE98)</f>
        <v>=G218</v>
      </c>
    </row>
    <row r="99" spans="1:81" s="710" customFormat="1" ht="32.75" customHeight="1" hidden="1">
      <c r="A99" s="710" t="s">
        <v>673</v>
      </c>
      <c r="B99" s="726" t="s">
        <v>477</v>
      </c>
      <c r="C99" s="728"/>
      <c r="D99" s="728"/>
      <c r="E99" s="728"/>
      <c r="F99" s="710"/>
      <c r="G99" s="609"/>
      <c r="H99" s="608"/>
      <c r="I99" s="608"/>
      <c r="J99" s="610"/>
      <c r="K99" s="710"/>
      <c r="L99" s="710"/>
      <c r="M99" s="710"/>
      <c r="N99" s="710"/>
      <c r="O99" s="710"/>
      <c r="P99" s="710"/>
      <c r="Q99" s="710"/>
      <c r="R99" s="710"/>
      <c r="S99" s="710"/>
      <c r="T99" s="710"/>
      <c r="U99" s="710"/>
      <c r="V99" s="710"/>
      <c r="W99" s="22"/>
      <c r="X99" s="22"/>
      <c r="Y99" s="22"/>
      <c r="Z99" s="710"/>
      <c r="AA99" s="710"/>
      <c r="AB99" s="710"/>
      <c r="AC99" s="710"/>
      <c r="AD99" s="22">
        <f>ROW()</f>
        <v>99</v>
      </c>
      <c r="AE99" s="22"/>
      <c r="AF99" s="22"/>
      <c r="AG99" s="22"/>
      <c r="AH99" s="22"/>
      <c r="AI99" s="22"/>
      <c r="AJ99" s="22"/>
      <c r="AK99" s="22"/>
      <c r="AL99" s="22"/>
      <c r="AM99" s="22"/>
      <c r="AN99" s="22"/>
      <c r="AO99" s="22"/>
      <c r="AP99" s="22"/>
      <c r="AQ99" s="710"/>
      <c r="AR99" s="710"/>
      <c r="AS99" s="710"/>
      <c r="AT99" s="710"/>
      <c r="AU99" s="710"/>
      <c r="AV99" s="710"/>
      <c r="AW99" s="710"/>
      <c r="AX99" s="710"/>
      <c r="AY99" s="710"/>
      <c r="AZ99" s="710"/>
      <c r="BA99" s="710"/>
      <c r="BB99" s="714" t="s">
        <v>478</v>
      </c>
      <c r="BC99" s="710" t="s">
        <v>127</v>
      </c>
      <c r="BD99" s="710" t="b">
        <v>1</v>
      </c>
      <c r="BE99" s="710" t="str">
        <f>J218</f>
        <v>0</v>
      </c>
      <c r="BF99" s="710" t="str">
        <f>""&amp;J218</f>
        <v>0</v>
      </c>
      <c r="BG99" s="710" t="b">
        <v>1</v>
      </c>
      <c r="BH99" s="710" t="b">
        <v>0</v>
      </c>
      <c r="BI99" s="710" t="str">
        <f>BE99</f>
        <v>0</v>
      </c>
      <c r="BJ99" s="710"/>
      <c r="BK99" s="710" t="str">
        <f ca="1">_xlfn.FORMULATEXT(BE99)</f>
        <v>=J218</v>
      </c>
      <c r="BL99" s="710" t="str">
        <f ca="1">_xlfn.FORMULATEXT(BE99)</f>
        <v>=J218</v>
      </c>
      <c r="BM99" s="710"/>
      <c r="BN99" s="710"/>
      <c r="BO99" s="710"/>
      <c r="BP99" s="710"/>
      <c r="BQ99" s="710"/>
      <c r="BR99" s="710"/>
      <c r="BS99" s="710"/>
      <c r="BT99" s="710"/>
      <c r="BU99" s="710"/>
      <c r="BV99" s="710"/>
      <c r="BW99" s="710"/>
      <c r="BX99" s="710"/>
      <c r="BY99" s="710"/>
      <c r="BZ99" s="710"/>
      <c r="CA99" s="710"/>
      <c r="CB99" s="710"/>
      <c r="CC99" s="710"/>
    </row>
    <row r="100" spans="1:81" s="710" customFormat="1" ht="14.5" hidden="1">
      <c r="A100" s="710" t="s">
        <v>673</v>
      </c>
      <c r="B100" s="710"/>
      <c r="C100" s="710"/>
      <c r="D100" s="710"/>
      <c r="E100" s="710"/>
      <c r="F100" s="710"/>
      <c r="G100" s="710"/>
      <c r="H100" s="710"/>
      <c r="I100" s="710"/>
      <c r="J100" s="710"/>
      <c r="K100" s="710"/>
      <c r="L100" s="710"/>
      <c r="M100" s="710"/>
      <c r="N100" s="710"/>
      <c r="O100" s="710"/>
      <c r="P100" s="710"/>
      <c r="Q100" s="710"/>
      <c r="R100" s="710"/>
      <c r="S100" s="710"/>
      <c r="T100" s="710"/>
      <c r="U100" s="710"/>
      <c r="V100" s="710"/>
      <c r="W100" s="22"/>
      <c r="X100" s="22"/>
      <c r="Y100" s="22"/>
      <c r="Z100" s="710"/>
      <c r="AA100" s="22"/>
      <c r="AB100" s="22"/>
      <c r="AC100" s="22"/>
      <c r="AD100" s="22">
        <f>ROW()</f>
        <v>100</v>
      </c>
      <c r="AE100" s="22"/>
      <c r="AF100" s="22"/>
      <c r="AG100" s="22"/>
      <c r="AH100" s="22"/>
      <c r="AI100" s="22"/>
      <c r="AJ100" s="22"/>
      <c r="AK100" s="22"/>
      <c r="AL100" s="22"/>
      <c r="AM100" s="22"/>
      <c r="AN100" s="22"/>
      <c r="AO100" s="22"/>
      <c r="AP100" s="22"/>
      <c r="AQ100" s="710"/>
      <c r="AR100" s="710"/>
      <c r="AS100" s="710"/>
      <c r="AT100" s="710"/>
      <c r="AU100" s="710"/>
      <c r="AV100" s="710"/>
      <c r="AW100" s="710"/>
      <c r="AX100" s="710"/>
      <c r="AY100" s="710"/>
      <c r="AZ100" s="710"/>
      <c r="BA100" s="710"/>
      <c r="BB100" s="714" t="s">
        <v>479</v>
      </c>
      <c r="BC100" s="710" t="s">
        <v>127</v>
      </c>
      <c r="BD100" s="710" t="b">
        <v>0</v>
      </c>
      <c r="BE100" s="710">
        <f>M218</f>
        <v>0</v>
      </c>
      <c r="BF100" s="710" t="str">
        <f>""&amp;M218</f>
        <v/>
      </c>
      <c r="BG100" s="710" t="b">
        <v>1</v>
      </c>
      <c r="BH100" s="710" t="b">
        <v>0</v>
      </c>
      <c r="BI100" s="710" t="str">
        <f>BE99</f>
        <v>0</v>
      </c>
      <c r="BJ100" s="710"/>
      <c r="BK100" s="710" t="str">
        <f ca="1">_xlfn.FORMULATEXT(BE100)</f>
        <v>=M218</v>
      </c>
      <c r="BL100" s="710" t="str">
        <f ca="1">_xlfn.FORMULATEXT(BE100)</f>
        <v>=M218</v>
      </c>
      <c r="BM100" s="710"/>
      <c r="BN100" s="710"/>
      <c r="BO100" s="710"/>
      <c r="BP100" s="710"/>
      <c r="BQ100" s="710"/>
      <c r="BR100" s="710"/>
      <c r="BS100" s="710"/>
      <c r="BT100" s="710"/>
      <c r="BU100" s="710"/>
      <c r="BV100" s="710"/>
      <c r="BW100" s="710"/>
      <c r="BX100" s="710"/>
      <c r="BY100" s="710"/>
      <c r="BZ100" s="710"/>
      <c r="CA100" s="710"/>
      <c r="CB100" s="710"/>
      <c r="CC100" s="710"/>
    </row>
    <row r="101" spans="1:81" s="710" customFormat="1" ht="32.9" customHeight="1" hidden="1">
      <c r="A101" s="710" t="s">
        <v>673</v>
      </c>
      <c r="B101" s="711" t="s">
        <v>480</v>
      </c>
      <c r="C101" s="711"/>
      <c r="D101" s="711"/>
      <c r="E101" s="711"/>
      <c r="F101" s="710"/>
      <c r="G101" s="729"/>
      <c r="H101" s="730"/>
      <c r="I101" s="730"/>
      <c r="J101" s="731"/>
      <c r="K101" s="710"/>
      <c r="L101" s="710"/>
      <c r="M101" s="710"/>
      <c r="N101" s="710"/>
      <c r="O101" s="710"/>
      <c r="P101" s="710"/>
      <c r="Q101" s="710"/>
      <c r="R101" s="710"/>
      <c r="S101" s="710"/>
      <c r="T101" s="710"/>
      <c r="U101" s="710"/>
      <c r="V101" s="710"/>
      <c r="W101" s="22"/>
      <c r="X101" s="22"/>
      <c r="Y101" s="22"/>
      <c r="Z101" s="710"/>
      <c r="AA101" s="22"/>
      <c r="AB101" s="22"/>
      <c r="AC101" s="22"/>
      <c r="AD101" s="22">
        <f>ROW()</f>
        <v>101</v>
      </c>
      <c r="AE101" s="22"/>
      <c r="AF101" s="22"/>
      <c r="AG101" s="22"/>
      <c r="AH101" s="22"/>
      <c r="AI101" s="22"/>
      <c r="AJ101" s="22"/>
      <c r="AK101" s="22"/>
      <c r="AL101" s="22"/>
      <c r="AM101" s="22"/>
      <c r="AN101" s="22"/>
      <c r="AO101" s="22"/>
      <c r="AP101" s="22"/>
      <c r="AQ101" s="710"/>
      <c r="AR101" s="710"/>
      <c r="AS101" s="710"/>
      <c r="AT101" s="710"/>
      <c r="AU101" s="710"/>
      <c r="AV101" s="710"/>
      <c r="AW101" s="710"/>
      <c r="AX101" s="710"/>
      <c r="AY101" s="710"/>
      <c r="AZ101" s="710"/>
      <c r="BA101" s="710"/>
      <c r="BB101" s="714" t="s">
        <v>481</v>
      </c>
      <c r="BC101" s="710" t="s">
        <v>127</v>
      </c>
      <c r="BD101" s="710" t="b">
        <v>1</v>
      </c>
      <c r="BE101" s="710">
        <f>G220</f>
        <v>0</v>
      </c>
      <c r="BF101" s="710" t="str">
        <f>""&amp;G220</f>
        <v/>
      </c>
      <c r="BG101" s="710" t="b">
        <v>1</v>
      </c>
      <c r="BH101" s="710" t="b">
        <v>0</v>
      </c>
      <c r="BI101" s="710"/>
      <c r="BJ101" s="710"/>
      <c r="BK101" s="710" t="str">
        <f ca="1">_xlfn.FORMULATEXT(BE101)</f>
        <v>=G220</v>
      </c>
      <c r="BL101" s="710" t="str">
        <f ca="1">_xlfn.FORMULATEXT(BE101)</f>
        <v>=G220</v>
      </c>
      <c r="BM101" s="710"/>
      <c r="BN101" s="710"/>
      <c r="BO101" s="710"/>
      <c r="BP101" s="710"/>
      <c r="BQ101" s="710"/>
      <c r="BR101" s="710"/>
      <c r="BS101" s="710"/>
      <c r="BT101" s="710"/>
      <c r="BU101" s="710"/>
      <c r="BV101" s="710"/>
      <c r="BW101" s="710"/>
      <c r="BX101" s="710"/>
      <c r="BY101" s="710"/>
      <c r="BZ101" s="710"/>
      <c r="CA101" s="710"/>
      <c r="CB101" s="710"/>
      <c r="CC101" s="710"/>
    </row>
    <row r="102" spans="1:81" s="710" customFormat="1" ht="14.5" hidden="1">
      <c r="A102" s="710" t="s">
        <v>673</v>
      </c>
      <c r="B102" s="710"/>
      <c r="C102" s="710"/>
      <c r="D102" s="710"/>
      <c r="E102" s="710"/>
      <c r="F102" s="710"/>
      <c r="G102" s="710"/>
      <c r="H102" s="710"/>
      <c r="I102" s="710"/>
      <c r="J102" s="710"/>
      <c r="K102" s="710"/>
      <c r="L102" s="710"/>
      <c r="M102" s="710"/>
      <c r="N102" s="710"/>
      <c r="O102" s="710"/>
      <c r="P102" s="710"/>
      <c r="Q102" s="710"/>
      <c r="R102" s="710"/>
      <c r="S102" s="710"/>
      <c r="T102" s="710"/>
      <c r="U102" s="710"/>
      <c r="V102" s="710"/>
      <c r="W102" s="22"/>
      <c r="X102" s="22"/>
      <c r="Y102" s="22"/>
      <c r="Z102" s="710"/>
      <c r="AA102" s="22"/>
      <c r="AB102" s="22"/>
      <c r="AC102" s="22"/>
      <c r="AD102" s="22">
        <f>ROW()</f>
        <v>102</v>
      </c>
      <c r="AE102" s="22"/>
      <c r="AF102" s="22"/>
      <c r="AG102" s="22"/>
      <c r="AH102" s="22"/>
      <c r="AI102" s="22"/>
      <c r="AJ102" s="22"/>
      <c r="AK102" s="22"/>
      <c r="AL102" s="22"/>
      <c r="AM102" s="22"/>
      <c r="AN102" s="22"/>
      <c r="AO102" s="22"/>
      <c r="AP102" s="22"/>
      <c r="AQ102" s="710"/>
      <c r="AR102" s="710"/>
      <c r="AS102" s="710"/>
      <c r="AT102" s="710"/>
      <c r="AU102" s="710"/>
      <c r="AV102" s="710"/>
      <c r="AW102" s="710"/>
      <c r="AX102" s="710"/>
      <c r="AY102" s="710"/>
      <c r="AZ102" s="710"/>
      <c r="BA102" s="710"/>
      <c r="BB102" s="714" t="s">
        <v>482</v>
      </c>
      <c r="BC102" s="710" t="s">
        <v>127</v>
      </c>
      <c r="BD102" s="710" t="b">
        <v>1</v>
      </c>
      <c r="BE102" s="710" t="str">
        <f>J220</f>
        <v/>
      </c>
      <c r="BF102" s="710" t="str">
        <f>""&amp;J220</f>
        <v/>
      </c>
      <c r="BG102" s="710" t="b">
        <v>1</v>
      </c>
      <c r="BH102" s="710" t="b">
        <v>0</v>
      </c>
      <c r="BI102" s="710" t="str">
        <f>BE102</f>
        <v/>
      </c>
      <c r="BJ102" s="710"/>
      <c r="BK102" s="710" t="str">
        <f ca="1">_xlfn.FORMULATEXT(BE102)</f>
        <v>=J220</v>
      </c>
      <c r="BL102" s="710" t="str">
        <f ca="1">_xlfn.FORMULATEXT(BE102)</f>
        <v>=J220</v>
      </c>
      <c r="BM102" s="710"/>
      <c r="BN102" s="710"/>
      <c r="BO102" s="710"/>
      <c r="BP102" s="710"/>
      <c r="BQ102" s="710"/>
      <c r="BR102" s="710"/>
      <c r="BS102" s="710"/>
      <c r="BT102" s="710"/>
      <c r="BU102" s="710"/>
      <c r="BV102" s="710"/>
      <c r="BW102" s="710"/>
      <c r="BX102" s="710"/>
      <c r="BY102" s="710"/>
      <c r="BZ102" s="710"/>
      <c r="CA102" s="710"/>
      <c r="CB102" s="710"/>
      <c r="CC102" s="710"/>
    </row>
    <row r="103" spans="1:81" s="710" customFormat="1" ht="14.5" hidden="1">
      <c r="A103" s="710" t="s">
        <v>673</v>
      </c>
      <c r="B103" s="732" t="s">
        <v>483</v>
      </c>
      <c r="C103" s="732"/>
      <c r="D103" s="732"/>
      <c r="E103" s="732"/>
      <c r="F103" s="710"/>
      <c r="G103" s="733"/>
      <c r="H103" s="734"/>
      <c r="I103" s="734"/>
      <c r="J103" s="735"/>
      <c r="K103" s="710"/>
      <c r="L103" s="710"/>
      <c r="M103" s="710"/>
      <c r="N103" s="710"/>
      <c r="O103" s="710"/>
      <c r="P103" s="710"/>
      <c r="Q103" s="710"/>
      <c r="R103" s="710"/>
      <c r="S103" s="710"/>
      <c r="T103" s="710"/>
      <c r="U103" s="710"/>
      <c r="V103" s="710"/>
      <c r="W103" s="22"/>
      <c r="X103" s="22"/>
      <c r="Y103" s="22"/>
      <c r="Z103" s="710"/>
      <c r="AA103" s="22"/>
      <c r="AB103" s="22"/>
      <c r="AC103" s="22"/>
      <c r="AD103" s="22">
        <f>ROW()</f>
        <v>103</v>
      </c>
      <c r="AE103" s="22"/>
      <c r="AF103" s="22"/>
      <c r="AG103" s="22"/>
      <c r="AH103" s="22"/>
      <c r="AI103" s="22"/>
      <c r="AJ103" s="22"/>
      <c r="AK103" s="22"/>
      <c r="AL103" s="22"/>
      <c r="AM103" s="22"/>
      <c r="AN103" s="22"/>
      <c r="AO103" s="22"/>
      <c r="AP103" s="22"/>
      <c r="AQ103" s="710"/>
      <c r="AR103" s="710"/>
      <c r="AS103" s="710"/>
      <c r="AT103" s="710"/>
      <c r="AU103" s="710"/>
      <c r="AV103" s="710"/>
      <c r="AW103" s="710"/>
      <c r="AX103" s="710"/>
      <c r="AY103" s="710"/>
      <c r="AZ103" s="710"/>
      <c r="BA103" s="710"/>
      <c r="BB103" s="714" t="s">
        <v>484</v>
      </c>
      <c r="BC103" s="710" t="s">
        <v>127</v>
      </c>
      <c r="BD103" s="710" t="b">
        <v>0</v>
      </c>
      <c r="BE103" s="710">
        <f>M220</f>
        <v>0</v>
      </c>
      <c r="BF103" s="710" t="str">
        <f>""&amp;M220</f>
        <v/>
      </c>
      <c r="BG103" s="710" t="b">
        <v>1</v>
      </c>
      <c r="BH103" s="710" t="b">
        <v>0</v>
      </c>
      <c r="BI103" s="710" t="str">
        <f>BE102</f>
        <v/>
      </c>
      <c r="BJ103" s="710"/>
      <c r="BK103" s="710" t="str">
        <f ca="1">_xlfn.FORMULATEXT(BE103)</f>
        <v>=M220</v>
      </c>
      <c r="BL103" s="710" t="str">
        <f ca="1">_xlfn.FORMULATEXT(BE103)</f>
        <v>=M220</v>
      </c>
      <c r="BM103" s="710"/>
      <c r="BN103" s="710"/>
      <c r="BO103" s="710"/>
      <c r="BP103" s="710"/>
      <c r="BQ103" s="710"/>
      <c r="BR103" s="710"/>
      <c r="BS103" s="710"/>
      <c r="BT103" s="710"/>
      <c r="BU103" s="710"/>
      <c r="BV103" s="710"/>
      <c r="BW103" s="710"/>
      <c r="BX103" s="710"/>
      <c r="BY103" s="710"/>
      <c r="BZ103" s="710"/>
      <c r="CA103" s="710"/>
      <c r="CB103" s="710"/>
      <c r="CC103" s="710"/>
    </row>
    <row r="104" spans="1:81" s="710" customFormat="1" ht="14.5" hidden="1">
      <c r="A104" s="710" t="s">
        <v>673</v>
      </c>
      <c r="B104" s="732"/>
      <c r="C104" s="732"/>
      <c r="D104" s="732"/>
      <c r="E104" s="732"/>
      <c r="F104" s="710"/>
      <c r="G104" s="710"/>
      <c r="H104" s="710"/>
      <c r="I104" s="710"/>
      <c r="J104" s="710"/>
      <c r="K104" s="710"/>
      <c r="L104" s="710"/>
      <c r="M104" s="710"/>
      <c r="N104" s="710"/>
      <c r="O104" s="710"/>
      <c r="P104" s="710"/>
      <c r="Q104" s="710"/>
      <c r="R104" s="710"/>
      <c r="S104" s="710"/>
      <c r="T104" s="710"/>
      <c r="U104" s="710"/>
      <c r="V104" s="710"/>
      <c r="W104" s="22"/>
      <c r="X104" s="22"/>
      <c r="Y104" s="22"/>
      <c r="Z104" s="710"/>
      <c r="AA104" s="22"/>
      <c r="AB104" s="22"/>
      <c r="AC104" s="22"/>
      <c r="AD104" s="22">
        <f>ROW()</f>
        <v>104</v>
      </c>
      <c r="AE104" s="22"/>
      <c r="AF104" s="22"/>
      <c r="AG104" s="22"/>
      <c r="AH104" s="22"/>
      <c r="AI104" s="22"/>
      <c r="AJ104" s="22"/>
      <c r="AK104" s="22"/>
      <c r="AL104" s="22"/>
      <c r="AM104" s="22"/>
      <c r="AN104" s="22"/>
      <c r="AO104" s="22"/>
      <c r="AP104" s="22"/>
      <c r="AQ104" s="710"/>
      <c r="AR104" s="710"/>
      <c r="AS104" s="710"/>
      <c r="AT104" s="710"/>
      <c r="AU104" s="710"/>
      <c r="AV104" s="710"/>
      <c r="AW104" s="710"/>
      <c r="AX104" s="710"/>
      <c r="AY104" s="710"/>
      <c r="AZ104" s="710"/>
      <c r="BA104" s="710"/>
      <c r="BB104" s="714" t="s">
        <v>485</v>
      </c>
      <c r="BC104" s="710" t="s">
        <v>127</v>
      </c>
      <c r="BD104" s="710" t="b">
        <v>1</v>
      </c>
      <c r="BE104" s="710">
        <f>G221</f>
        <v>0</v>
      </c>
      <c r="BF104" s="710" t="str">
        <f>""&amp;G221</f>
        <v/>
      </c>
      <c r="BG104" s="710" t="b">
        <v>1</v>
      </c>
      <c r="BH104" s="710" t="b">
        <v>0</v>
      </c>
      <c r="BI104" s="710"/>
      <c r="BJ104" s="710"/>
      <c r="BK104" s="710" t="str">
        <f ca="1">_xlfn.FORMULATEXT(BE104)</f>
        <v>=G221</v>
      </c>
      <c r="BL104" s="710" t="str">
        <f ca="1">_xlfn.FORMULATEXT(BE104)</f>
        <v>=G221</v>
      </c>
      <c r="BM104" s="710"/>
      <c r="BN104" s="710"/>
      <c r="BO104" s="710"/>
      <c r="BP104" s="710"/>
      <c r="BQ104" s="710"/>
      <c r="BR104" s="710"/>
      <c r="BS104" s="710"/>
      <c r="BT104" s="710"/>
      <c r="BU104" s="710"/>
      <c r="BV104" s="710"/>
      <c r="BW104" s="710"/>
      <c r="BX104" s="710"/>
      <c r="BY104" s="710"/>
      <c r="BZ104" s="710"/>
      <c r="CA104" s="710"/>
      <c r="CB104" s="710"/>
      <c r="CC104" s="710"/>
    </row>
    <row r="105" spans="1:81" s="710" customFormat="1" ht="14.5" hidden="1">
      <c r="A105" s="710" t="s">
        <v>673</v>
      </c>
      <c r="B105" s="710"/>
      <c r="C105" s="710"/>
      <c r="D105" s="710"/>
      <c r="E105" s="710"/>
      <c r="F105" s="710"/>
      <c r="G105" s="710"/>
      <c r="H105" s="710"/>
      <c r="I105" s="710"/>
      <c r="J105" s="710"/>
      <c r="K105" s="710"/>
      <c r="L105" s="710"/>
      <c r="M105" s="710"/>
      <c r="N105" s="710"/>
      <c r="O105" s="710"/>
      <c r="P105" s="710"/>
      <c r="Q105" s="710"/>
      <c r="R105" s="710"/>
      <c r="S105" s="710"/>
      <c r="T105" s="710"/>
      <c r="U105" s="710"/>
      <c r="V105" s="710"/>
      <c r="W105" s="22"/>
      <c r="X105" s="22"/>
      <c r="Y105" s="22"/>
      <c r="Z105" s="710"/>
      <c r="AA105" s="710"/>
      <c r="AB105" s="710"/>
      <c r="AC105" s="710"/>
      <c r="AD105" s="22">
        <f>ROW()</f>
        <v>105</v>
      </c>
      <c r="AE105" s="22"/>
      <c r="AF105" s="22"/>
      <c r="AG105" s="22"/>
      <c r="AH105" s="22"/>
      <c r="AI105" s="22"/>
      <c r="AJ105" s="22"/>
      <c r="AK105" s="22"/>
      <c r="AL105" s="22"/>
      <c r="AM105" s="22"/>
      <c r="AN105" s="22"/>
      <c r="AO105" s="22"/>
      <c r="AP105" s="22"/>
      <c r="AQ105" s="710"/>
      <c r="AR105" s="710"/>
      <c r="AS105" s="710"/>
      <c r="AT105" s="710"/>
      <c r="AU105" s="710"/>
      <c r="AV105" s="710"/>
      <c r="AW105" s="710"/>
      <c r="AX105" s="710"/>
      <c r="AY105" s="710"/>
      <c r="AZ105" s="710"/>
      <c r="BA105" s="710"/>
      <c r="BB105" s="714" t="s">
        <v>486</v>
      </c>
      <c r="BC105" s="710" t="s">
        <v>127</v>
      </c>
      <c r="BD105" s="710" t="b">
        <v>1</v>
      </c>
      <c r="BE105" s="710" t="str">
        <f>J221</f>
        <v/>
      </c>
      <c r="BF105" s="710" t="str">
        <f>""&amp;J221</f>
        <v/>
      </c>
      <c r="BG105" s="710" t="b">
        <v>1</v>
      </c>
      <c r="BH105" s="710" t="b">
        <v>0</v>
      </c>
      <c r="BI105" s="710" t="str">
        <f>BE105</f>
        <v/>
      </c>
      <c r="BJ105" s="710"/>
      <c r="BK105" s="710" t="str">
        <f ca="1">_xlfn.FORMULATEXT(BE105)</f>
        <v>=J221</v>
      </c>
      <c r="BL105" s="710" t="str">
        <f ca="1">_xlfn.FORMULATEXT(BE105)</f>
        <v>=J221</v>
      </c>
      <c r="BM105" s="710"/>
      <c r="BN105" s="710"/>
      <c r="BO105" s="710"/>
      <c r="BP105" s="710"/>
      <c r="BQ105" s="710"/>
      <c r="BR105" s="710"/>
      <c r="BS105" s="710"/>
      <c r="BT105" s="710"/>
      <c r="BU105" s="710"/>
      <c r="BV105" s="710"/>
      <c r="BW105" s="710"/>
      <c r="BX105" s="710"/>
      <c r="BY105" s="710"/>
      <c r="BZ105" s="710"/>
      <c r="CA105" s="710"/>
      <c r="CB105" s="710"/>
      <c r="CC105" s="710"/>
    </row>
    <row r="106" spans="1:64" ht="14.5">
      <c r="A106" s="21"/>
      <c r="B106" s="77" t="s">
        <v>487</v>
      </c>
      <c r="C106" s="77"/>
      <c r="D106" s="77"/>
      <c r="E106" s="77"/>
      <c r="F106" s="77"/>
      <c r="G106" s="77"/>
      <c r="H106" s="77"/>
      <c r="I106" s="77"/>
      <c r="J106" s="77"/>
      <c r="K106" s="78"/>
      <c r="L106" s="78"/>
      <c r="W106" s="22"/>
      <c r="X106" s="22"/>
      <c r="Y106" s="22"/>
      <c r="AA106" s="22"/>
      <c r="AB106" s="22"/>
      <c r="AC106" s="22"/>
      <c r="AD106" s="22">
        <f>ROW()</f>
        <v>106</v>
      </c>
      <c r="AE106" s="22"/>
      <c r="AF106" s="22"/>
      <c r="AG106" s="22"/>
      <c r="AH106" s="22"/>
      <c r="AI106" s="22"/>
      <c r="AJ106" s="22"/>
      <c r="AK106" s="22"/>
      <c r="AL106" s="22"/>
      <c r="AM106" s="22"/>
      <c r="AN106" s="22"/>
      <c r="AO106" s="22"/>
      <c r="AP106" s="22"/>
      <c r="BB106" s="30" t="s">
        <v>488</v>
      </c>
      <c r="BC106" s="21" t="s">
        <v>127</v>
      </c>
      <c r="BD106" s="21" t="b">
        <v>0</v>
      </c>
      <c r="BE106" s="21">
        <f>M221</f>
        <v>0</v>
      </c>
      <c r="BF106" s="21" t="str">
        <f>""&amp;M221</f>
        <v/>
      </c>
      <c r="BG106" s="21" t="b">
        <v>1</v>
      </c>
      <c r="BH106" s="21" t="b">
        <v>0</v>
      </c>
      <c r="BI106" s="21" t="str">
        <f>BE105</f>
        <v/>
      </c>
      <c r="BK106" s="21" t="str">
        <f ca="1">_xlfn.FORMULATEXT(BE106)</f>
        <v>=M221</v>
      </c>
      <c r="BL106" s="21" t="str">
        <f ca="1">_xlfn.FORMULATEXT(BE106)</f>
        <v>=M221</v>
      </c>
    </row>
    <row r="107" spans="1:64" ht="14.5">
      <c r="A107" s="21"/>
      <c r="B107" s="77"/>
      <c r="C107" s="77"/>
      <c r="D107" s="77"/>
      <c r="E107" s="77"/>
      <c r="F107" s="77"/>
      <c r="G107" s="77"/>
      <c r="H107" s="77"/>
      <c r="I107" s="77"/>
      <c r="J107" s="77"/>
      <c r="K107" s="78"/>
      <c r="L107" s="78"/>
      <c r="W107" s="22"/>
      <c r="X107" s="22"/>
      <c r="Y107" s="22"/>
      <c r="AA107" s="22"/>
      <c r="AB107" s="22"/>
      <c r="AC107" s="22"/>
      <c r="AD107" s="22">
        <f>ROW()</f>
        <v>107</v>
      </c>
      <c r="AE107" s="22"/>
      <c r="AF107" s="22"/>
      <c r="AG107" s="22"/>
      <c r="AH107" s="22"/>
      <c r="AI107" s="22"/>
      <c r="AJ107" s="22"/>
      <c r="AK107" s="22"/>
      <c r="AL107" s="22"/>
      <c r="AM107" s="22"/>
      <c r="AN107" s="22"/>
      <c r="AO107" s="22"/>
      <c r="AP107" s="22"/>
      <c r="BB107" s="30" t="s">
        <v>489</v>
      </c>
      <c r="BC107" s="21" t="s">
        <v>127</v>
      </c>
      <c r="BD107" s="21" t="b">
        <v>1</v>
      </c>
      <c r="BE107" s="21">
        <f>G222</f>
        <v>0</v>
      </c>
      <c r="BF107" s="21" t="str">
        <f>""&amp;G222</f>
        <v/>
      </c>
      <c r="BG107" s="21" t="b">
        <v>1</v>
      </c>
      <c r="BH107" s="21" t="b">
        <v>0</v>
      </c>
      <c r="BK107" s="21" t="str">
        <f ca="1">_xlfn.FORMULATEXT(BE107)</f>
        <v>=G222</v>
      </c>
      <c r="BL107" s="21" t="str">
        <f ca="1">_xlfn.FORMULATEXT(BE107)</f>
        <v>=G222</v>
      </c>
    </row>
    <row r="108" spans="1:64" ht="14.5">
      <c r="A108" s="21"/>
      <c r="B108" s="78"/>
      <c r="C108" s="78"/>
      <c r="D108" s="78"/>
      <c r="E108" s="78"/>
      <c r="F108" s="78"/>
      <c r="G108" s="78"/>
      <c r="H108" s="78"/>
      <c r="I108" s="78"/>
      <c r="J108" s="78"/>
      <c r="K108" s="78"/>
      <c r="L108" s="78"/>
      <c r="Q108" s="116"/>
      <c r="W108" s="22"/>
      <c r="X108" s="22"/>
      <c r="Y108" s="22"/>
      <c r="AA108" s="591">
        <v>2</v>
      </c>
      <c r="AB108" s="22">
        <f>IF(AC108="0",1,2)</f>
        <v>2</v>
      </c>
      <c r="AC108" s="22" t="s">
        <v>44</v>
      </c>
      <c r="AD108" s="22">
        <f>ROW()</f>
        <v>108</v>
      </c>
      <c r="AE108" s="22"/>
      <c r="AF108" s="22"/>
      <c r="AG108" s="22"/>
      <c r="AH108" s="22"/>
      <c r="AI108" s="22"/>
      <c r="AJ108" s="22"/>
      <c r="AK108" s="22"/>
      <c r="AL108" s="22"/>
      <c r="AM108" s="22"/>
      <c r="AN108" s="22"/>
      <c r="AO108" s="22"/>
      <c r="AP108" s="22"/>
      <c r="BB108" s="30" t="s">
        <v>490</v>
      </c>
      <c r="BC108" s="21" t="s">
        <v>127</v>
      </c>
      <c r="BD108" s="21" t="b">
        <v>1</v>
      </c>
      <c r="BE108" s="21" t="str">
        <f>J222</f>
        <v>7500</v>
      </c>
      <c r="BF108" s="21" t="str">
        <f>""&amp;J222</f>
        <v>7500</v>
      </c>
      <c r="BG108" s="21" t="b">
        <v>1</v>
      </c>
      <c r="BH108" s="21" t="b">
        <v>0</v>
      </c>
      <c r="BI108" s="21" t="str">
        <f>BE108</f>
        <v>7500</v>
      </c>
      <c r="BK108" s="21" t="str">
        <f ca="1">_xlfn.FORMULATEXT(BE108)</f>
        <v>=J222</v>
      </c>
      <c r="BL108" s="21" t="str">
        <f ca="1">_xlfn.FORMULATEXT(BE108)</f>
        <v>=J222</v>
      </c>
    </row>
    <row r="109" spans="1:64" ht="14.5">
      <c r="A109" s="21"/>
      <c r="B109" s="78"/>
      <c r="C109" s="78"/>
      <c r="D109" s="78"/>
      <c r="E109" s="78"/>
      <c r="F109" s="78"/>
      <c r="G109" s="78"/>
      <c r="H109" s="78"/>
      <c r="I109" s="78"/>
      <c r="J109" s="78"/>
      <c r="K109" s="78"/>
      <c r="L109" s="78"/>
      <c r="W109" s="22"/>
      <c r="X109" s="22"/>
      <c r="Y109" s="22"/>
      <c r="AA109" s="22"/>
      <c r="AB109" s="22"/>
      <c r="AC109" s="22"/>
      <c r="AD109" s="22">
        <f>ROW()</f>
        <v>109</v>
      </c>
      <c r="AE109" s="22"/>
      <c r="AF109" s="22"/>
      <c r="AG109" s="22"/>
      <c r="AH109" s="22"/>
      <c r="AI109" s="22"/>
      <c r="AJ109" s="22"/>
      <c r="AK109" s="22"/>
      <c r="AL109" s="22"/>
      <c r="AM109" s="22"/>
      <c r="AN109" s="22"/>
      <c r="AO109" s="22"/>
      <c r="AP109" s="22"/>
      <c r="BB109" s="30" t="s">
        <v>491</v>
      </c>
      <c r="BC109" s="21" t="s">
        <v>127</v>
      </c>
      <c r="BD109" s="21" t="b">
        <v>0</v>
      </c>
      <c r="BE109" s="21">
        <f>M222</f>
        <v>0</v>
      </c>
      <c r="BF109" s="21" t="str">
        <f>""&amp;M222</f>
        <v/>
      </c>
      <c r="BG109" s="21" t="b">
        <v>1</v>
      </c>
      <c r="BH109" s="21" t="b">
        <v>0</v>
      </c>
      <c r="BI109" s="21" t="str">
        <f>BE108</f>
        <v>7500</v>
      </c>
      <c r="BK109" s="21" t="str">
        <f ca="1">_xlfn.FORMULATEXT(BE109)</f>
        <v>=M222</v>
      </c>
      <c r="BL109" s="21" t="str">
        <f ca="1">_xlfn.FORMULATEXT(BE109)</f>
        <v>=M222</v>
      </c>
    </row>
    <row r="110" spans="1:64" ht="14.5">
      <c r="A110" s="21"/>
      <c r="B110" s="95" t="s">
        <v>492</v>
      </c>
      <c r="C110" s="29"/>
      <c r="D110" s="29"/>
      <c r="E110" s="29"/>
      <c r="F110" s="116"/>
      <c r="G110" s="116"/>
      <c r="H110" s="116"/>
      <c r="I110" s="116"/>
      <c r="J110" s="116"/>
      <c r="K110" s="116"/>
      <c r="L110" s="116"/>
      <c r="M110" s="116"/>
      <c r="N110" s="116"/>
      <c r="O110" s="116"/>
      <c r="W110" s="22"/>
      <c r="X110" s="22"/>
      <c r="Y110" s="22"/>
      <c r="AA110" s="22"/>
      <c r="AB110" s="22"/>
      <c r="AC110" s="22"/>
      <c r="AD110" s="22">
        <f>ROW()</f>
        <v>110</v>
      </c>
      <c r="AE110" s="22"/>
      <c r="AF110" s="22"/>
      <c r="AG110" s="22"/>
      <c r="AH110" s="22"/>
      <c r="AI110" s="22"/>
      <c r="AJ110" s="22"/>
      <c r="AK110" s="22"/>
      <c r="AL110" s="22"/>
      <c r="AM110" s="22"/>
      <c r="AN110" s="22"/>
      <c r="AO110" s="22"/>
      <c r="AP110" s="22"/>
      <c r="BB110" s="30" t="s">
        <v>493</v>
      </c>
      <c r="BC110" s="21" t="s">
        <v>127</v>
      </c>
      <c r="BD110" s="21" t="b">
        <v>1</v>
      </c>
      <c r="BE110" s="21">
        <f>G223</f>
        <v>0</v>
      </c>
      <c r="BF110" s="21" t="str">
        <f>""&amp;G223</f>
        <v/>
      </c>
      <c r="BG110" s="21" t="b">
        <v>1</v>
      </c>
      <c r="BH110" s="21" t="b">
        <v>0</v>
      </c>
      <c r="BK110" s="21" t="str">
        <f ca="1">_xlfn.FORMULATEXT(BE110)</f>
        <v>=G223</v>
      </c>
      <c r="BL110" s="21" t="str">
        <f ca="1">_xlfn.FORMULATEXT(BE110)</f>
        <v>=G223</v>
      </c>
    </row>
    <row r="111" spans="1:1 23:64" ht="14.5">
      <c r="A111" s="21"/>
      <c r="W111" s="22"/>
      <c r="X111" s="22"/>
      <c r="Y111" s="22"/>
      <c r="AA111" s="22"/>
      <c r="AB111" s="22"/>
      <c r="AC111" s="22"/>
      <c r="AD111" s="22">
        <f>ROW()</f>
        <v>111</v>
      </c>
      <c r="AE111" s="22"/>
      <c r="AF111" s="22"/>
      <c r="AG111" s="22"/>
      <c r="AH111" s="22"/>
      <c r="AI111" s="22"/>
      <c r="AJ111" s="22"/>
      <c r="AK111" s="22"/>
      <c r="AL111" s="22"/>
      <c r="AM111" s="22"/>
      <c r="AN111" s="22"/>
      <c r="AO111" s="22"/>
      <c r="AP111" s="22"/>
      <c r="BB111" s="30" t="s">
        <v>494</v>
      </c>
      <c r="BC111" s="21" t="s">
        <v>127</v>
      </c>
      <c r="BD111" s="21" t="b">
        <v>1</v>
      </c>
      <c r="BE111" s="21" t="str">
        <f>J223</f>
        <v>0</v>
      </c>
      <c r="BF111" s="21" t="str">
        <f>""&amp;J223</f>
        <v>0</v>
      </c>
      <c r="BG111" s="21" t="b">
        <v>1</v>
      </c>
      <c r="BH111" s="21" t="b">
        <v>0</v>
      </c>
      <c r="BI111" s="21" t="str">
        <f>BE111</f>
        <v>0</v>
      </c>
      <c r="BK111" s="21" t="str">
        <f ca="1">_xlfn.FORMULATEXT(BE111)</f>
        <v>=J223</v>
      </c>
      <c r="BL111" s="21" t="str">
        <f ca="1">_xlfn.FORMULATEXT(BE111)</f>
        <v>=J223</v>
      </c>
    </row>
    <row r="112" spans="1:64" ht="14.5">
      <c r="A112" s="21"/>
      <c r="B112" s="582" t="s">
        <v>495</v>
      </c>
      <c r="C112" s="582"/>
      <c r="D112" s="582"/>
      <c r="E112" s="582"/>
      <c r="G112" s="611" t="s">
        <v>496</v>
      </c>
      <c r="H112" s="611"/>
      <c r="I112" s="406"/>
      <c r="W112" s="22"/>
      <c r="X112" s="22"/>
      <c r="Y112" s="22"/>
      <c r="AA112" s="22"/>
      <c r="AB112" s="22"/>
      <c r="AC112" s="22"/>
      <c r="AD112" s="22">
        <f>ROW()</f>
        <v>112</v>
      </c>
      <c r="AE112" s="22"/>
      <c r="AF112" s="22"/>
      <c r="AG112" s="22"/>
      <c r="AH112" s="22"/>
      <c r="AI112" s="22"/>
      <c r="AJ112" s="22"/>
      <c r="AK112" s="22"/>
      <c r="AL112" s="22"/>
      <c r="AM112" s="22"/>
      <c r="AN112" s="22"/>
      <c r="AO112" s="22"/>
      <c r="AP112" s="22"/>
      <c r="BB112" s="30" t="s">
        <v>497</v>
      </c>
      <c r="BC112" s="21" t="s">
        <v>127</v>
      </c>
      <c r="BD112" s="21" t="b">
        <v>0</v>
      </c>
      <c r="BE112" s="21">
        <f>M223</f>
        <v>0</v>
      </c>
      <c r="BF112" s="21" t="str">
        <f>""&amp;M223</f>
        <v/>
      </c>
      <c r="BG112" s="21" t="b">
        <v>1</v>
      </c>
      <c r="BH112" s="21" t="b">
        <v>0</v>
      </c>
      <c r="BI112" s="21" t="str">
        <f>BE111</f>
        <v>0</v>
      </c>
      <c r="BK112" s="21" t="str">
        <f ca="1">_xlfn.FORMULATEXT(BE112)</f>
        <v>=M223</v>
      </c>
      <c r="BL112" s="21" t="str">
        <f ca="1">_xlfn.FORMULATEXT(BE112)</f>
        <v>=M223</v>
      </c>
    </row>
    <row r="113" spans="1:64" ht="14.5">
      <c r="A113" s="21"/>
      <c r="B113" s="598" t="s">
        <v>498</v>
      </c>
      <c r="C113" s="597"/>
      <c r="D113" s="597"/>
      <c r="E113" s="599"/>
      <c r="G113" s="553" t="s">
        <v>44</v>
      </c>
      <c r="H113" s="552"/>
      <c r="I113" s="552"/>
      <c r="J113" s="554"/>
      <c r="W113" s="22"/>
      <c r="X113" s="22"/>
      <c r="Y113" s="22"/>
      <c r="AA113" s="22"/>
      <c r="AB113" s="22"/>
      <c r="AC113" s="22"/>
      <c r="AD113" s="22">
        <f>ROW()</f>
        <v>113</v>
      </c>
      <c r="AE113" s="22"/>
      <c r="AF113" s="22"/>
      <c r="AG113" s="22"/>
      <c r="AH113" s="22"/>
      <c r="AI113" s="22"/>
      <c r="AJ113" s="22"/>
      <c r="AK113" s="22"/>
      <c r="AL113" s="22"/>
      <c r="AM113" s="22"/>
      <c r="AN113" s="22"/>
      <c r="AO113" s="22"/>
      <c r="AP113" s="22"/>
      <c r="BB113" s="30" t="s">
        <v>499</v>
      </c>
      <c r="BC113" s="21" t="s">
        <v>127</v>
      </c>
      <c r="BD113" s="21" t="b">
        <v>1</v>
      </c>
      <c r="BE113" s="21" t="str">
        <f>G224</f>
        <v>0.00</v>
      </c>
      <c r="BF113" s="21" t="str">
        <f>""&amp;G224</f>
        <v>0.00</v>
      </c>
      <c r="BG113" s="21" t="b">
        <v>0</v>
      </c>
      <c r="BH113" s="21" t="b">
        <v>0</v>
      </c>
      <c r="BK113" s="21" t="str">
        <f ca="1">_xlfn.FORMULATEXT(BE113)</f>
        <v>=G224</v>
      </c>
      <c r="BL113" s="21" t="str">
        <f ca="1">_xlfn.FORMULATEXT(BE113)</f>
        <v>=G224</v>
      </c>
    </row>
    <row r="114" spans="1:1 23:64" ht="14.5">
      <c r="A114" s="21"/>
      <c r="W114" s="22"/>
      <c r="X114" s="22"/>
      <c r="Y114" s="22"/>
      <c r="AA114" s="22"/>
      <c r="AB114" s="22"/>
      <c r="AC114" s="22"/>
      <c r="AD114" s="22">
        <f>ROW()</f>
        <v>114</v>
      </c>
      <c r="AE114" s="22"/>
      <c r="AF114" s="22"/>
      <c r="AG114" s="22"/>
      <c r="AH114" s="22"/>
      <c r="AI114" s="22"/>
      <c r="AJ114" s="22"/>
      <c r="AK114" s="22"/>
      <c r="AL114" s="22"/>
      <c r="AM114" s="22"/>
      <c r="AN114" s="22"/>
      <c r="AO114" s="22"/>
      <c r="AP114" s="22"/>
      <c r="BB114" s="30" t="s">
        <v>500</v>
      </c>
      <c r="BC114" s="21" t="s">
        <v>127</v>
      </c>
      <c r="BD114" s="21" t="b">
        <v>1</v>
      </c>
      <c r="BE114" s="21" t="str">
        <f>J224</f>
        <v>808797.00</v>
      </c>
      <c r="BF114" s="21" t="str">
        <f>""&amp;J224</f>
        <v>808797.00</v>
      </c>
      <c r="BG114" s="21" t="b">
        <v>0</v>
      </c>
      <c r="BH114" s="21" t="b">
        <v>0</v>
      </c>
      <c r="BI114" s="21" t="str">
        <f>BE114</f>
        <v>808797.00</v>
      </c>
      <c r="BK114" s="21" t="str">
        <f ca="1">_xlfn.FORMULATEXT(BE114)</f>
        <v>=J224</v>
      </c>
      <c r="BL114" s="21" t="str">
        <f ca="1">_xlfn.FORMULATEXT(BE114)</f>
        <v>=J224</v>
      </c>
    </row>
    <row r="115" spans="1:64" ht="14.5">
      <c r="A115" s="21"/>
      <c r="J115" s="102"/>
      <c r="W115" s="22"/>
      <c r="X115" s="22"/>
      <c r="Y115" s="22"/>
      <c r="AA115" s="22"/>
      <c r="AB115" s="22"/>
      <c r="AC115" s="22"/>
      <c r="AD115" s="22">
        <f>ROW()</f>
        <v>115</v>
      </c>
      <c r="AE115" s="22"/>
      <c r="AF115" s="22"/>
      <c r="AG115" s="22"/>
      <c r="AH115" s="22"/>
      <c r="AI115" s="22"/>
      <c r="AJ115" s="22"/>
      <c r="AK115" s="22"/>
      <c r="AL115" s="22"/>
      <c r="AM115" s="22"/>
      <c r="AN115" s="22"/>
      <c r="AO115" s="22"/>
      <c r="AP115" s="22"/>
      <c r="BB115" s="30" t="s">
        <v>501</v>
      </c>
      <c r="BC115" s="21" t="s">
        <v>127</v>
      </c>
      <c r="BD115" s="21" t="b">
        <v>0</v>
      </c>
      <c r="BE115" s="21">
        <f>M224</f>
        <v>0</v>
      </c>
      <c r="BF115" s="21" t="str">
        <f>""&amp;M224</f>
        <v/>
      </c>
      <c r="BG115" s="21" t="b">
        <v>1</v>
      </c>
      <c r="BH115" s="21" t="b">
        <v>0</v>
      </c>
      <c r="BI115" s="21" t="str">
        <f>BE114</f>
        <v>808797.00</v>
      </c>
      <c r="BK115" s="21" t="str">
        <f ca="1">_xlfn.FORMULATEXT(BE115)</f>
        <v>=M224</v>
      </c>
      <c r="BL115" s="21" t="str">
        <f ca="1">_xlfn.FORMULATEXT(BE115)</f>
        <v>=M224</v>
      </c>
    </row>
    <row r="116" spans="1:64" ht="14.5">
      <c r="A116" s="21"/>
      <c r="B116" s="122"/>
      <c r="C116" s="123"/>
      <c r="D116" s="123"/>
      <c r="E116" s="123"/>
      <c r="F116" s="123"/>
      <c r="G116" s="675"/>
      <c r="H116" s="675"/>
      <c r="I116" s="675"/>
      <c r="J116" s="676"/>
      <c r="K116" s="123"/>
      <c r="L116" s="123"/>
      <c r="M116" s="123"/>
      <c r="N116" s="123"/>
      <c r="O116" s="125"/>
      <c r="W116" s="22"/>
      <c r="X116" s="22"/>
      <c r="Y116" s="22"/>
      <c r="AA116" s="22"/>
      <c r="AB116" s="22"/>
      <c r="AC116" s="22"/>
      <c r="AD116" s="22">
        <f>ROW()</f>
        <v>116</v>
      </c>
      <c r="AE116" s="22"/>
      <c r="AF116" s="22"/>
      <c r="AG116" s="22"/>
      <c r="AH116" s="22"/>
      <c r="AI116" s="22"/>
      <c r="AJ116" s="22"/>
      <c r="AK116" s="22"/>
      <c r="AL116" s="22"/>
      <c r="AM116" s="22"/>
      <c r="AN116" s="22"/>
      <c r="AO116" s="22"/>
      <c r="AP116" s="22"/>
      <c r="BB116" s="30"/>
      <c r="BC116" s="21" t="s">
        <v>127</v>
      </c>
      <c r="BD116" s="21" t="b">
        <v>0</v>
      </c>
      <c r="BE116" s="21">
        <f>G227</f>
        <v>0</v>
      </c>
      <c r="BF116" s="21" t="str">
        <f>""&amp;G227</f>
        <v/>
      </c>
      <c r="BG116" s="21" t="b">
        <v>1</v>
      </c>
      <c r="BH116" s="21" t="b">
        <v>0</v>
      </c>
      <c r="BK116" s="21" t="str">
        <f ca="1">_xlfn.FORMULATEXT(BE116)</f>
        <v>=G227</v>
      </c>
      <c r="BL116" s="21" t="str">
        <f ca="1">_xlfn.FORMULATEXT(BE116)</f>
        <v>=G227</v>
      </c>
    </row>
    <row r="117" spans="1:64" ht="14.5">
      <c r="A117" s="21"/>
      <c r="B117" s="126" t="s">
        <v>502</v>
      </c>
      <c r="C117" s="68"/>
      <c r="D117" s="68"/>
      <c r="E117" s="68"/>
      <c r="F117" s="68"/>
      <c r="G117" s="598" t="s">
        <v>437</v>
      </c>
      <c r="H117" s="597"/>
      <c r="I117" s="597"/>
      <c r="J117" s="599"/>
      <c r="O117" s="127"/>
      <c r="P117" s="677" t="s">
        <v>503</v>
      </c>
      <c r="W117" s="22"/>
      <c r="X117" s="22"/>
      <c r="Y117" s="22"/>
      <c r="AA117" s="22"/>
      <c r="AB117" s="22"/>
      <c r="AC117" s="22"/>
      <c r="AD117" s="22">
        <f>ROW()</f>
        <v>117</v>
      </c>
      <c r="AE117" s="22"/>
      <c r="AF117" s="22"/>
      <c r="AG117" s="22"/>
      <c r="AH117" s="22"/>
      <c r="AI117" s="22"/>
      <c r="AJ117" s="22"/>
      <c r="AK117" s="22"/>
      <c r="AL117" s="22"/>
      <c r="AM117" s="22"/>
      <c r="AN117" s="22"/>
      <c r="AO117" s="22"/>
      <c r="AP117" s="22"/>
      <c r="BB117" s="30"/>
      <c r="BC117" s="21" t="s">
        <v>127</v>
      </c>
      <c r="BD117" s="21" t="b">
        <v>0</v>
      </c>
      <c r="BE117" s="21">
        <f>J227</f>
        <v>0</v>
      </c>
      <c r="BF117" s="21" t="str">
        <f>""&amp;J227</f>
        <v/>
      </c>
      <c r="BG117" s="21" t="b">
        <v>1</v>
      </c>
      <c r="BH117" s="21" t="b">
        <v>0</v>
      </c>
      <c r="BI117" s="21">
        <f>BE117</f>
        <v>0</v>
      </c>
      <c r="BK117" s="21" t="str">
        <f ca="1">_xlfn.FORMULATEXT(BE117)</f>
        <v>=J227</v>
      </c>
      <c r="BL117" s="21" t="str">
        <f ca="1">_xlfn.FORMULATEXT(BE117)</f>
        <v>=J227</v>
      </c>
    </row>
    <row r="118" spans="1:64" ht="14.5">
      <c r="A118" s="21"/>
      <c r="B118" s="129"/>
      <c r="O118" s="127"/>
      <c r="W118" s="22"/>
      <c r="X118" s="22"/>
      <c r="Y118" s="22"/>
      <c r="AA118" s="22"/>
      <c r="AB118" s="22"/>
      <c r="AC118" s="22"/>
      <c r="AD118" s="22">
        <f>ROW()</f>
        <v>118</v>
      </c>
      <c r="AE118" s="22"/>
      <c r="AF118" s="22"/>
      <c r="AG118" s="22"/>
      <c r="AH118" s="22"/>
      <c r="AI118" s="22"/>
      <c r="AJ118" s="22"/>
      <c r="AK118" s="22"/>
      <c r="AL118" s="22"/>
      <c r="AM118" s="22"/>
      <c r="AN118" s="22"/>
      <c r="AO118" s="22"/>
      <c r="AP118" s="22"/>
      <c r="BB118" s="30"/>
      <c r="BC118" s="21" t="s">
        <v>127</v>
      </c>
      <c r="BD118" s="21" t="b">
        <v>0</v>
      </c>
      <c r="BE118" s="21">
        <f>M227</f>
        <v>0</v>
      </c>
      <c r="BF118" s="21" t="str">
        <f>""&amp;M227</f>
        <v/>
      </c>
      <c r="BG118" s="21" t="b">
        <v>1</v>
      </c>
      <c r="BH118" s="21" t="b">
        <v>0</v>
      </c>
      <c r="BI118" s="21">
        <f>BE117</f>
        <v>0</v>
      </c>
      <c r="BK118" s="21" t="str">
        <f ca="1">_xlfn.FORMULATEXT(BE118)</f>
        <v>=M227</v>
      </c>
      <c r="BL118" s="21" t="str">
        <f ca="1">_xlfn.FORMULATEXT(BE118)</f>
        <v>=M227</v>
      </c>
    </row>
    <row r="119" spans="1:64" ht="14.5">
      <c r="A119" s="21"/>
      <c r="B119" s="126" t="s">
        <v>504</v>
      </c>
      <c r="C119" s="68"/>
      <c r="D119" s="68"/>
      <c r="E119" s="68"/>
      <c r="G119" s="547" t="s">
        <v>438</v>
      </c>
      <c r="H119" s="546"/>
      <c r="I119" s="546"/>
      <c r="J119" s="548"/>
      <c r="O119" s="127"/>
      <c r="W119" s="22"/>
      <c r="X119" s="22"/>
      <c r="Y119" s="22"/>
      <c r="AD119" s="22">
        <f>ROW()</f>
        <v>119</v>
      </c>
      <c r="AE119" s="22"/>
      <c r="AF119" s="22"/>
      <c r="AG119" s="22"/>
      <c r="AH119" s="22"/>
      <c r="AI119" s="22"/>
      <c r="AJ119" s="22"/>
      <c r="AK119" s="22"/>
      <c r="AL119" s="22"/>
      <c r="AM119" s="22"/>
      <c r="AN119" s="22"/>
      <c r="AO119" s="22"/>
      <c r="AP119" s="22"/>
      <c r="BB119" s="30" t="s">
        <v>505</v>
      </c>
      <c r="BC119" s="21" t="s">
        <v>127</v>
      </c>
      <c r="BD119" s="21" t="b">
        <v>1</v>
      </c>
      <c r="BE119" s="21">
        <f>G229</f>
        <v>0</v>
      </c>
      <c r="BF119" s="21" t="str">
        <f>""&amp;G229</f>
        <v/>
      </c>
      <c r="BG119" s="21" t="b">
        <v>1</v>
      </c>
      <c r="BH119" s="21" t="b">
        <v>0</v>
      </c>
      <c r="BK119" s="21" t="str">
        <f ca="1">_xlfn.FORMULATEXT(BE119)</f>
        <v>=G229</v>
      </c>
      <c r="BL119" s="21" t="str">
        <f ca="1">_xlfn.FORMULATEXT(BE119)</f>
        <v>=G229</v>
      </c>
    </row>
    <row r="120" spans="1:64" ht="14.5">
      <c r="A120" s="21"/>
      <c r="B120" s="129"/>
      <c r="O120" s="127"/>
      <c r="W120" s="22"/>
      <c r="X120" s="22"/>
      <c r="Y120" s="22"/>
      <c r="AA120" s="22"/>
      <c r="AB120" s="22"/>
      <c r="AC120" s="22"/>
      <c r="AD120" s="22">
        <f>ROW()</f>
        <v>120</v>
      </c>
      <c r="AE120" s="22"/>
      <c r="AF120" s="22"/>
      <c r="AG120" s="22"/>
      <c r="AH120" s="22"/>
      <c r="AI120" s="22"/>
      <c r="AJ120" s="22"/>
      <c r="AK120" s="22"/>
      <c r="AL120" s="22"/>
      <c r="AM120" s="22"/>
      <c r="AN120" s="22"/>
      <c r="AO120" s="22"/>
      <c r="AP120" s="22"/>
      <c r="BB120" s="30" t="s">
        <v>506</v>
      </c>
      <c r="BC120" s="21" t="s">
        <v>127</v>
      </c>
      <c r="BD120" s="21" t="b">
        <v>1</v>
      </c>
      <c r="BE120" s="21" t="str">
        <f>J229</f>
        <v>0</v>
      </c>
      <c r="BF120" s="21" t="str">
        <f>""&amp;J229</f>
        <v>0</v>
      </c>
      <c r="BG120" s="21" t="b">
        <v>1</v>
      </c>
      <c r="BH120" s="21" t="b">
        <v>0</v>
      </c>
      <c r="BI120" s="21" t="str">
        <f>BE120</f>
        <v>0</v>
      </c>
      <c r="BK120" s="21" t="str">
        <f ca="1">_xlfn.FORMULATEXT(BE120)</f>
        <v>=J229</v>
      </c>
      <c r="BL120" s="21" t="str">
        <f ca="1">_xlfn.FORMULATEXT(BE120)</f>
        <v>=J229</v>
      </c>
    </row>
    <row r="121" spans="1:64" ht="14.5">
      <c r="A121" s="21"/>
      <c r="B121" s="130" t="s">
        <v>507</v>
      </c>
      <c r="C121" s="77"/>
      <c r="D121" s="77"/>
      <c r="E121" s="77"/>
      <c r="G121" s="547" t="s">
        <v>439</v>
      </c>
      <c r="H121" s="546"/>
      <c r="I121" s="546"/>
      <c r="J121" s="548"/>
      <c r="O121" s="127"/>
      <c r="W121" s="22"/>
      <c r="X121" s="22"/>
      <c r="Y121" s="22"/>
      <c r="AA121" s="22"/>
      <c r="AB121" s="22"/>
      <c r="AC121" s="22"/>
      <c r="AD121" s="22">
        <f>ROW()</f>
        <v>121</v>
      </c>
      <c r="AE121" s="22"/>
      <c r="AF121" s="22"/>
      <c r="AG121" s="22"/>
      <c r="AH121" s="22"/>
      <c r="AI121" s="22"/>
      <c r="AJ121" s="22"/>
      <c r="AK121" s="22"/>
      <c r="AL121" s="22"/>
      <c r="AM121" s="22"/>
      <c r="AN121" s="22"/>
      <c r="AO121" s="22"/>
      <c r="AP121" s="22"/>
      <c r="BB121" s="30" t="s">
        <v>508</v>
      </c>
      <c r="BC121" s="21" t="s">
        <v>127</v>
      </c>
      <c r="BD121" s="21" t="b">
        <v>0</v>
      </c>
      <c r="BE121" s="21">
        <f>M229</f>
        <v>0</v>
      </c>
      <c r="BF121" s="21" t="str">
        <f>""&amp;M229</f>
        <v/>
      </c>
      <c r="BG121" s="21" t="b">
        <v>1</v>
      </c>
      <c r="BH121" s="21" t="b">
        <v>0</v>
      </c>
      <c r="BI121" s="21" t="str">
        <f>BE120</f>
        <v>0</v>
      </c>
      <c r="BK121" s="21" t="str">
        <f ca="1">_xlfn.FORMULATEXT(BE121)</f>
        <v>=M229</v>
      </c>
      <c r="BL121" s="21" t="str">
        <f ca="1">_xlfn.FORMULATEXT(BE121)</f>
        <v>=M229</v>
      </c>
    </row>
    <row r="122" spans="1:64" ht="14.5">
      <c r="A122" s="21"/>
      <c r="B122" s="130"/>
      <c r="C122" s="77"/>
      <c r="D122" s="77"/>
      <c r="E122" s="77"/>
      <c r="O122" s="127"/>
      <c r="R122" s="116"/>
      <c r="W122" s="22"/>
      <c r="X122" s="22"/>
      <c r="Y122" s="22"/>
      <c r="AA122" s="22"/>
      <c r="AB122" s="22"/>
      <c r="AC122" s="22"/>
      <c r="AD122" s="22">
        <f>ROW()</f>
        <v>122</v>
      </c>
      <c r="AE122" s="22"/>
      <c r="AF122" s="22"/>
      <c r="AG122" s="22"/>
      <c r="AH122" s="22"/>
      <c r="AI122" s="22"/>
      <c r="AJ122" s="22"/>
      <c r="AK122" s="22"/>
      <c r="AL122" s="22"/>
      <c r="AM122" s="22"/>
      <c r="AN122" s="22"/>
      <c r="AO122" s="22"/>
      <c r="AP122" s="22"/>
      <c r="BB122" s="30" t="s">
        <v>509</v>
      </c>
      <c r="BC122" s="21" t="s">
        <v>127</v>
      </c>
      <c r="BD122" s="21" t="b">
        <v>1</v>
      </c>
      <c r="BE122" s="21">
        <f>G231</f>
        <v>0</v>
      </c>
      <c r="BF122" s="21" t="str">
        <f>""&amp;G231</f>
        <v/>
      </c>
      <c r="BG122" s="21" t="b">
        <v>1</v>
      </c>
      <c r="BH122" s="21" t="b">
        <v>0</v>
      </c>
      <c r="BK122" s="21" t="str">
        <f ca="1">_xlfn.FORMULATEXT(BE122)</f>
        <v>=G231</v>
      </c>
      <c r="BL122" s="21" t="str">
        <f ca="1">_xlfn.FORMULATEXT(BE122)</f>
        <v>=G231</v>
      </c>
    </row>
    <row r="123" spans="1:64" ht="14.5">
      <c r="A123" s="21"/>
      <c r="B123" s="129"/>
      <c r="O123" s="127"/>
      <c r="R123" s="116"/>
      <c r="W123" s="22"/>
      <c r="X123" s="22"/>
      <c r="Y123" s="22"/>
      <c r="AA123" s="22"/>
      <c r="AB123" s="22"/>
      <c r="AC123" s="22"/>
      <c r="AD123" s="22">
        <f>ROW()</f>
        <v>123</v>
      </c>
      <c r="AE123" s="22"/>
      <c r="AF123" s="22"/>
      <c r="AG123" s="22"/>
      <c r="AH123" s="22"/>
      <c r="AI123" s="22"/>
      <c r="AJ123" s="22"/>
      <c r="AK123" s="22"/>
      <c r="AL123" s="22"/>
      <c r="AM123" s="22"/>
      <c r="AN123" s="22"/>
      <c r="AO123" s="22"/>
      <c r="AP123" s="22"/>
      <c r="BB123" s="30" t="s">
        <v>510</v>
      </c>
      <c r="BC123" s="21" t="s">
        <v>127</v>
      </c>
      <c r="BD123" s="21" t="b">
        <v>1</v>
      </c>
      <c r="BE123" s="21" t="str">
        <f>J231</f>
        <v>0</v>
      </c>
      <c r="BF123" s="21" t="str">
        <f>""&amp;J231</f>
        <v>0</v>
      </c>
      <c r="BG123" s="21" t="b">
        <v>1</v>
      </c>
      <c r="BH123" s="21" t="b">
        <v>0</v>
      </c>
      <c r="BI123" s="21" t="str">
        <f>BE123</f>
        <v>0</v>
      </c>
      <c r="BK123" s="21" t="str">
        <f ca="1">_xlfn.FORMULATEXT(BE123)</f>
        <v>=J231</v>
      </c>
      <c r="BL123" s="21" t="str">
        <f ca="1">_xlfn.FORMULATEXT(BE123)</f>
        <v>=J231</v>
      </c>
    </row>
    <row r="124" spans="1:64" ht="14.5">
      <c r="A124" s="21"/>
      <c r="B124" s="126" t="s">
        <v>511</v>
      </c>
      <c r="C124" s="68"/>
      <c r="D124" s="68"/>
      <c r="E124" s="68"/>
      <c r="G124" s="681" t="s">
        <v>440</v>
      </c>
      <c r="H124" s="679"/>
      <c r="I124" s="679"/>
      <c r="J124" s="683"/>
      <c r="O124" s="127"/>
      <c r="R124" s="116"/>
      <c r="W124" s="22"/>
      <c r="X124" s="22"/>
      <c r="Y124" s="22"/>
      <c r="AA124" s="22"/>
      <c r="AB124" s="22"/>
      <c r="AC124" s="22"/>
      <c r="AD124" s="22">
        <f>ROW()</f>
        <v>124</v>
      </c>
      <c r="AE124" s="22"/>
      <c r="AF124" s="22"/>
      <c r="AG124" s="22"/>
      <c r="AH124" s="22"/>
      <c r="AI124" s="22"/>
      <c r="AJ124" s="22"/>
      <c r="AK124" s="22"/>
      <c r="AL124" s="22"/>
      <c r="AM124" s="22"/>
      <c r="AN124" s="22"/>
      <c r="AO124" s="22"/>
      <c r="AP124" s="22"/>
      <c r="BB124" s="30" t="s">
        <v>512</v>
      </c>
      <c r="BC124" s="21" t="s">
        <v>127</v>
      </c>
      <c r="BD124" s="21" t="b">
        <v>0</v>
      </c>
      <c r="BE124" s="21">
        <f>M231</f>
        <v>0</v>
      </c>
      <c r="BF124" s="21" t="str">
        <f>""&amp;M231</f>
        <v/>
      </c>
      <c r="BG124" s="21" t="b">
        <v>1</v>
      </c>
      <c r="BH124" s="21" t="b">
        <v>0</v>
      </c>
      <c r="BI124" s="21" t="str">
        <f>BE123</f>
        <v>0</v>
      </c>
      <c r="BK124" s="21" t="str">
        <f ca="1">_xlfn.FORMULATEXT(BE124)</f>
        <v>=M231</v>
      </c>
      <c r="BL124" s="21" t="str">
        <f ca="1">_xlfn.FORMULATEXT(BE124)</f>
        <v>=M231</v>
      </c>
    </row>
    <row r="125" spans="1:64" ht="27.65" customHeight="1">
      <c r="A125" s="21"/>
      <c r="B125" s="129"/>
      <c r="F125" s="78"/>
      <c r="G125" s="682"/>
      <c r="H125" s="680"/>
      <c r="I125" s="680"/>
      <c r="J125" s="684"/>
      <c r="O125" s="127"/>
      <c r="R125" s="116"/>
      <c r="W125" s="22"/>
      <c r="X125" s="22"/>
      <c r="Y125" s="22"/>
      <c r="AA125" s="22"/>
      <c r="AB125" s="22"/>
      <c r="AC125" s="22"/>
      <c r="AD125" s="22">
        <f>ROW()</f>
        <v>125</v>
      </c>
      <c r="AE125" s="22"/>
      <c r="AF125" s="22"/>
      <c r="AG125" s="22"/>
      <c r="AH125" s="22"/>
      <c r="AI125" s="22"/>
      <c r="AJ125" s="22"/>
      <c r="AK125" s="22"/>
      <c r="AL125" s="22"/>
      <c r="AM125" s="22"/>
      <c r="AN125" s="22"/>
      <c r="AO125" s="22"/>
      <c r="AP125" s="22"/>
      <c r="BB125" s="30" t="s">
        <v>513</v>
      </c>
      <c r="BC125" s="21" t="s">
        <v>127</v>
      </c>
      <c r="BD125" s="21" t="b">
        <v>1</v>
      </c>
      <c r="BE125" s="21">
        <f>G232</f>
        <v>0</v>
      </c>
      <c r="BF125" s="21" t="str">
        <f>""&amp;G232</f>
        <v/>
      </c>
      <c r="BG125" s="21" t="b">
        <v>1</v>
      </c>
      <c r="BH125" s="21" t="b">
        <v>0</v>
      </c>
      <c r="BK125" s="21" t="str">
        <f ca="1">_xlfn.FORMULATEXT(BE125)</f>
        <v>=G232</v>
      </c>
      <c r="BL125" s="21" t="str">
        <f ca="1">_xlfn.FORMULATEXT(BE125)</f>
        <v>=G232</v>
      </c>
    </row>
    <row r="126" spans="1:64" ht="14.5">
      <c r="A126" s="21"/>
      <c r="B126" s="137" t="s">
        <v>514</v>
      </c>
      <c r="C126" s="101"/>
      <c r="D126" s="101"/>
      <c r="E126" s="101"/>
      <c r="F126" s="101"/>
      <c r="G126" s="101"/>
      <c r="H126" s="101"/>
      <c r="O126" s="127"/>
      <c r="W126" s="22"/>
      <c r="X126" s="22"/>
      <c r="Y126" s="22"/>
      <c r="AA126" s="22"/>
      <c r="AB126" s="22"/>
      <c r="AC126" s="22"/>
      <c r="AD126" s="22">
        <f>ROW()</f>
        <v>126</v>
      </c>
      <c r="AE126" s="22"/>
      <c r="AF126" s="22"/>
      <c r="AG126" s="22"/>
      <c r="AH126" s="22"/>
      <c r="AI126" s="22"/>
      <c r="AJ126" s="22"/>
      <c r="AK126" s="22"/>
      <c r="AL126" s="22"/>
      <c r="AM126" s="22"/>
      <c r="AN126" s="22"/>
      <c r="AO126" s="22"/>
      <c r="AP126" s="22"/>
      <c r="BB126" s="30" t="s">
        <v>515</v>
      </c>
      <c r="BC126" s="21" t="s">
        <v>127</v>
      </c>
      <c r="BD126" s="21" t="b">
        <v>1</v>
      </c>
      <c r="BE126" s="21" t="str">
        <f>J232</f>
        <v>135226</v>
      </c>
      <c r="BF126" s="21" t="str">
        <f>""&amp;J232</f>
        <v>135226</v>
      </c>
      <c r="BG126" s="21" t="b">
        <v>1</v>
      </c>
      <c r="BH126" s="21" t="b">
        <v>0</v>
      </c>
      <c r="BI126" s="21" t="str">
        <f>BE126</f>
        <v>135226</v>
      </c>
      <c r="BK126" s="21" t="str">
        <f ca="1">_xlfn.FORMULATEXT(BE126)</f>
        <v>=J232</v>
      </c>
      <c r="BL126" s="21" t="str">
        <f ca="1">_xlfn.FORMULATEXT(BE126)</f>
        <v>=J232</v>
      </c>
    </row>
    <row r="127" spans="1:64" ht="14.5">
      <c r="A127" s="21"/>
      <c r="B127" s="129"/>
      <c r="O127" s="127"/>
      <c r="W127" s="22"/>
      <c r="X127" s="22"/>
      <c r="Y127" s="22"/>
      <c r="AA127" s="22"/>
      <c r="AB127" s="22"/>
      <c r="AC127" s="22"/>
      <c r="AD127" s="22">
        <f>ROW()</f>
        <v>127</v>
      </c>
      <c r="AE127" s="22"/>
      <c r="AF127" s="22"/>
      <c r="AG127" s="22"/>
      <c r="AH127" s="22"/>
      <c r="AI127" s="22"/>
      <c r="AJ127" s="22"/>
      <c r="AK127" s="22"/>
      <c r="AL127" s="22"/>
      <c r="AM127" s="22"/>
      <c r="AN127" s="22"/>
      <c r="AO127" s="22"/>
      <c r="AP127" s="22"/>
      <c r="BB127" s="30" t="s">
        <v>516</v>
      </c>
      <c r="BC127" s="21" t="s">
        <v>127</v>
      </c>
      <c r="BD127" s="21" t="b">
        <v>0</v>
      </c>
      <c r="BE127" s="21">
        <f>M232</f>
        <v>0</v>
      </c>
      <c r="BF127" s="21" t="str">
        <f>""&amp;M232</f>
        <v/>
      </c>
      <c r="BG127" s="21" t="b">
        <v>1</v>
      </c>
      <c r="BH127" s="21" t="b">
        <v>0</v>
      </c>
      <c r="BI127" s="21" t="str">
        <f>BE126</f>
        <v>135226</v>
      </c>
      <c r="BK127" s="21" t="str">
        <f ca="1">_xlfn.FORMULATEXT(BE127)</f>
        <v>=M232</v>
      </c>
      <c r="BL127" s="21" t="str">
        <f ca="1">_xlfn.FORMULATEXT(BE127)</f>
        <v>=M232</v>
      </c>
    </row>
    <row r="128" spans="1:64" ht="41.75" customHeight="1">
      <c r="A128" s="21"/>
      <c r="B128" s="126" t="s">
        <v>517</v>
      </c>
      <c r="C128" s="68"/>
      <c r="D128" s="69"/>
      <c r="G128" s="609" t="s">
        <v>958</v>
      </c>
      <c r="H128" s="608"/>
      <c r="I128" s="608"/>
      <c r="J128" s="610"/>
      <c r="O128" s="127"/>
      <c r="AD128" s="22">
        <f>ROW()</f>
        <v>128</v>
      </c>
      <c r="AE128" s="22"/>
      <c r="AF128" s="22"/>
      <c r="AG128" s="22"/>
      <c r="AH128" s="22"/>
      <c r="AI128" s="22"/>
      <c r="AJ128" s="22"/>
      <c r="AK128" s="22"/>
      <c r="AL128" s="22"/>
      <c r="AM128" s="22"/>
      <c r="AN128" s="22"/>
      <c r="AO128" s="22"/>
      <c r="AP128" s="22"/>
      <c r="BB128" s="30" t="s">
        <v>518</v>
      </c>
      <c r="BC128" s="21" t="s">
        <v>127</v>
      </c>
      <c r="BD128" s="21" t="b">
        <v>1</v>
      </c>
      <c r="BE128" s="21">
        <f>G233</f>
        <v>0</v>
      </c>
      <c r="BF128" s="21" t="str">
        <f>""&amp;G233</f>
        <v/>
      </c>
      <c r="BG128" s="21" t="b">
        <v>1</v>
      </c>
      <c r="BH128" s="21" t="b">
        <v>0</v>
      </c>
      <c r="BK128" s="21" t="str">
        <f ca="1">_xlfn.FORMULATEXT(BE128)</f>
        <v>=G233</v>
      </c>
      <c r="BL128" s="21" t="str">
        <f ca="1">_xlfn.FORMULATEXT(BE128)</f>
        <v>=G233</v>
      </c>
    </row>
    <row r="129" spans="1:64" ht="14.5">
      <c r="A129" s="21"/>
      <c r="B129" s="129"/>
      <c r="O129" s="127"/>
      <c r="AD129" s="22">
        <f>ROW()</f>
        <v>129</v>
      </c>
      <c r="AE129" s="22"/>
      <c r="AF129" s="22"/>
      <c r="AG129" s="22"/>
      <c r="AH129" s="22"/>
      <c r="AI129" s="22"/>
      <c r="AJ129" s="22"/>
      <c r="AK129" s="22"/>
      <c r="AL129" s="22"/>
      <c r="AM129" s="22"/>
      <c r="AN129" s="22"/>
      <c r="AO129" s="22"/>
      <c r="AP129" s="22"/>
      <c r="BB129" s="30" t="s">
        <v>519</v>
      </c>
      <c r="BC129" s="21" t="s">
        <v>127</v>
      </c>
      <c r="BD129" s="21" t="b">
        <v>1</v>
      </c>
      <c r="BE129" s="21" t="str">
        <f>J233</f>
        <v>0</v>
      </c>
      <c r="BF129" s="21" t="str">
        <f>""&amp;J233</f>
        <v>0</v>
      </c>
      <c r="BG129" s="21" t="b">
        <v>1</v>
      </c>
      <c r="BH129" s="21" t="b">
        <v>0</v>
      </c>
      <c r="BI129" s="21" t="str">
        <f>BE129</f>
        <v>0</v>
      </c>
      <c r="BK129" s="21" t="str">
        <f ca="1">_xlfn.FORMULATEXT(BE129)</f>
        <v>=J233</v>
      </c>
      <c r="BL129" s="21" t="str">
        <f ca="1">_xlfn.FORMULATEXT(BE129)</f>
        <v>=J233</v>
      </c>
    </row>
    <row r="130" spans="1:64" ht="43.25" customHeight="1">
      <c r="A130" s="21"/>
      <c r="B130" s="126" t="s">
        <v>520</v>
      </c>
      <c r="E130" s="79"/>
      <c r="F130" s="79"/>
      <c r="G130" s="609" t="s">
        <v>1027</v>
      </c>
      <c r="H130" s="608"/>
      <c r="I130" s="608"/>
      <c r="J130" s="610"/>
      <c r="O130" s="127"/>
      <c r="AD130" s="22">
        <f>ROW()</f>
        <v>130</v>
      </c>
      <c r="AE130" s="22"/>
      <c r="AF130" s="22"/>
      <c r="AG130" s="22"/>
      <c r="AH130" s="22"/>
      <c r="AI130" s="22"/>
      <c r="AJ130" s="22"/>
      <c r="AK130" s="22"/>
      <c r="AL130" s="22"/>
      <c r="AM130" s="22"/>
      <c r="AN130" s="22"/>
      <c r="AO130" s="22"/>
      <c r="AP130" s="22"/>
      <c r="BB130" s="30" t="s">
        <v>521</v>
      </c>
      <c r="BC130" s="21" t="s">
        <v>127</v>
      </c>
      <c r="BD130" s="21" t="b">
        <v>0</v>
      </c>
      <c r="BE130" s="21">
        <f>M233</f>
        <v>0</v>
      </c>
      <c r="BF130" s="21" t="str">
        <f>""&amp;M233</f>
        <v/>
      </c>
      <c r="BG130" s="21" t="b">
        <v>1</v>
      </c>
      <c r="BH130" s="21" t="b">
        <v>0</v>
      </c>
      <c r="BI130" s="21" t="str">
        <f>BE129</f>
        <v>0</v>
      </c>
      <c r="BK130" s="21" t="str">
        <f ca="1">_xlfn.FORMULATEXT(BE130)</f>
        <v>=M233</v>
      </c>
      <c r="BL130" s="21" t="str">
        <f ca="1">_xlfn.FORMULATEXT(BE130)</f>
        <v>=M233</v>
      </c>
    </row>
    <row r="131" spans="1:64" ht="14.5">
      <c r="A131" s="21"/>
      <c r="B131" s="129"/>
      <c r="O131" s="127"/>
      <c r="AD131" s="22">
        <f>ROW()</f>
        <v>131</v>
      </c>
      <c r="AE131" s="22"/>
      <c r="AF131" s="22"/>
      <c r="AG131" s="22"/>
      <c r="AH131" s="22"/>
      <c r="AI131" s="22"/>
      <c r="AJ131" s="22"/>
      <c r="AK131" s="22"/>
      <c r="AL131" s="22"/>
      <c r="AM131" s="22"/>
      <c r="AN131" s="22"/>
      <c r="AO131" s="22"/>
      <c r="AP131" s="22"/>
      <c r="BB131" s="30" t="s">
        <v>522</v>
      </c>
      <c r="BC131" s="21" t="s">
        <v>127</v>
      </c>
      <c r="BD131" s="21" t="b">
        <v>1</v>
      </c>
      <c r="BE131" s="21">
        <f>G234</f>
        <v>0</v>
      </c>
      <c r="BF131" s="21" t="str">
        <f>""&amp;G234</f>
        <v/>
      </c>
      <c r="BG131" s="21" t="b">
        <v>1</v>
      </c>
      <c r="BH131" s="21" t="b">
        <v>0</v>
      </c>
      <c r="BK131" s="21" t="str">
        <f ca="1">_xlfn.FORMULATEXT(BE131)</f>
        <v>=G234</v>
      </c>
      <c r="BL131" s="21" t="str">
        <f ca="1">_xlfn.FORMULATEXT(BE131)</f>
        <v>=G234</v>
      </c>
    </row>
    <row r="132" spans="1:64" ht="14.5">
      <c r="A132" s="21"/>
      <c r="B132" s="137" t="s">
        <v>523</v>
      </c>
      <c r="C132" s="102"/>
      <c r="F132" s="79"/>
      <c r="G132" s="598" t="s">
        <v>396</v>
      </c>
      <c r="H132" s="597"/>
      <c r="I132" s="597"/>
      <c r="J132" s="599"/>
      <c r="O132" s="127"/>
      <c r="AD132" s="22">
        <f>ROW()</f>
        <v>132</v>
      </c>
      <c r="AE132" s="22"/>
      <c r="AF132" s="22"/>
      <c r="AG132" s="22"/>
      <c r="AH132" s="22"/>
      <c r="AI132" s="22"/>
      <c r="AJ132" s="22"/>
      <c r="AK132" s="22"/>
      <c r="AL132" s="22"/>
      <c r="AM132" s="22"/>
      <c r="AN132" s="22"/>
      <c r="AO132" s="22"/>
      <c r="AP132" s="22"/>
      <c r="BB132" s="30" t="s">
        <v>524</v>
      </c>
      <c r="BC132" s="21" t="s">
        <v>127</v>
      </c>
      <c r="BD132" s="21" t="b">
        <v>1</v>
      </c>
      <c r="BE132" s="21" t="str">
        <f>J234</f>
        <v>0</v>
      </c>
      <c r="BF132" s="21" t="str">
        <f>""&amp;J234</f>
        <v>0</v>
      </c>
      <c r="BG132" s="21" t="b">
        <v>1</v>
      </c>
      <c r="BH132" s="21" t="b">
        <v>0</v>
      </c>
      <c r="BI132" s="21" t="str">
        <f>BE132</f>
        <v>0</v>
      </c>
      <c r="BK132" s="21" t="str">
        <f ca="1">_xlfn.FORMULATEXT(BE132)</f>
        <v>=J234</v>
      </c>
      <c r="BL132" s="21" t="str">
        <f ca="1">_xlfn.FORMULATEXT(BE132)</f>
        <v>=J234</v>
      </c>
    </row>
    <row r="133" spans="1:64" ht="14.5">
      <c r="A133" s="21"/>
      <c r="B133" s="129"/>
      <c r="O133" s="127"/>
      <c r="AD133" s="22">
        <f>ROW()</f>
        <v>133</v>
      </c>
      <c r="AE133" s="22"/>
      <c r="AF133" s="22"/>
      <c r="AG133" s="22"/>
      <c r="AH133" s="22"/>
      <c r="AI133" s="22"/>
      <c r="AJ133" s="22"/>
      <c r="AK133" s="22"/>
      <c r="AL133" s="22"/>
      <c r="AM133" s="22"/>
      <c r="AN133" s="22"/>
      <c r="AO133" s="22"/>
      <c r="AP133" s="22"/>
      <c r="BB133" s="30" t="s">
        <v>525</v>
      </c>
      <c r="BC133" s="21" t="s">
        <v>127</v>
      </c>
      <c r="BD133" s="21" t="b">
        <v>0</v>
      </c>
      <c r="BE133" s="21">
        <f>M234</f>
        <v>0</v>
      </c>
      <c r="BF133" s="21" t="str">
        <f>""&amp;M234</f>
        <v/>
      </c>
      <c r="BG133" s="21" t="b">
        <v>1</v>
      </c>
      <c r="BH133" s="21" t="b">
        <v>0</v>
      </c>
      <c r="BI133" s="21" t="str">
        <f>BE132</f>
        <v>0</v>
      </c>
      <c r="BK133" s="21" t="str">
        <f ca="1">_xlfn.FORMULATEXT(BE133)</f>
        <v>=M234</v>
      </c>
      <c r="BL133" s="21" t="str">
        <f ca="1">_xlfn.FORMULATEXT(BE133)</f>
        <v>=M234</v>
      </c>
    </row>
    <row r="134" spans="1:64" ht="14.5">
      <c r="A134" s="21"/>
      <c r="B134" s="138" t="s">
        <v>526</v>
      </c>
      <c r="F134" s="79"/>
      <c r="G134" s="598" t="s">
        <v>1046</v>
      </c>
      <c r="H134" s="597"/>
      <c r="I134" s="597"/>
      <c r="J134" s="599"/>
      <c r="O134" s="127"/>
      <c r="AD134" s="22">
        <f>ROW()</f>
        <v>134</v>
      </c>
      <c r="AE134" s="22"/>
      <c r="AF134" s="22"/>
      <c r="AG134" s="22"/>
      <c r="AH134" s="22"/>
      <c r="AI134" s="22"/>
      <c r="AJ134" s="22"/>
      <c r="AK134" s="22"/>
      <c r="AL134" s="22"/>
      <c r="AM134" s="22"/>
      <c r="AN134" s="22"/>
      <c r="AO134" s="22"/>
      <c r="AP134" s="22"/>
      <c r="BB134" s="30" t="s">
        <v>527</v>
      </c>
      <c r="BC134" s="21" t="s">
        <v>127</v>
      </c>
      <c r="BD134" s="21" t="b">
        <v>1</v>
      </c>
      <c r="BE134" s="21">
        <f>G235</f>
        <v>0</v>
      </c>
      <c r="BF134" s="21" t="str">
        <f>""&amp;G235</f>
        <v/>
      </c>
      <c r="BG134" s="21" t="b">
        <v>1</v>
      </c>
      <c r="BH134" s="21" t="b">
        <v>0</v>
      </c>
      <c r="BK134" s="21" t="str">
        <f ca="1">_xlfn.FORMULATEXT(BE134)</f>
        <v>=G235</v>
      </c>
      <c r="BL134" s="21" t="str">
        <f ca="1">_xlfn.FORMULATEXT(BE134)</f>
        <v>=G235</v>
      </c>
    </row>
    <row r="135" spans="1:64" ht="14.5">
      <c r="A135" s="21"/>
      <c r="B135" s="129"/>
      <c r="O135" s="127"/>
      <c r="AD135" s="22">
        <f>ROW()</f>
        <v>135</v>
      </c>
      <c r="AE135" s="22"/>
      <c r="AF135" s="22"/>
      <c r="AG135" s="22"/>
      <c r="AH135" s="22"/>
      <c r="AI135" s="22"/>
      <c r="AJ135" s="22"/>
      <c r="AK135" s="22"/>
      <c r="AL135" s="22"/>
      <c r="AM135" s="22"/>
      <c r="AN135" s="22"/>
      <c r="AO135" s="22"/>
      <c r="AP135" s="22"/>
      <c r="BB135" s="30" t="s">
        <v>528</v>
      </c>
      <c r="BC135" s="21" t="s">
        <v>127</v>
      </c>
      <c r="BD135" s="21" t="b">
        <v>1</v>
      </c>
      <c r="BE135" s="21" t="str">
        <f>J235</f>
        <v>3926</v>
      </c>
      <c r="BF135" s="21" t="str">
        <f>""&amp;J235</f>
        <v>3926</v>
      </c>
      <c r="BG135" s="21" t="b">
        <v>1</v>
      </c>
      <c r="BH135" s="21" t="b">
        <v>0</v>
      </c>
      <c r="BI135" s="21" t="str">
        <f>BE135</f>
        <v>3926</v>
      </c>
      <c r="BK135" s="21" t="str">
        <f ca="1">_xlfn.FORMULATEXT(BE135)</f>
        <v>=J235</v>
      </c>
      <c r="BL135" s="21" t="str">
        <f ca="1">_xlfn.FORMULATEXT(BE135)</f>
        <v>=J235</v>
      </c>
    </row>
    <row r="136" spans="1:64" ht="14.5">
      <c r="A136" s="21"/>
      <c r="B136" s="137" t="s">
        <v>529</v>
      </c>
      <c r="F136" s="79"/>
      <c r="G136" s="598" t="s">
        <v>619</v>
      </c>
      <c r="H136" s="597"/>
      <c r="I136" s="597"/>
      <c r="J136" s="599"/>
      <c r="O136" s="127"/>
      <c r="AD136" s="22">
        <f>ROW()</f>
        <v>136</v>
      </c>
      <c r="AE136" s="22"/>
      <c r="AF136" s="22"/>
      <c r="AG136" s="22"/>
      <c r="AH136" s="22"/>
      <c r="AI136" s="22"/>
      <c r="AJ136" s="22"/>
      <c r="AK136" s="22"/>
      <c r="AL136" s="22"/>
      <c r="AM136" s="22"/>
      <c r="AN136" s="22"/>
      <c r="AO136" s="22"/>
      <c r="AP136" s="22"/>
      <c r="BB136" s="30" t="s">
        <v>530</v>
      </c>
      <c r="BC136" s="21" t="s">
        <v>127</v>
      </c>
      <c r="BD136" s="21" t="b">
        <v>0</v>
      </c>
      <c r="BE136" s="21">
        <f>M235</f>
        <v>0</v>
      </c>
      <c r="BF136" s="21" t="str">
        <f>""&amp;M235</f>
        <v/>
      </c>
      <c r="BG136" s="21" t="b">
        <v>1</v>
      </c>
      <c r="BH136" s="21" t="b">
        <v>0</v>
      </c>
      <c r="BI136" s="21" t="str">
        <f>BE135</f>
        <v>3926</v>
      </c>
      <c r="BK136" s="21" t="str">
        <f ca="1">_xlfn.FORMULATEXT(BE136)</f>
        <v>=M235</v>
      </c>
      <c r="BL136" s="21" t="str">
        <f ca="1">_xlfn.FORMULATEXT(BE136)</f>
        <v>=M235</v>
      </c>
    </row>
    <row r="137" spans="1:64" ht="14.5">
      <c r="A137" s="21"/>
      <c r="B137" s="129"/>
      <c r="O137" s="127"/>
      <c r="AD137" s="22">
        <f>ROW()</f>
        <v>137</v>
      </c>
      <c r="AE137" s="22"/>
      <c r="AF137" s="22"/>
      <c r="AG137" s="22"/>
      <c r="AH137" s="22"/>
      <c r="AI137" s="22"/>
      <c r="AJ137" s="22"/>
      <c r="AK137" s="22"/>
      <c r="AL137" s="22"/>
      <c r="AM137" s="22"/>
      <c r="AN137" s="22"/>
      <c r="AO137" s="22"/>
      <c r="AP137" s="22"/>
      <c r="BB137" s="30" t="s">
        <v>531</v>
      </c>
      <c r="BC137" s="21" t="s">
        <v>127</v>
      </c>
      <c r="BD137" s="21" t="b">
        <v>1</v>
      </c>
      <c r="BE137" s="21">
        <f>G236</f>
        <v>0</v>
      </c>
      <c r="BF137" s="21" t="str">
        <f>""&amp;G236</f>
        <v/>
      </c>
      <c r="BG137" s="21" t="b">
        <v>1</v>
      </c>
      <c r="BH137" s="21" t="b">
        <v>0</v>
      </c>
      <c r="BK137" s="21" t="str">
        <f ca="1">_xlfn.FORMULATEXT(BE137)</f>
        <v>=G236</v>
      </c>
      <c r="BL137" s="21" t="str">
        <f ca="1">_xlfn.FORMULATEXT(BE137)</f>
        <v>=G236</v>
      </c>
    </row>
    <row r="138" spans="1:64" ht="14.5">
      <c r="A138" s="21"/>
      <c r="B138" s="137" t="s">
        <v>532</v>
      </c>
      <c r="C138" s="102"/>
      <c r="F138" s="79"/>
      <c r="G138" s="598" t="s">
        <v>1249</v>
      </c>
      <c r="H138" s="597"/>
      <c r="I138" s="597"/>
      <c r="J138" s="599"/>
      <c r="O138" s="127"/>
      <c r="W138" s="22"/>
      <c r="X138" s="22"/>
      <c r="Y138" s="22"/>
      <c r="AA138" s="22"/>
      <c r="AB138" s="22"/>
      <c r="AC138" s="22"/>
      <c r="AD138" s="22">
        <f>ROW()</f>
        <v>138</v>
      </c>
      <c r="AE138" s="22"/>
      <c r="AF138" s="22"/>
      <c r="AG138" s="22"/>
      <c r="AH138" s="22"/>
      <c r="AI138" s="22"/>
      <c r="AJ138" s="22"/>
      <c r="AK138" s="22"/>
      <c r="AL138" s="22"/>
      <c r="AM138" s="22"/>
      <c r="AN138" s="22"/>
      <c r="AO138" s="22"/>
      <c r="AP138" s="22"/>
      <c r="BB138" s="30" t="s">
        <v>533</v>
      </c>
      <c r="BC138" s="21" t="s">
        <v>127</v>
      </c>
      <c r="BD138" s="21" t="b">
        <v>1</v>
      </c>
      <c r="BE138" s="21" t="str">
        <f>J236</f>
        <v>0</v>
      </c>
      <c r="BF138" s="21" t="str">
        <f>""&amp;J236</f>
        <v>0</v>
      </c>
      <c r="BG138" s="21" t="b">
        <v>1</v>
      </c>
      <c r="BH138" s="21" t="b">
        <v>0</v>
      </c>
      <c r="BI138" s="21" t="str">
        <f>BE138</f>
        <v>0</v>
      </c>
      <c r="BK138" s="21" t="str">
        <f ca="1">_xlfn.FORMULATEXT(BE138)</f>
        <v>=J236</v>
      </c>
      <c r="BL138" s="21" t="str">
        <f ca="1">_xlfn.FORMULATEXT(BE138)</f>
        <v>=J236</v>
      </c>
    </row>
    <row r="139" spans="1:64" ht="14.5">
      <c r="A139" s="21"/>
      <c r="B139" s="129"/>
      <c r="H139" s="613"/>
      <c r="O139" s="127"/>
      <c r="W139" s="22"/>
      <c r="X139" s="22"/>
      <c r="Y139" s="22"/>
      <c r="AD139" s="22">
        <f>ROW()</f>
        <v>139</v>
      </c>
      <c r="AE139" s="22"/>
      <c r="AF139" s="22"/>
      <c r="AG139" s="22"/>
      <c r="AH139" s="22"/>
      <c r="AI139" s="22"/>
      <c r="AJ139" s="22"/>
      <c r="AK139" s="22"/>
      <c r="AL139" s="22"/>
      <c r="AM139" s="22"/>
      <c r="AN139" s="22"/>
      <c r="AO139" s="22"/>
      <c r="AP139" s="22"/>
      <c r="BB139" s="30" t="s">
        <v>534</v>
      </c>
      <c r="BC139" s="21" t="s">
        <v>127</v>
      </c>
      <c r="BD139" s="21" t="b">
        <v>0</v>
      </c>
      <c r="BE139" s="21">
        <f>M236</f>
        <v>0</v>
      </c>
      <c r="BF139" s="21" t="str">
        <f>""&amp;M236</f>
        <v/>
      </c>
      <c r="BG139" s="21" t="b">
        <v>1</v>
      </c>
      <c r="BH139" s="21" t="b">
        <v>0</v>
      </c>
      <c r="BI139" s="21" t="str">
        <f>BE138</f>
        <v>0</v>
      </c>
      <c r="BK139" s="21" t="str">
        <f ca="1">_xlfn.FORMULATEXT(BE139)</f>
        <v>=M236</v>
      </c>
      <c r="BL139" s="21" t="str">
        <f ca="1">_xlfn.FORMULATEXT(BE139)</f>
        <v>=M236</v>
      </c>
    </row>
    <row r="140" spans="1:64" ht="14.5">
      <c r="A140" s="21"/>
      <c r="B140" s="137" t="s">
        <v>535</v>
      </c>
      <c r="C140" s="101"/>
      <c r="G140" s="598" t="s">
        <v>1309</v>
      </c>
      <c r="H140" s="597"/>
      <c r="I140" s="597"/>
      <c r="J140" s="599"/>
      <c r="O140" s="127"/>
      <c r="W140" s="22"/>
      <c r="X140" s="22"/>
      <c r="Y140" s="22"/>
      <c r="AA140" s="22"/>
      <c r="AB140" s="22"/>
      <c r="AC140" s="22"/>
      <c r="AD140" s="22">
        <f>ROW()</f>
        <v>140</v>
      </c>
      <c r="AE140" s="22"/>
      <c r="AF140" s="22"/>
      <c r="AG140" s="22"/>
      <c r="AH140" s="22"/>
      <c r="AI140" s="22"/>
      <c r="AJ140" s="22"/>
      <c r="AK140" s="22"/>
      <c r="AL140" s="22"/>
      <c r="AM140" s="22"/>
      <c r="AN140" s="22"/>
      <c r="AO140" s="22"/>
      <c r="AP140" s="22"/>
      <c r="BB140" s="30" t="s">
        <v>536</v>
      </c>
      <c r="BC140" s="21" t="s">
        <v>127</v>
      </c>
      <c r="BD140" s="21" t="b">
        <v>1</v>
      </c>
      <c r="BE140" s="21">
        <f>G237</f>
        <v>0</v>
      </c>
      <c r="BF140" s="21" t="str">
        <f>""&amp;G237</f>
        <v/>
      </c>
      <c r="BG140" s="21" t="b">
        <v>1</v>
      </c>
      <c r="BH140" s="21" t="b">
        <v>0</v>
      </c>
      <c r="BK140" s="21" t="str">
        <f ca="1">_xlfn.FORMULATEXT(BE140)</f>
        <v>=G237</v>
      </c>
      <c r="BL140" s="21" t="str">
        <f ca="1">_xlfn.FORMULATEXT(BE140)</f>
        <v>=G237</v>
      </c>
    </row>
    <row r="141" spans="1:64" ht="14.75" customHeight="1">
      <c r="A141" s="21"/>
      <c r="B141" s="129"/>
      <c r="O141" s="127"/>
      <c r="W141" s="22"/>
      <c r="X141" s="22"/>
      <c r="Y141" s="22"/>
      <c r="AA141" s="22"/>
      <c r="AB141" s="22"/>
      <c r="AC141" s="22"/>
      <c r="AD141" s="22">
        <f>ROW()</f>
        <v>141</v>
      </c>
      <c r="AE141" s="22"/>
      <c r="AF141" s="22"/>
      <c r="AG141" s="22"/>
      <c r="AH141" s="22"/>
      <c r="AI141" s="22"/>
      <c r="AJ141" s="22"/>
      <c r="AK141" s="22"/>
      <c r="AL141" s="22"/>
      <c r="AM141" s="22"/>
      <c r="AN141" s="22"/>
      <c r="AO141" s="22"/>
      <c r="AP141" s="22"/>
      <c r="BB141" s="30" t="s">
        <v>537</v>
      </c>
      <c r="BC141" s="21" t="s">
        <v>127</v>
      </c>
      <c r="BD141" s="21" t="b">
        <v>1</v>
      </c>
      <c r="BE141" s="21" t="str">
        <f>J237</f>
        <v>0</v>
      </c>
      <c r="BF141" s="21" t="str">
        <f>""&amp;J237</f>
        <v>0</v>
      </c>
      <c r="BG141" s="21" t="b">
        <v>1</v>
      </c>
      <c r="BH141" s="21" t="b">
        <v>0</v>
      </c>
      <c r="BI141" s="21" t="str">
        <f>BE141</f>
        <v>0</v>
      </c>
      <c r="BK141" s="21" t="str">
        <f ca="1">_xlfn.FORMULATEXT(BE141)</f>
        <v>=J237</v>
      </c>
      <c r="BL141" s="21" t="str">
        <f ca="1">_xlfn.FORMULATEXT(BE141)</f>
        <v>=J237</v>
      </c>
    </row>
    <row r="142" spans="1:64" ht="14.75" customHeight="1">
      <c r="A142" s="21"/>
      <c r="B142" s="137" t="s">
        <v>538</v>
      </c>
      <c r="G142" s="598" t="s">
        <v>407</v>
      </c>
      <c r="H142" s="597"/>
      <c r="I142" s="597"/>
      <c r="J142" s="599"/>
      <c r="O142" s="127"/>
      <c r="W142" s="22"/>
      <c r="X142" s="22"/>
      <c r="Y142" s="22"/>
      <c r="AA142" s="22"/>
      <c r="AB142" s="22"/>
      <c r="AC142" s="22"/>
      <c r="AD142" s="22">
        <f>ROW()</f>
        <v>142</v>
      </c>
      <c r="AE142" s="22"/>
      <c r="AF142" s="22"/>
      <c r="AG142" s="22"/>
      <c r="AH142" s="22"/>
      <c r="AI142" s="22"/>
      <c r="AJ142" s="22"/>
      <c r="AK142" s="22"/>
      <c r="AL142" s="22"/>
      <c r="AM142" s="22"/>
      <c r="AN142" s="22"/>
      <c r="AO142" s="22"/>
      <c r="AP142" s="22"/>
      <c r="BB142" s="30" t="s">
        <v>539</v>
      </c>
      <c r="BC142" s="21" t="s">
        <v>127</v>
      </c>
      <c r="BD142" s="21" t="b">
        <v>0</v>
      </c>
      <c r="BE142" s="21">
        <f>M237</f>
        <v>0</v>
      </c>
      <c r="BF142" s="21" t="str">
        <f>""&amp;M237</f>
        <v/>
      </c>
      <c r="BG142" s="21" t="b">
        <v>1</v>
      </c>
      <c r="BH142" s="21" t="b">
        <v>0</v>
      </c>
      <c r="BI142" s="21" t="str">
        <f>BE141</f>
        <v>0</v>
      </c>
      <c r="BK142" s="21" t="str">
        <f ca="1">_xlfn.FORMULATEXT(BE142)</f>
        <v>=M237</v>
      </c>
      <c r="BL142" s="21" t="str">
        <f ca="1">_xlfn.FORMULATEXT(BE142)</f>
        <v>=M237</v>
      </c>
    </row>
    <row r="143" spans="1:64" ht="16.25" customHeight="1">
      <c r="A143" s="21"/>
      <c r="B143" s="129"/>
      <c r="O143" s="127"/>
      <c r="W143" s="22"/>
      <c r="X143" s="22"/>
      <c r="Y143" s="22"/>
      <c r="AA143" s="22"/>
      <c r="AB143" s="22"/>
      <c r="AC143" s="22"/>
      <c r="AD143" s="22">
        <f>ROW()</f>
        <v>143</v>
      </c>
      <c r="AE143" s="22"/>
      <c r="AF143" s="22"/>
      <c r="AG143" s="22"/>
      <c r="AH143" s="22"/>
      <c r="AI143" s="22"/>
      <c r="AJ143" s="22"/>
      <c r="AK143" s="22"/>
      <c r="AL143" s="22"/>
      <c r="AM143" s="22"/>
      <c r="AN143" s="22"/>
      <c r="AO143" s="22"/>
      <c r="AP143" s="22"/>
      <c r="BB143" s="30" t="s">
        <v>540</v>
      </c>
      <c r="BC143" s="21" t="s">
        <v>127</v>
      </c>
      <c r="BD143" s="21" t="b">
        <v>1</v>
      </c>
      <c r="BE143" s="21">
        <f>G239</f>
        <v>0</v>
      </c>
      <c r="BF143" s="21" t="str">
        <f>""&amp;G239</f>
        <v/>
      </c>
      <c r="BG143" s="21" t="b">
        <v>1</v>
      </c>
      <c r="BH143" s="21" t="b">
        <v>0</v>
      </c>
      <c r="BK143" s="21" t="str">
        <f ca="1">_xlfn.FORMULATEXT(BE143)</f>
        <v>=G239</v>
      </c>
      <c r="BL143" s="21" t="str">
        <f ca="1">_xlfn.FORMULATEXT(BE143)</f>
        <v>=G239</v>
      </c>
    </row>
    <row r="144" spans="1:64" ht="14.5">
      <c r="A144" s="21"/>
      <c r="B144" s="137" t="s">
        <v>541</v>
      </c>
      <c r="C144" s="101"/>
      <c r="D144" s="101"/>
      <c r="E144" s="101"/>
      <c r="F144" s="101"/>
      <c r="G144" s="101"/>
      <c r="H144" s="101"/>
      <c r="O144" s="127"/>
      <c r="W144" s="22"/>
      <c r="X144" s="22"/>
      <c r="Y144" s="22"/>
      <c r="AA144" s="22"/>
      <c r="AB144" s="22"/>
      <c r="AC144" s="22"/>
      <c r="AD144" s="22">
        <f>ROW()</f>
        <v>144</v>
      </c>
      <c r="AE144" s="22"/>
      <c r="AF144" s="22"/>
      <c r="AG144" s="22"/>
      <c r="AH144" s="22"/>
      <c r="AI144" s="22"/>
      <c r="AJ144" s="22"/>
      <c r="AK144" s="22"/>
      <c r="AL144" s="22"/>
      <c r="AM144" s="22"/>
      <c r="AN144" s="22"/>
      <c r="AO144" s="22"/>
      <c r="AP144" s="22"/>
      <c r="BB144" s="30" t="s">
        <v>542</v>
      </c>
      <c r="BC144" s="21" t="s">
        <v>127</v>
      </c>
      <c r="BD144" s="21" t="b">
        <v>1</v>
      </c>
      <c r="BE144" s="21" t="str">
        <f>J239</f>
        <v>0</v>
      </c>
      <c r="BF144" s="21" t="str">
        <f>""&amp;J239</f>
        <v>0</v>
      </c>
      <c r="BG144" s="21" t="b">
        <v>1</v>
      </c>
      <c r="BH144" s="21" t="b">
        <v>0</v>
      </c>
      <c r="BI144" s="21" t="str">
        <f>BE144</f>
        <v>0</v>
      </c>
      <c r="BK144" s="21" t="str">
        <f ca="1">_xlfn.FORMULATEXT(BE144)</f>
        <v>=J239</v>
      </c>
      <c r="BL144" s="21" t="str">
        <f ca="1">_xlfn.FORMULATEXT(BE144)</f>
        <v>=J239</v>
      </c>
    </row>
    <row r="145" spans="1:64" ht="14.5">
      <c r="A145" s="21"/>
      <c r="B145" s="129"/>
      <c r="O145" s="127"/>
      <c r="W145" s="22"/>
      <c r="X145" s="22"/>
      <c r="Y145" s="22"/>
      <c r="AA145" s="22"/>
      <c r="AB145" s="22"/>
      <c r="AC145" s="22"/>
      <c r="AD145" s="22">
        <f>ROW()</f>
        <v>145</v>
      </c>
      <c r="AE145" s="22"/>
      <c r="AF145" s="22"/>
      <c r="AG145" s="22"/>
      <c r="AH145" s="22"/>
      <c r="AI145" s="22"/>
      <c r="AJ145" s="22"/>
      <c r="AK145" s="22"/>
      <c r="AL145" s="22"/>
      <c r="AM145" s="22"/>
      <c r="AN145" s="22"/>
      <c r="AO145" s="22"/>
      <c r="AP145" s="22"/>
      <c r="BB145" s="30" t="s">
        <v>543</v>
      </c>
      <c r="BC145" s="21" t="s">
        <v>127</v>
      </c>
      <c r="BD145" s="21" t="b">
        <v>0</v>
      </c>
      <c r="BE145" s="21">
        <f>M239</f>
        <v>0</v>
      </c>
      <c r="BF145" s="21" t="str">
        <f>""&amp;M239</f>
        <v/>
      </c>
      <c r="BG145" s="21" t="b">
        <v>1</v>
      </c>
      <c r="BH145" s="21" t="b">
        <v>0</v>
      </c>
      <c r="BI145" s="21" t="str">
        <f>BE144</f>
        <v>0</v>
      </c>
      <c r="BK145" s="21" t="str">
        <f ca="1">_xlfn.FORMULATEXT(BE145)</f>
        <v>=M239</v>
      </c>
      <c r="BL145" s="21" t="str">
        <f ca="1">_xlfn.FORMULATEXT(BE145)</f>
        <v>=M239</v>
      </c>
    </row>
    <row r="146" spans="1:64" ht="31.25" customHeight="1">
      <c r="A146" s="21"/>
      <c r="B146" s="126" t="s">
        <v>544</v>
      </c>
      <c r="C146" s="89"/>
      <c r="D146" s="89"/>
      <c r="E146" s="89"/>
      <c r="G146" s="609" t="s">
        <v>1322</v>
      </c>
      <c r="H146" s="608"/>
      <c r="I146" s="608"/>
      <c r="J146" s="610"/>
      <c r="O146" s="127"/>
      <c r="W146" s="22"/>
      <c r="X146" s="22"/>
      <c r="Y146" s="22"/>
      <c r="AA146" s="22"/>
      <c r="AB146" s="22"/>
      <c r="AC146" s="22"/>
      <c r="AD146" s="22">
        <f>ROW()</f>
        <v>146</v>
      </c>
      <c r="AE146" s="22"/>
      <c r="AF146" s="22"/>
      <c r="AG146" s="22"/>
      <c r="AH146" s="22"/>
      <c r="AI146" s="22"/>
      <c r="AJ146" s="22"/>
      <c r="AK146" s="22"/>
      <c r="AL146" s="22"/>
      <c r="AM146" s="22"/>
      <c r="AN146" s="22"/>
      <c r="AO146" s="22"/>
      <c r="AP146" s="22"/>
      <c r="BB146" s="30" t="s">
        <v>545</v>
      </c>
      <c r="BC146" s="21" t="s">
        <v>127</v>
      </c>
      <c r="BD146" s="21" t="b">
        <v>1</v>
      </c>
      <c r="BE146" s="21">
        <f>G240</f>
        <v>0</v>
      </c>
      <c r="BF146" s="21" t="str">
        <f>""&amp;G240</f>
        <v/>
      </c>
      <c r="BG146" s="21" t="b">
        <v>1</v>
      </c>
      <c r="BH146" s="21" t="b">
        <v>0</v>
      </c>
      <c r="BK146" s="21" t="str">
        <f ca="1">_xlfn.FORMULATEXT(BE146)</f>
        <v>=G240</v>
      </c>
      <c r="BL146" s="21" t="str">
        <f ca="1">_xlfn.FORMULATEXT(BE146)</f>
        <v>=G240</v>
      </c>
    </row>
    <row r="147" spans="1:64" ht="14.5">
      <c r="A147" s="21"/>
      <c r="B147" s="129"/>
      <c r="F147" s="139"/>
      <c r="O147" s="127"/>
      <c r="W147" s="22"/>
      <c r="X147" s="22"/>
      <c r="Y147" s="22"/>
      <c r="AA147" s="22"/>
      <c r="AB147" s="22"/>
      <c r="AC147" s="22"/>
      <c r="AD147" s="22">
        <f>ROW()</f>
        <v>147</v>
      </c>
      <c r="AE147" s="22"/>
      <c r="AF147" s="22"/>
      <c r="AG147" s="22"/>
      <c r="AH147" s="22"/>
      <c r="AI147" s="22"/>
      <c r="AJ147" s="22"/>
      <c r="AK147" s="22"/>
      <c r="AL147" s="22"/>
      <c r="AM147" s="22"/>
      <c r="AN147" s="22"/>
      <c r="AO147" s="22"/>
      <c r="AP147" s="22"/>
      <c r="BB147" s="30" t="s">
        <v>546</v>
      </c>
      <c r="BC147" s="21" t="s">
        <v>127</v>
      </c>
      <c r="BD147" s="21" t="b">
        <v>1</v>
      </c>
      <c r="BE147" s="21" t="str">
        <f>J240</f>
        <v>0</v>
      </c>
      <c r="BF147" s="21" t="str">
        <f>""&amp;J240</f>
        <v>0</v>
      </c>
      <c r="BG147" s="21" t="b">
        <v>1</v>
      </c>
      <c r="BH147" s="21" t="b">
        <v>0</v>
      </c>
      <c r="BI147" s="21" t="str">
        <f>BE147</f>
        <v>0</v>
      </c>
      <c r="BK147" s="21" t="str">
        <f ca="1">_xlfn.FORMULATEXT(BE147)</f>
        <v>=J240</v>
      </c>
      <c r="BL147" s="21" t="str">
        <f ca="1">_xlfn.FORMULATEXT(BE147)</f>
        <v>=J240</v>
      </c>
    </row>
    <row r="148" spans="1:64" ht="14.5">
      <c r="A148" s="21"/>
      <c r="B148" s="137" t="s">
        <v>547</v>
      </c>
      <c r="C148" s="101"/>
      <c r="D148" s="101"/>
      <c r="E148" s="101"/>
      <c r="G148" s="598" t="s">
        <v>1327</v>
      </c>
      <c r="H148" s="597"/>
      <c r="I148" s="597"/>
      <c r="J148" s="599"/>
      <c r="O148" s="127"/>
      <c r="W148" s="22"/>
      <c r="X148" s="22"/>
      <c r="Y148" s="22"/>
      <c r="AA148" s="22"/>
      <c r="AB148" s="22"/>
      <c r="AC148" s="22"/>
      <c r="AD148" s="22">
        <f>ROW()</f>
        <v>148</v>
      </c>
      <c r="AE148" s="22"/>
      <c r="AF148" s="22"/>
      <c r="AG148" s="22"/>
      <c r="AH148" s="22"/>
      <c r="AI148" s="22"/>
      <c r="AJ148" s="22"/>
      <c r="AK148" s="22"/>
      <c r="AL148" s="22"/>
      <c r="AM148" s="22"/>
      <c r="AN148" s="22"/>
      <c r="AO148" s="22"/>
      <c r="AP148" s="22"/>
      <c r="BB148" s="30" t="s">
        <v>548</v>
      </c>
      <c r="BC148" s="21" t="s">
        <v>127</v>
      </c>
      <c r="BD148" s="21" t="b">
        <v>0</v>
      </c>
      <c r="BE148" s="21">
        <f>M240</f>
        <v>0</v>
      </c>
      <c r="BF148" s="21" t="str">
        <f>""&amp;M240</f>
        <v/>
      </c>
      <c r="BG148" s="21" t="b">
        <v>1</v>
      </c>
      <c r="BH148" s="21" t="b">
        <v>0</v>
      </c>
      <c r="BI148" s="21" t="str">
        <f>BE147</f>
        <v>0</v>
      </c>
      <c r="BK148" s="21" t="str">
        <f ca="1">_xlfn.FORMULATEXT(BE148)</f>
        <v>=M240</v>
      </c>
      <c r="BL148" s="21" t="str">
        <f ca="1">_xlfn.FORMULATEXT(BE148)</f>
        <v>=M240</v>
      </c>
    </row>
    <row r="149" spans="1:64" ht="14.5">
      <c r="A149" s="21"/>
      <c r="B149" s="140"/>
      <c r="C149" s="141"/>
      <c r="D149" s="141"/>
      <c r="E149" s="141"/>
      <c r="F149" s="141"/>
      <c r="G149" s="141"/>
      <c r="H149" s="141"/>
      <c r="I149" s="141"/>
      <c r="J149" s="141"/>
      <c r="K149" s="141"/>
      <c r="L149" s="141"/>
      <c r="M149" s="141"/>
      <c r="N149" s="141"/>
      <c r="O149" s="142"/>
      <c r="W149" s="22"/>
      <c r="X149" s="22"/>
      <c r="Y149" s="22"/>
      <c r="AA149" s="22"/>
      <c r="AB149" s="22"/>
      <c r="AC149" s="22"/>
      <c r="AD149" s="22">
        <f>ROW()</f>
        <v>149</v>
      </c>
      <c r="AE149" s="22"/>
      <c r="AF149" s="22"/>
      <c r="AG149" s="22"/>
      <c r="AH149" s="22"/>
      <c r="AI149" s="22"/>
      <c r="AJ149" s="22"/>
      <c r="AK149" s="22"/>
      <c r="AL149" s="22"/>
      <c r="AM149" s="22"/>
      <c r="AN149" s="22"/>
      <c r="AO149" s="22"/>
      <c r="AP149" s="22"/>
      <c r="BB149" s="30" t="s">
        <v>549</v>
      </c>
      <c r="BC149" s="21" t="s">
        <v>127</v>
      </c>
      <c r="BD149" s="21" t="b">
        <v>1</v>
      </c>
      <c r="BE149" s="21">
        <f>G241</f>
        <v>0</v>
      </c>
      <c r="BF149" s="21" t="str">
        <f>""&amp;G241</f>
        <v/>
      </c>
      <c r="BG149" s="21" t="b">
        <v>1</v>
      </c>
      <c r="BH149" s="21" t="b">
        <v>0</v>
      </c>
      <c r="BK149" s="21" t="str">
        <f ca="1">_xlfn.FORMULATEXT(BE149)</f>
        <v>=G241</v>
      </c>
      <c r="BL149" s="21" t="str">
        <f ca="1">_xlfn.FORMULATEXT(BE149)</f>
        <v>=G241</v>
      </c>
    </row>
    <row r="150" spans="1:64" ht="14.5">
      <c r="A150" s="21"/>
      <c r="B150" s="143" t="s">
        <v>550</v>
      </c>
      <c r="C150" s="143"/>
      <c r="D150" s="143"/>
      <c r="E150" s="143"/>
      <c r="F150" s="143"/>
      <c r="G150" s="143"/>
      <c r="W150" s="22"/>
      <c r="X150" s="22"/>
      <c r="Y150" s="22"/>
      <c r="AA150" s="22"/>
      <c r="AB150" s="22"/>
      <c r="AC150" s="22"/>
      <c r="AD150" s="22">
        <f>ROW()</f>
        <v>150</v>
      </c>
      <c r="AE150" s="22"/>
      <c r="AF150" s="22"/>
      <c r="AG150" s="22"/>
      <c r="AH150" s="22"/>
      <c r="AI150" s="22"/>
      <c r="AJ150" s="22"/>
      <c r="AK150" s="22"/>
      <c r="AL150" s="22"/>
      <c r="AM150" s="22"/>
      <c r="AN150" s="22"/>
      <c r="AO150" s="22"/>
      <c r="AP150" s="22"/>
      <c r="BB150" s="30" t="s">
        <v>551</v>
      </c>
      <c r="BC150" s="21" t="s">
        <v>127</v>
      </c>
      <c r="BD150" s="21" t="b">
        <v>1</v>
      </c>
      <c r="BE150" s="21" t="str">
        <f>J241</f>
        <v>0</v>
      </c>
      <c r="BF150" s="21" t="str">
        <f>""&amp;J241</f>
        <v>0</v>
      </c>
      <c r="BG150" s="21" t="b">
        <v>1</v>
      </c>
      <c r="BH150" s="21" t="b">
        <v>0</v>
      </c>
      <c r="BI150" s="21" t="str">
        <f>BE150</f>
        <v>0</v>
      </c>
      <c r="BK150" s="21" t="str">
        <f ca="1">_xlfn.FORMULATEXT(BE150)</f>
        <v>=J241</v>
      </c>
      <c r="BL150" s="21" t="str">
        <f ca="1">_xlfn.FORMULATEXT(BE150)</f>
        <v>=J241</v>
      </c>
    </row>
    <row r="151" spans="1:1 23:64" ht="14.5">
      <c r="A151" s="21"/>
      <c r="W151" s="22"/>
      <c r="X151" s="22"/>
      <c r="Y151" s="22"/>
      <c r="AA151" s="22"/>
      <c r="AB151" s="22"/>
      <c r="AC151" s="22"/>
      <c r="AD151" s="22">
        <f>ROW()</f>
        <v>151</v>
      </c>
      <c r="AE151" s="22"/>
      <c r="AF151" s="22"/>
      <c r="AG151" s="22"/>
      <c r="AH151" s="22"/>
      <c r="AI151" s="22"/>
      <c r="AJ151" s="22"/>
      <c r="AK151" s="22"/>
      <c r="AL151" s="22"/>
      <c r="AM151" s="22"/>
      <c r="AN151" s="22"/>
      <c r="AO151" s="22"/>
      <c r="AP151" s="22"/>
      <c r="BB151" s="30" t="s">
        <v>552</v>
      </c>
      <c r="BC151" s="21" t="s">
        <v>127</v>
      </c>
      <c r="BD151" s="21" t="b">
        <v>0</v>
      </c>
      <c r="BE151" s="21">
        <f>M241</f>
        <v>0</v>
      </c>
      <c r="BF151" s="21" t="str">
        <f>""&amp;M241</f>
        <v/>
      </c>
      <c r="BG151" s="21" t="b">
        <v>1</v>
      </c>
      <c r="BH151" s="21" t="b">
        <v>0</v>
      </c>
      <c r="BI151" s="21" t="str">
        <f>BE150</f>
        <v>0</v>
      </c>
      <c r="BK151" s="21" t="str">
        <f ca="1">_xlfn.FORMULATEXT(BE151)</f>
        <v>=M241</v>
      </c>
      <c r="BL151" s="21" t="str">
        <f ca="1">_xlfn.FORMULATEXT(BE151)</f>
        <v>=M241</v>
      </c>
    </row>
    <row r="152" spans="1:64" ht="14.75" customHeight="1">
      <c r="A152" s="21" t="s">
        <v>673</v>
      </c>
      <c r="B152" s="144" t="s">
        <v>553</v>
      </c>
      <c r="C152" s="145"/>
      <c r="D152" s="145"/>
      <c r="E152" s="145"/>
      <c r="F152" s="33"/>
      <c r="G152" s="547" t="s">
        <v>133</v>
      </c>
      <c r="H152" s="546"/>
      <c r="I152" s="546"/>
      <c r="J152" s="548"/>
      <c r="K152" s="33"/>
      <c r="L152" s="149"/>
      <c r="W152" s="22"/>
      <c r="X152" s="22"/>
      <c r="Y152" s="22"/>
      <c r="AA152" s="22"/>
      <c r="AB152" s="22"/>
      <c r="AC152" s="22"/>
      <c r="AD152" s="22">
        <f>ROW()</f>
        <v>152</v>
      </c>
      <c r="AE152" s="22"/>
      <c r="AF152" s="22"/>
      <c r="AG152" s="22"/>
      <c r="AH152" s="22"/>
      <c r="AI152" s="22"/>
      <c r="AJ152" s="22"/>
      <c r="AK152" s="22"/>
      <c r="AL152" s="22"/>
      <c r="AM152" s="22"/>
      <c r="AN152" s="22"/>
      <c r="AO152" s="22"/>
      <c r="AP152" s="22"/>
      <c r="BB152" s="30" t="s">
        <v>554</v>
      </c>
      <c r="BC152" s="21" t="s">
        <v>127</v>
      </c>
      <c r="BD152" s="21" t="b">
        <v>1</v>
      </c>
      <c r="BE152" s="21">
        <f>G242</f>
        <v>0</v>
      </c>
      <c r="BF152" s="21" t="str">
        <f>""&amp;G242</f>
        <v/>
      </c>
      <c r="BG152" s="21" t="b">
        <v>1</v>
      </c>
      <c r="BH152" s="21" t="b">
        <v>0</v>
      </c>
      <c r="BK152" s="21" t="str">
        <f ca="1">_xlfn.FORMULATEXT(BE152)</f>
        <v>=G242</v>
      </c>
      <c r="BL152" s="21" t="str">
        <f ca="1">_xlfn.FORMULATEXT(BE152)</f>
        <v>=G242</v>
      </c>
    </row>
    <row r="153" spans="1:64" ht="14.5">
      <c r="A153" s="21" t="s">
        <v>673</v>
      </c>
      <c r="B153" s="150" t="s">
        <v>555</v>
      </c>
      <c r="C153" s="150"/>
      <c r="D153" s="150"/>
      <c r="E153" s="150"/>
      <c r="F153" s="150"/>
      <c r="G153" s="33"/>
      <c r="H153" s="33"/>
      <c r="I153" s="33"/>
      <c r="J153" s="33"/>
      <c r="K153" s="33"/>
      <c r="L153" s="33"/>
      <c r="W153" s="22"/>
      <c r="X153" s="22"/>
      <c r="Y153" s="22"/>
      <c r="AA153" s="22"/>
      <c r="AB153" s="22"/>
      <c r="AC153" s="22"/>
      <c r="AD153" s="22">
        <f>ROW()</f>
        <v>153</v>
      </c>
      <c r="AE153" s="22"/>
      <c r="AF153" s="22"/>
      <c r="AG153" s="22"/>
      <c r="AH153" s="22"/>
      <c r="AI153" s="22"/>
      <c r="AJ153" s="22"/>
      <c r="AK153" s="22"/>
      <c r="AL153" s="22"/>
      <c r="AM153" s="22"/>
      <c r="AN153" s="22"/>
      <c r="AO153" s="22"/>
      <c r="AP153" s="22"/>
      <c r="BB153" s="30" t="s">
        <v>556</v>
      </c>
      <c r="BC153" s="21" t="s">
        <v>127</v>
      </c>
      <c r="BD153" s="21" t="b">
        <v>1</v>
      </c>
      <c r="BE153" s="21" t="str">
        <f>J242</f>
        <v>69645</v>
      </c>
      <c r="BF153" s="21" t="str">
        <f>""&amp;J242</f>
        <v>69645</v>
      </c>
      <c r="BG153" s="21" t="b">
        <v>1</v>
      </c>
      <c r="BH153" s="21" t="b">
        <v>0</v>
      </c>
      <c r="BI153" s="21" t="str">
        <f>BE153</f>
        <v>69645</v>
      </c>
      <c r="BK153" s="21" t="str">
        <f ca="1">_xlfn.FORMULATEXT(BE153)</f>
        <v>=J242</v>
      </c>
      <c r="BL153" s="21" t="str">
        <f ca="1">_xlfn.FORMULATEXT(BE153)</f>
        <v>=J242</v>
      </c>
    </row>
    <row r="154" spans="1:64" ht="14.5">
      <c r="A154" s="21" t="s">
        <v>673</v>
      </c>
      <c r="B154" s="150"/>
      <c r="C154" s="150"/>
      <c r="D154" s="150"/>
      <c r="E154" s="150"/>
      <c r="F154" s="150"/>
      <c r="G154" s="33"/>
      <c r="H154" s="33"/>
      <c r="I154" s="33"/>
      <c r="J154" s="33"/>
      <c r="K154" s="33"/>
      <c r="L154" s="33"/>
      <c r="W154" s="22"/>
      <c r="X154" s="22"/>
      <c r="Y154" s="22"/>
      <c r="AD154" s="22">
        <f>ROW()</f>
        <v>154</v>
      </c>
      <c r="AE154" s="22"/>
      <c r="AF154" s="22"/>
      <c r="AG154" s="22"/>
      <c r="AH154" s="22"/>
      <c r="AI154" s="22"/>
      <c r="AJ154" s="22"/>
      <c r="AK154" s="22"/>
      <c r="AL154" s="22"/>
      <c r="AM154" s="22"/>
      <c r="AN154" s="22"/>
      <c r="AO154" s="22"/>
      <c r="AP154" s="22"/>
      <c r="BB154" s="30" t="s">
        <v>557</v>
      </c>
      <c r="BC154" s="21" t="s">
        <v>127</v>
      </c>
      <c r="BD154" s="21" t="b">
        <v>0</v>
      </c>
      <c r="BE154" s="21">
        <f>M242</f>
        <v>0</v>
      </c>
      <c r="BF154" s="21" t="str">
        <f>""&amp;M242</f>
        <v/>
      </c>
      <c r="BG154" s="21" t="b">
        <v>1</v>
      </c>
      <c r="BH154" s="21" t="b">
        <v>0</v>
      </c>
      <c r="BI154" s="21" t="str">
        <f>BE153</f>
        <v>69645</v>
      </c>
      <c r="BK154" s="21" t="str">
        <f ca="1">_xlfn.FORMULATEXT(BE154)</f>
        <v>=M242</v>
      </c>
      <c r="BL154" s="21" t="str">
        <f ca="1">_xlfn.FORMULATEXT(BE154)</f>
        <v>=M242</v>
      </c>
    </row>
    <row r="155" spans="1:64" ht="14.5">
      <c r="A155" s="21" t="s">
        <v>673</v>
      </c>
      <c r="B155" s="150"/>
      <c r="C155" s="150"/>
      <c r="D155" s="150"/>
      <c r="E155" s="150"/>
      <c r="F155" s="150"/>
      <c r="W155" s="22"/>
      <c r="X155" s="22"/>
      <c r="Y155" s="22"/>
      <c r="AA155" s="22"/>
      <c r="AB155" s="22"/>
      <c r="AC155" s="22"/>
      <c r="AD155" s="22">
        <f>ROW()</f>
        <v>155</v>
      </c>
      <c r="AE155" s="22"/>
      <c r="AF155" s="22"/>
      <c r="AG155" s="22"/>
      <c r="AH155" s="22"/>
      <c r="AI155" s="22"/>
      <c r="AJ155" s="22"/>
      <c r="AK155" s="22"/>
      <c r="AL155" s="22"/>
      <c r="AM155" s="22"/>
      <c r="AN155" s="22"/>
      <c r="AO155" s="22"/>
      <c r="AP155" s="22"/>
      <c r="BB155" s="30" t="s">
        <v>558</v>
      </c>
      <c r="BC155" s="21" t="s">
        <v>127</v>
      </c>
      <c r="BD155" s="21" t="b">
        <v>1</v>
      </c>
      <c r="BE155" s="21">
        <f>G243</f>
        <v>0</v>
      </c>
      <c r="BF155" s="21" t="str">
        <f>""&amp;G243</f>
        <v/>
      </c>
      <c r="BG155" s="21" t="b">
        <v>1</v>
      </c>
      <c r="BH155" s="21" t="b">
        <v>0</v>
      </c>
      <c r="BK155" s="21" t="str">
        <f ca="1">_xlfn.FORMULATEXT(BE155)</f>
        <v>=G243</v>
      </c>
      <c r="BL155" s="21" t="str">
        <f ca="1">_xlfn.FORMULATEXT(BE155)</f>
        <v>=G243</v>
      </c>
    </row>
    <row r="156" spans="1:64" ht="14.5">
      <c r="A156" s="21" t="s">
        <v>673</v>
      </c>
      <c r="B156" s="68" t="s">
        <v>559</v>
      </c>
      <c r="C156" s="89"/>
      <c r="D156" s="89"/>
      <c r="E156" s="89"/>
      <c r="F156" s="89"/>
      <c r="G156" s="89"/>
      <c r="H156" s="89"/>
      <c r="I156" s="89"/>
      <c r="W156" s="22"/>
      <c r="X156" s="22"/>
      <c r="Y156" s="22"/>
      <c r="AA156" s="22"/>
      <c r="AB156" s="22"/>
      <c r="AC156" s="22"/>
      <c r="AD156" s="22">
        <f>ROW()</f>
        <v>156</v>
      </c>
      <c r="AE156" s="22"/>
      <c r="AF156" s="22"/>
      <c r="AG156" s="22"/>
      <c r="AH156" s="22"/>
      <c r="AI156" s="22"/>
      <c r="AJ156" s="22"/>
      <c r="AK156" s="22"/>
      <c r="AL156" s="22"/>
      <c r="AM156" s="22"/>
      <c r="AN156" s="22"/>
      <c r="AO156" s="22"/>
      <c r="AP156" s="22"/>
      <c r="BB156" s="30" t="s">
        <v>560</v>
      </c>
      <c r="BC156" s="21" t="s">
        <v>127</v>
      </c>
      <c r="BD156" s="21" t="b">
        <v>1</v>
      </c>
      <c r="BE156" s="21" t="str">
        <f>J243</f>
        <v>0</v>
      </c>
      <c r="BF156" s="21" t="str">
        <f>""&amp;J243</f>
        <v>0</v>
      </c>
      <c r="BG156" s="21" t="b">
        <v>1</v>
      </c>
      <c r="BH156" s="21" t="b">
        <v>0</v>
      </c>
      <c r="BI156" s="21" t="str">
        <f>BE156</f>
        <v>0</v>
      </c>
      <c r="BK156" s="21" t="str">
        <f ca="1">_xlfn.FORMULATEXT(BE156)</f>
        <v>=J243</v>
      </c>
      <c r="BL156" s="21" t="str">
        <f ca="1">_xlfn.FORMULATEXT(BE156)</f>
        <v>=J243</v>
      </c>
    </row>
    <row r="157" spans="1:1 23:64" ht="14.5">
      <c r="A157" s="21" t="s">
        <v>673</v>
      </c>
      <c r="W157" s="22"/>
      <c r="X157" s="22"/>
      <c r="Y157" s="22"/>
      <c r="AA157" s="592">
        <v>1</v>
      </c>
      <c r="AB157" s="22">
        <f>IF(AC157="0",1,2)</f>
        <v>1</v>
      </c>
      <c r="AC157" s="22" t="s">
        <v>450</v>
      </c>
      <c r="AD157" s="22">
        <f>ROW()</f>
        <v>157</v>
      </c>
      <c r="AE157" s="22"/>
      <c r="AF157" s="22"/>
      <c r="AG157" s="22"/>
      <c r="AH157" s="22"/>
      <c r="AI157" s="22"/>
      <c r="AJ157" s="22"/>
      <c r="AK157" s="22"/>
      <c r="AL157" s="22"/>
      <c r="AM157" s="22"/>
      <c r="AN157" s="22"/>
      <c r="AO157" s="22"/>
      <c r="AP157" s="22"/>
      <c r="BB157" s="30" t="s">
        <v>561</v>
      </c>
      <c r="BC157" s="21" t="s">
        <v>127</v>
      </c>
      <c r="BD157" s="21" t="b">
        <v>0</v>
      </c>
      <c r="BE157" s="21">
        <f>M243</f>
        <v>0</v>
      </c>
      <c r="BF157" s="21" t="str">
        <f>""&amp;M243</f>
        <v/>
      </c>
      <c r="BG157" s="21" t="b">
        <v>1</v>
      </c>
      <c r="BH157" s="21" t="b">
        <v>0</v>
      </c>
      <c r="BI157" s="21" t="str">
        <f>BE156</f>
        <v>0</v>
      </c>
      <c r="BK157" s="21" t="str">
        <f ca="1">_xlfn.FORMULATEXT(BE157)</f>
        <v>=M243</v>
      </c>
      <c r="BL157" s="21" t="str">
        <f ca="1">_xlfn.FORMULATEXT(BE157)</f>
        <v>=M243</v>
      </c>
    </row>
    <row r="158" spans="1:1 23:64" ht="14.5">
      <c r="A158" s="21" t="s">
        <v>673</v>
      </c>
      <c r="W158" s="22"/>
      <c r="X158" s="22"/>
      <c r="Y158" s="22"/>
      <c r="AA158" s="22"/>
      <c r="AB158" s="22"/>
      <c r="AC158" s="22"/>
      <c r="AD158" s="22">
        <f>ROW()</f>
        <v>158</v>
      </c>
      <c r="AE158" s="22"/>
      <c r="AF158" s="22"/>
      <c r="AG158" s="22"/>
      <c r="AH158" s="22"/>
      <c r="AI158" s="22"/>
      <c r="AJ158" s="22"/>
      <c r="AK158" s="22"/>
      <c r="AL158" s="22"/>
      <c r="AM158" s="22"/>
      <c r="AN158" s="22"/>
      <c r="AO158" s="22"/>
      <c r="AP158" s="22"/>
      <c r="BB158" s="30" t="s">
        <v>562</v>
      </c>
      <c r="BC158" s="21" t="s">
        <v>127</v>
      </c>
      <c r="BD158" s="21" t="b">
        <v>1</v>
      </c>
      <c r="BE158" s="21">
        <f>G244</f>
        <v>0</v>
      </c>
      <c r="BF158" s="21" t="str">
        <f>""&amp;G244</f>
        <v/>
      </c>
      <c r="BG158" s="21" t="b">
        <v>1</v>
      </c>
      <c r="BH158" s="21" t="b">
        <v>0</v>
      </c>
      <c r="BK158" s="21" t="str">
        <f ca="1">_xlfn.FORMULATEXT(BE158)</f>
        <v>=G244</v>
      </c>
      <c r="BL158" s="21" t="str">
        <f ca="1">_xlfn.FORMULATEXT(BE158)</f>
        <v>=G244</v>
      </c>
    </row>
    <row r="159" spans="1:64" ht="14.5">
      <c r="A159" s="21" t="s">
        <v>673</v>
      </c>
      <c r="B159" s="89" t="s">
        <v>563</v>
      </c>
      <c r="C159" s="89"/>
      <c r="D159" s="89"/>
      <c r="E159" s="89"/>
      <c r="F159" s="89"/>
      <c r="G159" s="89"/>
      <c r="H159" s="89"/>
      <c r="W159" s="22"/>
      <c r="X159" s="22"/>
      <c r="Y159" s="22"/>
      <c r="AA159" s="22"/>
      <c r="AB159" s="22"/>
      <c r="AC159" s="22"/>
      <c r="AD159" s="22">
        <f>ROW()</f>
        <v>159</v>
      </c>
      <c r="AE159" s="22"/>
      <c r="AF159" s="22"/>
      <c r="AG159" s="22"/>
      <c r="AH159" s="22"/>
      <c r="AI159" s="22"/>
      <c r="AJ159" s="22"/>
      <c r="AK159" s="22"/>
      <c r="AL159" s="22"/>
      <c r="AM159" s="22"/>
      <c r="AN159" s="22"/>
      <c r="AO159" s="22"/>
      <c r="AP159" s="22"/>
      <c r="BB159" s="30" t="s">
        <v>564</v>
      </c>
      <c r="BC159" s="21" t="s">
        <v>127</v>
      </c>
      <c r="BD159" s="21" t="b">
        <v>1</v>
      </c>
      <c r="BE159" s="21" t="str">
        <f>J244</f>
        <v>600000</v>
      </c>
      <c r="BF159" s="21" t="str">
        <f>""&amp;J244</f>
        <v>600000</v>
      </c>
      <c r="BG159" s="21" t="b">
        <v>1</v>
      </c>
      <c r="BH159" s="21" t="b">
        <v>0</v>
      </c>
      <c r="BI159" s="21" t="str">
        <f>BE159</f>
        <v>600000</v>
      </c>
      <c r="BK159" s="21" t="str">
        <f ca="1">_xlfn.FORMULATEXT(BE159)</f>
        <v>=J244</v>
      </c>
      <c r="BL159" s="21" t="str">
        <f ca="1">_xlfn.FORMULATEXT(BE159)</f>
        <v>=J244</v>
      </c>
    </row>
    <row r="160" spans="1:1 23:64" ht="14.5">
      <c r="A160" s="21" t="s">
        <v>673</v>
      </c>
      <c r="W160" s="22"/>
      <c r="X160" s="22"/>
      <c r="Y160" s="22"/>
      <c r="AA160" s="592">
        <v>2</v>
      </c>
      <c r="AB160" s="22">
        <f>IF(AC160="0",1,2)</f>
        <v>2</v>
      </c>
      <c r="AC160" s="22" t="s">
        <v>44</v>
      </c>
      <c r="AD160" s="22">
        <f>ROW()</f>
        <v>160</v>
      </c>
      <c r="AE160" s="22"/>
      <c r="AF160" s="22"/>
      <c r="AG160" s="22"/>
      <c r="AH160" s="22"/>
      <c r="AI160" s="22"/>
      <c r="AJ160" s="22"/>
      <c r="AK160" s="22"/>
      <c r="AL160" s="22"/>
      <c r="AM160" s="22"/>
      <c r="AN160" s="22"/>
      <c r="AO160" s="22"/>
      <c r="AP160" s="22"/>
      <c r="BB160" s="30" t="s">
        <v>565</v>
      </c>
      <c r="BC160" s="21" t="s">
        <v>127</v>
      </c>
      <c r="BD160" s="21" t="b">
        <v>0</v>
      </c>
      <c r="BE160" s="21">
        <f>M244</f>
        <v>0</v>
      </c>
      <c r="BF160" s="21" t="str">
        <f>""&amp;M244</f>
        <v/>
      </c>
      <c r="BG160" s="21" t="b">
        <v>1</v>
      </c>
      <c r="BH160" s="21" t="b">
        <v>0</v>
      </c>
      <c r="BI160" s="21" t="str">
        <f>BE159</f>
        <v>600000</v>
      </c>
      <c r="BK160" s="21" t="str">
        <f ca="1">_xlfn.FORMULATEXT(BE160)</f>
        <v>=M244</v>
      </c>
      <c r="BL160" s="21" t="str">
        <f ca="1">_xlfn.FORMULATEXT(BE160)</f>
        <v>=M244</v>
      </c>
    </row>
    <row r="161" spans="1:1 23:64" ht="14.5">
      <c r="A161" s="21" t="s">
        <v>673</v>
      </c>
      <c r="W161" s="22"/>
      <c r="X161" s="22"/>
      <c r="Y161" s="22"/>
      <c r="AA161" s="22"/>
      <c r="AB161" s="22"/>
      <c r="AC161" s="22"/>
      <c r="AD161" s="22">
        <f>ROW()</f>
        <v>161</v>
      </c>
      <c r="AE161" s="22"/>
      <c r="AF161" s="22"/>
      <c r="AG161" s="22"/>
      <c r="AH161" s="22"/>
      <c r="AI161" s="22"/>
      <c r="AJ161" s="22"/>
      <c r="AK161" s="22"/>
      <c r="AL161" s="22"/>
      <c r="AM161" s="22"/>
      <c r="AN161" s="22"/>
      <c r="AO161" s="22"/>
      <c r="AP161" s="22"/>
      <c r="BB161" s="30" t="s">
        <v>566</v>
      </c>
      <c r="BC161" s="21" t="s">
        <v>127</v>
      </c>
      <c r="BD161" s="21" t="b">
        <v>1</v>
      </c>
      <c r="BE161" s="21" t="str">
        <f>G245</f>
        <v>0.00</v>
      </c>
      <c r="BF161" s="21" t="str">
        <f>""&amp;G245</f>
        <v>0.00</v>
      </c>
      <c r="BG161" s="21" t="b">
        <v>0</v>
      </c>
      <c r="BH161" s="21" t="b">
        <v>0</v>
      </c>
      <c r="BK161" s="21" t="str">
        <f ca="1">_xlfn.FORMULATEXT(BE161)</f>
        <v>=G245</v>
      </c>
      <c r="BL161" s="21" t="str">
        <f ca="1">_xlfn.FORMULATEXT(BE161)</f>
        <v>=G245</v>
      </c>
    </row>
    <row r="162" spans="1:64" ht="14.5">
      <c r="A162" s="21"/>
      <c r="B162" s="96" t="s">
        <v>567</v>
      </c>
      <c r="C162" s="96"/>
      <c r="D162" s="96"/>
      <c r="E162" s="96"/>
      <c r="F162" s="96"/>
      <c r="G162" s="96"/>
      <c r="H162" s="96"/>
      <c r="I162" s="96"/>
      <c r="J162" s="96"/>
      <c r="K162" s="96"/>
      <c r="L162" s="151"/>
      <c r="W162" s="22"/>
      <c r="X162" s="22"/>
      <c r="Y162" s="22"/>
      <c r="AA162" s="22"/>
      <c r="AB162" s="22"/>
      <c r="AC162" s="22"/>
      <c r="AD162" s="22">
        <f>ROW()</f>
        <v>162</v>
      </c>
      <c r="AE162" s="22"/>
      <c r="AF162" s="22"/>
      <c r="AG162" s="22"/>
      <c r="AH162" s="22"/>
      <c r="AI162" s="22"/>
      <c r="AJ162" s="22"/>
      <c r="AK162" s="22"/>
      <c r="AL162" s="22"/>
      <c r="AM162" s="22"/>
      <c r="AN162" s="22"/>
      <c r="AO162" s="22"/>
      <c r="AP162" s="22"/>
      <c r="BB162" s="30" t="s">
        <v>568</v>
      </c>
      <c r="BC162" s="21" t="s">
        <v>127</v>
      </c>
      <c r="BD162" s="21" t="b">
        <v>1</v>
      </c>
      <c r="BE162" s="21" t="str">
        <f>J245</f>
        <v>808797.00</v>
      </c>
      <c r="BF162" s="21" t="str">
        <f>""&amp;J245</f>
        <v>808797.00</v>
      </c>
      <c r="BG162" s="21" t="b">
        <v>0</v>
      </c>
      <c r="BH162" s="21" t="b">
        <v>0</v>
      </c>
      <c r="BI162" s="21" t="str">
        <f>BE162</f>
        <v>808797.00</v>
      </c>
      <c r="BK162" s="21" t="str">
        <f ca="1">_xlfn.FORMULATEXT(BE162)</f>
        <v>=J245</v>
      </c>
      <c r="BL162" s="21" t="str">
        <f ca="1">_xlfn.FORMULATEXT(BE162)</f>
        <v>=J245</v>
      </c>
    </row>
    <row r="163" spans="1:64" ht="14.5">
      <c r="A163" s="21"/>
      <c r="B163" s="151"/>
      <c r="C163" s="151"/>
      <c r="D163" s="151"/>
      <c r="E163" s="151"/>
      <c r="F163" s="151"/>
      <c r="G163" s="151"/>
      <c r="H163" s="151"/>
      <c r="I163" s="151"/>
      <c r="J163" s="151"/>
      <c r="K163" s="151"/>
      <c r="L163" s="151"/>
      <c r="W163" s="22"/>
      <c r="X163" s="22"/>
      <c r="Y163" s="22"/>
      <c r="AA163" s="592">
        <v>2</v>
      </c>
      <c r="AB163" s="22">
        <f>IF(AC163="0",1,2)</f>
        <v>2</v>
      </c>
      <c r="AC163" s="22" t="s">
        <v>44</v>
      </c>
      <c r="AD163" s="22">
        <f>ROW()</f>
        <v>163</v>
      </c>
      <c r="AE163" s="22"/>
      <c r="AF163" s="22"/>
      <c r="AG163" s="22"/>
      <c r="AH163" s="22"/>
      <c r="AI163" s="22"/>
      <c r="AJ163" s="22"/>
      <c r="AK163" s="22"/>
      <c r="AL163" s="22"/>
      <c r="AM163" s="22"/>
      <c r="AN163" s="22"/>
      <c r="AO163" s="22"/>
      <c r="AP163" s="22"/>
      <c r="BB163" s="30" t="s">
        <v>569</v>
      </c>
      <c r="BC163" s="21" t="s">
        <v>127</v>
      </c>
      <c r="BD163" s="21" t="b">
        <v>0</v>
      </c>
      <c r="BE163" s="21">
        <f>M245</f>
        <v>0</v>
      </c>
      <c r="BF163" s="21" t="str">
        <f>""&amp;M245</f>
        <v/>
      </c>
      <c r="BG163" s="21" t="b">
        <v>1</v>
      </c>
      <c r="BH163" s="21" t="b">
        <v>0</v>
      </c>
      <c r="BI163" s="21" t="str">
        <f>BE162</f>
        <v>808797.00</v>
      </c>
      <c r="BK163" s="21" t="str">
        <f ca="1">_xlfn.FORMULATEXT(BE163)</f>
        <v>=M245</v>
      </c>
      <c r="BL163" s="21" t="str">
        <f ca="1">_xlfn.FORMULATEXT(BE163)</f>
        <v>=M245</v>
      </c>
    </row>
    <row r="164" spans="1:1 23:64" ht="14.5">
      <c r="A164" s="21"/>
      <c r="W164" s="22"/>
      <c r="X164" s="22"/>
      <c r="Y164" s="22"/>
      <c r="AA164" s="22"/>
      <c r="AB164" s="22"/>
      <c r="AC164" s="22"/>
      <c r="AD164" s="22">
        <f>ROW()</f>
        <v>164</v>
      </c>
      <c r="AE164" s="22"/>
      <c r="AF164" s="22"/>
      <c r="AG164" s="22"/>
      <c r="AH164" s="22"/>
      <c r="AI164" s="22"/>
      <c r="AJ164" s="22"/>
      <c r="AK164" s="22"/>
      <c r="AL164" s="22"/>
      <c r="AM164" s="22"/>
      <c r="AN164" s="22"/>
      <c r="AO164" s="22"/>
      <c r="AP164" s="22"/>
      <c r="BB164" s="30" t="s">
        <v>570</v>
      </c>
      <c r="BC164" s="21" t="s">
        <v>123</v>
      </c>
      <c r="BD164" s="21" t="b">
        <v>0</v>
      </c>
      <c r="BE164" s="21" t="s">
        <v>571</v>
      </c>
      <c r="BF164" s="21" t="s">
        <v>571</v>
      </c>
      <c r="BG164" s="21" t="b">
        <v>0</v>
      </c>
      <c r="BH164" s="21" t="b">
        <v>0</v>
      </c>
      <c r="BK164" s="21" t="s">
        <v>125</v>
      </c>
      <c r="BL164" s="21" t="s">
        <v>125</v>
      </c>
    </row>
    <row r="165" spans="1:81" s="710" customFormat="1" ht="14.5" hidden="1">
      <c r="A165" s="710" t="s">
        <v>673</v>
      </c>
      <c r="B165" s="732" t="s">
        <v>572</v>
      </c>
      <c r="C165" s="732"/>
      <c r="D165" s="732"/>
      <c r="E165" s="732"/>
      <c r="F165" s="732"/>
      <c r="G165" s="732"/>
      <c r="H165" s="732"/>
      <c r="I165" s="732"/>
      <c r="J165" s="732"/>
      <c r="K165" s="732"/>
      <c r="L165" s="724"/>
      <c r="M165" s="724"/>
      <c r="N165" s="710"/>
      <c r="O165" s="710"/>
      <c r="P165" s="710"/>
      <c r="Q165" s="710"/>
      <c r="R165" s="710"/>
      <c r="S165" s="710"/>
      <c r="T165" s="710"/>
      <c r="U165" s="710"/>
      <c r="V165" s="710"/>
      <c r="W165" s="22"/>
      <c r="X165" s="22"/>
      <c r="Y165" s="22"/>
      <c r="Z165" s="710"/>
      <c r="AA165" s="22"/>
      <c r="AB165" s="22"/>
      <c r="AC165" s="22"/>
      <c r="AD165" s="22">
        <f>ROW()</f>
        <v>165</v>
      </c>
      <c r="AE165" s="22"/>
      <c r="AF165" s="22"/>
      <c r="AG165" s="22"/>
      <c r="AH165" s="22"/>
      <c r="AI165" s="22"/>
      <c r="AJ165" s="22"/>
      <c r="AK165" s="22"/>
      <c r="AL165" s="22"/>
      <c r="AM165" s="22"/>
      <c r="AN165" s="22"/>
      <c r="AO165" s="22"/>
      <c r="AP165" s="22"/>
      <c r="AQ165" s="710"/>
      <c r="AR165" s="710"/>
      <c r="AS165" s="710"/>
      <c r="AT165" s="710"/>
      <c r="AU165" s="710"/>
      <c r="AV165" s="710"/>
      <c r="AW165" s="710"/>
      <c r="AX165" s="710"/>
      <c r="AY165" s="710"/>
      <c r="AZ165" s="710"/>
      <c r="BA165" s="710"/>
      <c r="BB165" s="714" t="s">
        <v>573</v>
      </c>
      <c r="BC165" s="710" t="s">
        <v>127</v>
      </c>
      <c r="BD165" s="710" t="b">
        <v>1</v>
      </c>
      <c r="BE165" s="710">
        <f>G252</f>
        <v>0</v>
      </c>
      <c r="BF165" s="710" t="str">
        <f>""&amp;G252</f>
        <v/>
      </c>
      <c r="BG165" s="710" t="b">
        <v>1</v>
      </c>
      <c r="BH165" s="710" t="b">
        <v>0</v>
      </c>
      <c r="BI165" s="710"/>
      <c r="BJ165" s="710"/>
      <c r="BK165" s="710" t="str">
        <f ca="1">_xlfn.FORMULATEXT(BE165)</f>
        <v>=G252</v>
      </c>
      <c r="BL165" s="710" t="str">
        <f ca="1">_xlfn.FORMULATEXT(BE165)</f>
        <v>=G252</v>
      </c>
      <c r="BM165" s="710"/>
      <c r="BN165" s="710"/>
      <c r="BO165" s="710"/>
      <c r="BP165" s="710"/>
      <c r="BQ165" s="710"/>
      <c r="BR165" s="710"/>
      <c r="BS165" s="710"/>
      <c r="BT165" s="710"/>
      <c r="BU165" s="710"/>
      <c r="BV165" s="710"/>
      <c r="BW165" s="710"/>
      <c r="BX165" s="710"/>
      <c r="BY165" s="710"/>
      <c r="BZ165" s="710"/>
      <c r="CA165" s="710"/>
      <c r="CB165" s="710"/>
      <c r="CC165" s="710"/>
    </row>
    <row r="166" spans="1:81" s="710" customFormat="1" ht="14.5" hidden="1">
      <c r="A166" s="710" t="s">
        <v>673</v>
      </c>
      <c r="B166" s="710"/>
      <c r="C166" s="710"/>
      <c r="D166" s="710"/>
      <c r="E166" s="710"/>
      <c r="F166" s="710"/>
      <c r="G166" s="710"/>
      <c r="H166" s="710"/>
      <c r="I166" s="710"/>
      <c r="J166" s="710"/>
      <c r="K166" s="710"/>
      <c r="L166" s="710"/>
      <c r="M166" s="710"/>
      <c r="N166" s="710"/>
      <c r="O166" s="710"/>
      <c r="P166" s="710"/>
      <c r="Q166" s="710"/>
      <c r="R166" s="710"/>
      <c r="S166" s="710"/>
      <c r="T166" s="710"/>
      <c r="U166" s="710"/>
      <c r="V166" s="710"/>
      <c r="W166" s="22"/>
      <c r="X166" s="22"/>
      <c r="Y166" s="22"/>
      <c r="Z166" s="710"/>
      <c r="AA166" s="22"/>
      <c r="AB166" s="22"/>
      <c r="AC166" s="22"/>
      <c r="AD166" s="22">
        <f>ROW()</f>
        <v>166</v>
      </c>
      <c r="AE166" s="22"/>
      <c r="AF166" s="22"/>
      <c r="AG166" s="22"/>
      <c r="AH166" s="22"/>
      <c r="AI166" s="22"/>
      <c r="AJ166" s="22"/>
      <c r="AK166" s="22"/>
      <c r="AL166" s="22"/>
      <c r="AM166" s="22"/>
      <c r="AN166" s="22"/>
      <c r="AO166" s="22"/>
      <c r="AP166" s="22"/>
      <c r="AQ166" s="710"/>
      <c r="AR166" s="710"/>
      <c r="AS166" s="710"/>
      <c r="AT166" s="710"/>
      <c r="AU166" s="710"/>
      <c r="AV166" s="710"/>
      <c r="AW166" s="710"/>
      <c r="AX166" s="710"/>
      <c r="AY166" s="710"/>
      <c r="AZ166" s="710"/>
      <c r="BA166" s="710"/>
      <c r="BB166" s="714" t="s">
        <v>574</v>
      </c>
      <c r="BC166" s="710" t="s">
        <v>127</v>
      </c>
      <c r="BD166" s="710" t="b">
        <v>1</v>
      </c>
      <c r="BE166" s="710" t="str">
        <f>J252</f>
        <v>0</v>
      </c>
      <c r="BF166" s="710" t="str">
        <f>""&amp;J252</f>
        <v>0</v>
      </c>
      <c r="BG166" s="710" t="b">
        <v>1</v>
      </c>
      <c r="BH166" s="710" t="b">
        <v>0</v>
      </c>
      <c r="BI166" s="710" t="str">
        <f>BE166</f>
        <v>0</v>
      </c>
      <c r="BJ166" s="710"/>
      <c r="BK166" s="710" t="str">
        <f ca="1">_xlfn.FORMULATEXT(BE166)</f>
        <v>=J252</v>
      </c>
      <c r="BL166" s="710" t="str">
        <f ca="1">_xlfn.FORMULATEXT(BE166)</f>
        <v>=J252</v>
      </c>
      <c r="BM166" s="710"/>
      <c r="BN166" s="710"/>
      <c r="BO166" s="710"/>
      <c r="BP166" s="710"/>
      <c r="BQ166" s="710"/>
      <c r="BR166" s="710"/>
      <c r="BS166" s="710"/>
      <c r="BT166" s="710"/>
      <c r="BU166" s="710"/>
      <c r="BV166" s="710"/>
      <c r="BW166" s="710"/>
      <c r="BX166" s="710"/>
      <c r="BY166" s="710"/>
      <c r="BZ166" s="710"/>
      <c r="CA166" s="710"/>
      <c r="CB166" s="710"/>
      <c r="CC166" s="710"/>
    </row>
    <row r="167" spans="1:81" s="710" customFormat="1" ht="42.65" customHeight="1" hidden="1">
      <c r="A167" s="710" t="s">
        <v>673</v>
      </c>
      <c r="B167" s="728" t="s">
        <v>575</v>
      </c>
      <c r="C167" s="728"/>
      <c r="D167" s="728"/>
      <c r="E167" s="728"/>
      <c r="F167" s="710"/>
      <c r="G167" s="609"/>
      <c r="H167" s="608"/>
      <c r="I167" s="608"/>
      <c r="J167" s="610"/>
      <c r="K167" s="710"/>
      <c r="L167" s="710"/>
      <c r="M167" s="710"/>
      <c r="N167" s="710"/>
      <c r="O167" s="710"/>
      <c r="P167" s="710"/>
      <c r="Q167" s="710"/>
      <c r="R167" s="710"/>
      <c r="S167" s="710"/>
      <c r="T167" s="710"/>
      <c r="U167" s="710"/>
      <c r="V167" s="710"/>
      <c r="W167" s="22"/>
      <c r="X167" s="22"/>
      <c r="Y167" s="22"/>
      <c r="Z167" s="710"/>
      <c r="AA167" s="22"/>
      <c r="AB167" s="22"/>
      <c r="AC167" s="22"/>
      <c r="AD167" s="22">
        <f>ROW()</f>
        <v>167</v>
      </c>
      <c r="AE167" s="22"/>
      <c r="AF167" s="22"/>
      <c r="AG167" s="22"/>
      <c r="AH167" s="22"/>
      <c r="AI167" s="22"/>
      <c r="AJ167" s="22"/>
      <c r="AK167" s="22"/>
      <c r="AL167" s="22"/>
      <c r="AM167" s="22"/>
      <c r="AN167" s="22"/>
      <c r="AO167" s="22"/>
      <c r="AP167" s="22"/>
      <c r="AQ167" s="710"/>
      <c r="AR167" s="710"/>
      <c r="AS167" s="710"/>
      <c r="AT167" s="710"/>
      <c r="AU167" s="710"/>
      <c r="AV167" s="710"/>
      <c r="AW167" s="710"/>
      <c r="AX167" s="710"/>
      <c r="AY167" s="710"/>
      <c r="AZ167" s="710"/>
      <c r="BA167" s="710"/>
      <c r="BB167" s="714" t="s">
        <v>576</v>
      </c>
      <c r="BC167" s="710" t="s">
        <v>127</v>
      </c>
      <c r="BD167" s="710" t="b">
        <v>0</v>
      </c>
      <c r="BE167" s="710">
        <f>M252</f>
        <v>0</v>
      </c>
      <c r="BF167" s="710" t="str">
        <f>""&amp;M252</f>
        <v/>
      </c>
      <c r="BG167" s="710" t="b">
        <v>1</v>
      </c>
      <c r="BH167" s="710" t="b">
        <v>0</v>
      </c>
      <c r="BI167" s="710" t="str">
        <f>BE166</f>
        <v>0</v>
      </c>
      <c r="BJ167" s="710"/>
      <c r="BK167" s="710" t="str">
        <f ca="1">_xlfn.FORMULATEXT(BE167)</f>
        <v>=M252</v>
      </c>
      <c r="BL167" s="710" t="str">
        <f ca="1">_xlfn.FORMULATEXT(BE167)</f>
        <v>=M252</v>
      </c>
      <c r="BM167" s="710"/>
      <c r="BN167" s="710"/>
      <c r="BO167" s="710"/>
      <c r="BP167" s="710"/>
      <c r="BQ167" s="710"/>
      <c r="BR167" s="710"/>
      <c r="BS167" s="710"/>
      <c r="BT167" s="710"/>
      <c r="BU167" s="710"/>
      <c r="BV167" s="710"/>
      <c r="BW167" s="710"/>
      <c r="BX167" s="710"/>
      <c r="BY167" s="710"/>
      <c r="BZ167" s="710"/>
      <c r="CA167" s="710"/>
      <c r="CB167" s="710"/>
      <c r="CC167" s="710"/>
    </row>
    <row r="168" spans="1:81" s="710" customFormat="1" ht="14.5" hidden="1">
      <c r="A168" s="710" t="s">
        <v>673</v>
      </c>
      <c r="B168" s="710"/>
      <c r="C168" s="710"/>
      <c r="D168" s="710"/>
      <c r="E168" s="710"/>
      <c r="F168" s="710"/>
      <c r="G168" s="710"/>
      <c r="H168" s="710"/>
      <c r="I168" s="710"/>
      <c r="J168" s="710"/>
      <c r="K168" s="710"/>
      <c r="L168" s="710"/>
      <c r="M168" s="710"/>
      <c r="N168" s="710"/>
      <c r="O168" s="710"/>
      <c r="P168" s="710"/>
      <c r="Q168" s="710"/>
      <c r="R168" s="710"/>
      <c r="S168" s="710"/>
      <c r="T168" s="710"/>
      <c r="U168" s="710"/>
      <c r="V168" s="710"/>
      <c r="W168" s="22"/>
      <c r="X168" s="22"/>
      <c r="Y168" s="22"/>
      <c r="Z168" s="710"/>
      <c r="AA168" s="22"/>
      <c r="AB168" s="22"/>
      <c r="AC168" s="22"/>
      <c r="AD168" s="22">
        <f>ROW()</f>
        <v>168</v>
      </c>
      <c r="AE168" s="22"/>
      <c r="AF168" s="22"/>
      <c r="AG168" s="22"/>
      <c r="AH168" s="22"/>
      <c r="AI168" s="22"/>
      <c r="AJ168" s="22"/>
      <c r="AK168" s="22"/>
      <c r="AL168" s="22"/>
      <c r="AM168" s="22"/>
      <c r="AN168" s="22"/>
      <c r="AO168" s="22"/>
      <c r="AP168" s="22"/>
      <c r="AQ168" s="710"/>
      <c r="AR168" s="710"/>
      <c r="AS168" s="710"/>
      <c r="AT168" s="710"/>
      <c r="AU168" s="710"/>
      <c r="AV168" s="710"/>
      <c r="AW168" s="710"/>
      <c r="AX168" s="710"/>
      <c r="AY168" s="710"/>
      <c r="AZ168" s="710"/>
      <c r="BA168" s="710"/>
      <c r="BB168" s="714" t="s">
        <v>577</v>
      </c>
      <c r="BC168" s="710" t="s">
        <v>127</v>
      </c>
      <c r="BD168" s="710" t="b">
        <v>1</v>
      </c>
      <c r="BE168" s="710">
        <f>G254</f>
        <v>0</v>
      </c>
      <c r="BF168" s="710" t="str">
        <f>""&amp;G254</f>
        <v/>
      </c>
      <c r="BG168" s="710" t="b">
        <v>1</v>
      </c>
      <c r="BH168" s="710" t="b">
        <v>0</v>
      </c>
      <c r="BI168" s="710"/>
      <c r="BJ168" s="710"/>
      <c r="BK168" s="710" t="str">
        <f ca="1">_xlfn.FORMULATEXT(BE168)</f>
        <v>=G254</v>
      </c>
      <c r="BL168" s="710" t="str">
        <f ca="1">_xlfn.FORMULATEXT(BE168)</f>
        <v>=G254</v>
      </c>
      <c r="BM168" s="710"/>
      <c r="BN168" s="710"/>
      <c r="BO168" s="710"/>
      <c r="BP168" s="710"/>
      <c r="BQ168" s="710"/>
      <c r="BR168" s="710"/>
      <c r="BS168" s="710"/>
      <c r="BT168" s="710"/>
      <c r="BU168" s="710"/>
      <c r="BV168" s="710"/>
      <c r="BW168" s="710"/>
      <c r="BX168" s="710"/>
      <c r="BY168" s="710"/>
      <c r="BZ168" s="710"/>
      <c r="CA168" s="710"/>
      <c r="CB168" s="710"/>
      <c r="CC168" s="710"/>
    </row>
    <row r="169" spans="1:81" s="710" customFormat="1" ht="43.25" customHeight="1" hidden="1">
      <c r="A169" s="710" t="s">
        <v>673</v>
      </c>
      <c r="B169" s="728" t="s">
        <v>578</v>
      </c>
      <c r="C169" s="728"/>
      <c r="D169" s="728"/>
      <c r="E169" s="728"/>
      <c r="F169" s="736"/>
      <c r="G169" s="609"/>
      <c r="H169" s="608"/>
      <c r="I169" s="608"/>
      <c r="J169" s="610"/>
      <c r="K169" s="736"/>
      <c r="L169" s="736"/>
      <c r="M169" s="710"/>
      <c r="N169" s="710"/>
      <c r="O169" s="710"/>
      <c r="P169" s="710"/>
      <c r="Q169" s="710"/>
      <c r="R169" s="710"/>
      <c r="S169" s="710"/>
      <c r="T169" s="710"/>
      <c r="U169" s="710"/>
      <c r="V169" s="710"/>
      <c r="W169" s="22"/>
      <c r="X169" s="22"/>
      <c r="Y169" s="22"/>
      <c r="Z169" s="710"/>
      <c r="AA169" s="22"/>
      <c r="AB169" s="22"/>
      <c r="AC169" s="22"/>
      <c r="AD169" s="22">
        <f>ROW()</f>
        <v>169</v>
      </c>
      <c r="AE169" s="22"/>
      <c r="AF169" s="22"/>
      <c r="AG169" s="22"/>
      <c r="AH169" s="22"/>
      <c r="AI169" s="22"/>
      <c r="AJ169" s="22"/>
      <c r="AK169" s="22"/>
      <c r="AL169" s="22"/>
      <c r="AM169" s="22"/>
      <c r="AN169" s="22"/>
      <c r="AO169" s="22"/>
      <c r="AP169" s="22"/>
      <c r="AQ169" s="710"/>
      <c r="AR169" s="710"/>
      <c r="AS169" s="710"/>
      <c r="AT169" s="710"/>
      <c r="AU169" s="710"/>
      <c r="AV169" s="710"/>
      <c r="AW169" s="710"/>
      <c r="AX169" s="710"/>
      <c r="AY169" s="710"/>
      <c r="AZ169" s="710"/>
      <c r="BA169" s="710"/>
      <c r="BB169" s="714" t="s">
        <v>579</v>
      </c>
      <c r="BC169" s="710" t="s">
        <v>127</v>
      </c>
      <c r="BD169" s="710" t="b">
        <v>1</v>
      </c>
      <c r="BE169" s="710" t="str">
        <f>J254</f>
        <v>0</v>
      </c>
      <c r="BF169" s="710" t="str">
        <f>""&amp;J254</f>
        <v>0</v>
      </c>
      <c r="BG169" s="710" t="b">
        <v>1</v>
      </c>
      <c r="BH169" s="710" t="b">
        <v>0</v>
      </c>
      <c r="BI169" s="710" t="str">
        <f>BE169</f>
        <v>0</v>
      </c>
      <c r="BJ169" s="710"/>
      <c r="BK169" s="710" t="str">
        <f ca="1">_xlfn.FORMULATEXT(BE169)</f>
        <v>=J254</v>
      </c>
      <c r="BL169" s="710" t="str">
        <f ca="1">_xlfn.FORMULATEXT(BE169)</f>
        <v>=J254</v>
      </c>
      <c r="BM169" s="710"/>
      <c r="BN169" s="710"/>
      <c r="BO169" s="710"/>
      <c r="BP169" s="710"/>
      <c r="BQ169" s="710"/>
      <c r="BR169" s="710"/>
      <c r="BS169" s="710"/>
      <c r="BT169" s="710"/>
      <c r="BU169" s="710"/>
      <c r="BV169" s="710"/>
      <c r="BW169" s="710"/>
      <c r="BX169" s="710"/>
      <c r="BY169" s="710"/>
      <c r="BZ169" s="710"/>
      <c r="CA169" s="710"/>
      <c r="CB169" s="710"/>
      <c r="CC169" s="710"/>
    </row>
    <row r="170" spans="1:81" s="710" customFormat="1" ht="14.5" hidden="1">
      <c r="A170" s="710" t="s">
        <v>673</v>
      </c>
      <c r="B170" s="710"/>
      <c r="C170" s="710"/>
      <c r="D170" s="736"/>
      <c r="E170" s="736"/>
      <c r="F170" s="736"/>
      <c r="G170" s="737"/>
      <c r="H170" s="737"/>
      <c r="I170" s="737"/>
      <c r="J170" s="737"/>
      <c r="K170" s="736"/>
      <c r="L170" s="736"/>
      <c r="M170" s="710"/>
      <c r="N170" s="710"/>
      <c r="O170" s="710"/>
      <c r="P170" s="710"/>
      <c r="Q170" s="710"/>
      <c r="R170" s="710"/>
      <c r="S170" s="710"/>
      <c r="T170" s="710"/>
      <c r="U170" s="710"/>
      <c r="V170" s="710"/>
      <c r="W170" s="22"/>
      <c r="X170" s="22"/>
      <c r="Y170" s="22"/>
      <c r="Z170" s="710"/>
      <c r="AA170" s="22"/>
      <c r="AB170" s="22"/>
      <c r="AC170" s="22"/>
      <c r="AD170" s="22">
        <f>ROW()</f>
        <v>170</v>
      </c>
      <c r="AE170" s="22"/>
      <c r="AF170" s="22"/>
      <c r="AG170" s="22"/>
      <c r="AH170" s="22"/>
      <c r="AI170" s="22"/>
      <c r="AJ170" s="22"/>
      <c r="AK170" s="22"/>
      <c r="AL170" s="22"/>
      <c r="AM170" s="22"/>
      <c r="AN170" s="22"/>
      <c r="AO170" s="22"/>
      <c r="AP170" s="22"/>
      <c r="AQ170" s="710"/>
      <c r="AR170" s="710"/>
      <c r="AS170" s="710"/>
      <c r="AT170" s="710"/>
      <c r="AU170" s="710"/>
      <c r="AV170" s="710"/>
      <c r="AW170" s="710"/>
      <c r="AX170" s="710"/>
      <c r="AY170" s="710"/>
      <c r="AZ170" s="710"/>
      <c r="BA170" s="710"/>
      <c r="BB170" s="714" t="s">
        <v>580</v>
      </c>
      <c r="BC170" s="710" t="s">
        <v>127</v>
      </c>
      <c r="BD170" s="710" t="b">
        <v>0</v>
      </c>
      <c r="BE170" s="710">
        <f>M254</f>
        <v>0</v>
      </c>
      <c r="BF170" s="710" t="str">
        <f>""&amp;M254</f>
        <v/>
      </c>
      <c r="BG170" s="710" t="b">
        <v>1</v>
      </c>
      <c r="BH170" s="710" t="b">
        <v>0</v>
      </c>
      <c r="BI170" s="710" t="str">
        <f>BE169</f>
        <v>0</v>
      </c>
      <c r="BJ170" s="710"/>
      <c r="BK170" s="710" t="str">
        <f ca="1">_xlfn.FORMULATEXT(BE170)</f>
        <v>=M254</v>
      </c>
      <c r="BL170" s="710" t="str">
        <f ca="1">_xlfn.FORMULATEXT(BE170)</f>
        <v>=M254</v>
      </c>
      <c r="BM170" s="710"/>
      <c r="BN170" s="710"/>
      <c r="BO170" s="710"/>
      <c r="BP170" s="710"/>
      <c r="BQ170" s="710"/>
      <c r="BR170" s="710"/>
      <c r="BS170" s="710"/>
      <c r="BT170" s="710"/>
      <c r="BU170" s="710"/>
      <c r="BV170" s="710"/>
      <c r="BW170" s="710"/>
      <c r="BX170" s="710"/>
      <c r="BY170" s="710"/>
      <c r="BZ170" s="710"/>
      <c r="CA170" s="710"/>
      <c r="CB170" s="710"/>
      <c r="CC170" s="710"/>
    </row>
    <row r="171" spans="1:81" s="710" customFormat="1" ht="14.5" hidden="1">
      <c r="A171" s="710" t="s">
        <v>673</v>
      </c>
      <c r="B171" s="711" t="s">
        <v>581</v>
      </c>
      <c r="C171" s="711"/>
      <c r="D171" s="711"/>
      <c r="E171" s="711"/>
      <c r="F171" s="710"/>
      <c r="G171" s="598"/>
      <c r="H171" s="597"/>
      <c r="I171" s="597"/>
      <c r="J171" s="599"/>
      <c r="K171" s="710"/>
      <c r="L171" s="710"/>
      <c r="M171" s="710"/>
      <c r="N171" s="710"/>
      <c r="O171" s="710"/>
      <c r="P171" s="710"/>
      <c r="Q171" s="710"/>
      <c r="R171" s="710"/>
      <c r="S171" s="710"/>
      <c r="T171" s="710"/>
      <c r="U171" s="710"/>
      <c r="V171" s="710"/>
      <c r="W171" s="22"/>
      <c r="X171" s="22"/>
      <c r="Y171" s="22"/>
      <c r="Z171" s="710"/>
      <c r="AA171" s="710"/>
      <c r="AB171" s="710"/>
      <c r="AC171" s="710"/>
      <c r="AD171" s="22">
        <f>ROW()</f>
        <v>171</v>
      </c>
      <c r="AE171" s="22"/>
      <c r="AF171" s="22"/>
      <c r="AG171" s="22"/>
      <c r="AH171" s="22"/>
      <c r="AI171" s="22"/>
      <c r="AJ171" s="22"/>
      <c r="AK171" s="22"/>
      <c r="AL171" s="22"/>
      <c r="AM171" s="22"/>
      <c r="AN171" s="22"/>
      <c r="AO171" s="22"/>
      <c r="AP171" s="22"/>
      <c r="AQ171" s="710"/>
      <c r="AR171" s="710"/>
      <c r="AS171" s="710"/>
      <c r="AT171" s="710"/>
      <c r="AU171" s="710"/>
      <c r="AV171" s="710"/>
      <c r="AW171" s="710"/>
      <c r="AX171" s="710"/>
      <c r="AY171" s="710"/>
      <c r="AZ171" s="710"/>
      <c r="BA171" s="710"/>
      <c r="BB171" s="714" t="s">
        <v>582</v>
      </c>
      <c r="BC171" s="710" t="s">
        <v>127</v>
      </c>
      <c r="BD171" s="710" t="b">
        <v>1</v>
      </c>
      <c r="BE171" s="710">
        <f>G255</f>
        <v>0</v>
      </c>
      <c r="BF171" s="710" t="str">
        <f>""&amp;G255</f>
        <v/>
      </c>
      <c r="BG171" s="710" t="b">
        <v>1</v>
      </c>
      <c r="BH171" s="710" t="b">
        <v>0</v>
      </c>
      <c r="BI171" s="710"/>
      <c r="BJ171" s="710"/>
      <c r="BK171" s="710" t="str">
        <f ca="1">_xlfn.FORMULATEXT(BE171)</f>
        <v>=G255</v>
      </c>
      <c r="BL171" s="710" t="str">
        <f ca="1">_xlfn.FORMULATEXT(BE171)</f>
        <v>=G255</v>
      </c>
      <c r="BM171" s="710"/>
      <c r="BN171" s="710"/>
      <c r="BO171" s="710"/>
      <c r="BP171" s="710"/>
      <c r="BQ171" s="710"/>
      <c r="BR171" s="710"/>
      <c r="BS171" s="710"/>
      <c r="BT171" s="710"/>
      <c r="BU171" s="710"/>
      <c r="BV171" s="710"/>
      <c r="BW171" s="710"/>
      <c r="BX171" s="710"/>
      <c r="BY171" s="710"/>
      <c r="BZ171" s="710"/>
      <c r="CA171" s="710"/>
      <c r="CB171" s="710"/>
      <c r="CC171" s="710"/>
    </row>
    <row r="172" spans="1:81" s="710" customFormat="1" ht="14.5" hidden="1">
      <c r="A172" s="710" t="s">
        <v>673</v>
      </c>
      <c r="B172" s="710"/>
      <c r="C172" s="710"/>
      <c r="D172" s="710"/>
      <c r="E172" s="710"/>
      <c r="F172" s="710"/>
      <c r="G172" s="710"/>
      <c r="H172" s="710"/>
      <c r="I172" s="710"/>
      <c r="J172" s="738"/>
      <c r="K172" s="710"/>
      <c r="L172" s="710"/>
      <c r="M172" s="710"/>
      <c r="N172" s="710"/>
      <c r="O172" s="710"/>
      <c r="P172" s="710"/>
      <c r="Q172" s="710"/>
      <c r="R172" s="710"/>
      <c r="S172" s="710"/>
      <c r="T172" s="710"/>
      <c r="U172" s="710"/>
      <c r="V172" s="710"/>
      <c r="W172" s="22"/>
      <c r="X172" s="22"/>
      <c r="Y172" s="22"/>
      <c r="Z172" s="710"/>
      <c r="AA172" s="22"/>
      <c r="AB172" s="22"/>
      <c r="AC172" s="22"/>
      <c r="AD172" s="22">
        <f>ROW()</f>
        <v>172</v>
      </c>
      <c r="AE172" s="22"/>
      <c r="AF172" s="22"/>
      <c r="AG172" s="22"/>
      <c r="AH172" s="22"/>
      <c r="AI172" s="22"/>
      <c r="AJ172" s="22"/>
      <c r="AK172" s="22"/>
      <c r="AL172" s="22"/>
      <c r="AM172" s="22"/>
      <c r="AN172" s="22"/>
      <c r="AO172" s="22"/>
      <c r="AP172" s="22"/>
      <c r="AQ172" s="710"/>
      <c r="AR172" s="710"/>
      <c r="AS172" s="710"/>
      <c r="AT172" s="710"/>
      <c r="AU172" s="710"/>
      <c r="AV172" s="710"/>
      <c r="AW172" s="710"/>
      <c r="AX172" s="710"/>
      <c r="AY172" s="710"/>
      <c r="AZ172" s="710"/>
      <c r="BA172" s="710"/>
      <c r="BB172" s="714" t="s">
        <v>583</v>
      </c>
      <c r="BC172" s="710" t="s">
        <v>127</v>
      </c>
      <c r="BD172" s="710" t="b">
        <v>1</v>
      </c>
      <c r="BE172" s="710" t="str">
        <f>J255</f>
        <v>0</v>
      </c>
      <c r="BF172" s="710" t="str">
        <f>""&amp;J255</f>
        <v>0</v>
      </c>
      <c r="BG172" s="710" t="b">
        <v>1</v>
      </c>
      <c r="BH172" s="710" t="b">
        <v>0</v>
      </c>
      <c r="BI172" s="710" t="str">
        <f>BE172</f>
        <v>0</v>
      </c>
      <c r="BJ172" s="710"/>
      <c r="BK172" s="710" t="str">
        <f ca="1">_xlfn.FORMULATEXT(BE172)</f>
        <v>=J255</v>
      </c>
      <c r="BL172" s="710" t="str">
        <f ca="1">_xlfn.FORMULATEXT(BE172)</f>
        <v>=J255</v>
      </c>
      <c r="BM172" s="710"/>
      <c r="BN172" s="710"/>
      <c r="BO172" s="710"/>
      <c r="BP172" s="710"/>
      <c r="BQ172" s="710"/>
      <c r="BR172" s="710"/>
      <c r="BS172" s="710"/>
      <c r="BT172" s="710"/>
      <c r="BU172" s="710"/>
      <c r="BV172" s="710"/>
      <c r="BW172" s="710"/>
      <c r="BX172" s="710"/>
      <c r="BY172" s="710"/>
      <c r="BZ172" s="710"/>
      <c r="CA172" s="710"/>
      <c r="CB172" s="710"/>
      <c r="CC172" s="710"/>
    </row>
    <row r="173" spans="1:81" s="710" customFormat="1" ht="14.5" hidden="1">
      <c r="A173" s="710" t="s">
        <v>673</v>
      </c>
      <c r="B173" s="711" t="s">
        <v>584</v>
      </c>
      <c r="C173" s="711"/>
      <c r="D173" s="711"/>
      <c r="E173" s="711"/>
      <c r="F173" s="710"/>
      <c r="G173" s="598"/>
      <c r="H173" s="597"/>
      <c r="I173" s="597"/>
      <c r="J173" s="599"/>
      <c r="K173" s="710"/>
      <c r="L173" s="710"/>
      <c r="M173" s="710"/>
      <c r="N173" s="710"/>
      <c r="O173" s="710"/>
      <c r="P173" s="710"/>
      <c r="Q173" s="710"/>
      <c r="R173" s="710"/>
      <c r="S173" s="710"/>
      <c r="T173" s="710"/>
      <c r="U173" s="710"/>
      <c r="V173" s="710"/>
      <c r="W173" s="22"/>
      <c r="X173" s="22"/>
      <c r="Y173" s="22"/>
      <c r="Z173" s="710"/>
      <c r="AA173" s="22"/>
      <c r="AB173" s="22"/>
      <c r="AC173" s="22"/>
      <c r="AD173" s="22">
        <f>ROW()</f>
        <v>173</v>
      </c>
      <c r="AE173" s="22"/>
      <c r="AF173" s="22"/>
      <c r="AG173" s="22"/>
      <c r="AH173" s="22"/>
      <c r="AI173" s="22"/>
      <c r="AJ173" s="22"/>
      <c r="AK173" s="22"/>
      <c r="AL173" s="22"/>
      <c r="AM173" s="22"/>
      <c r="AN173" s="22"/>
      <c r="AO173" s="22"/>
      <c r="AP173" s="22"/>
      <c r="AQ173" s="710"/>
      <c r="AR173" s="710"/>
      <c r="AS173" s="710"/>
      <c r="AT173" s="710"/>
      <c r="AU173" s="710"/>
      <c r="AV173" s="710"/>
      <c r="AW173" s="710"/>
      <c r="AX173" s="710"/>
      <c r="AY173" s="710"/>
      <c r="AZ173" s="710"/>
      <c r="BA173" s="710"/>
      <c r="BB173" s="714" t="s">
        <v>585</v>
      </c>
      <c r="BC173" s="710" t="s">
        <v>127</v>
      </c>
      <c r="BD173" s="710" t="b">
        <v>0</v>
      </c>
      <c r="BE173" s="710">
        <f>M255</f>
        <v>0</v>
      </c>
      <c r="BF173" s="710" t="str">
        <f>""&amp;M255</f>
        <v/>
      </c>
      <c r="BG173" s="710" t="b">
        <v>1</v>
      </c>
      <c r="BH173" s="710" t="b">
        <v>0</v>
      </c>
      <c r="BI173" s="710" t="str">
        <f>BE172</f>
        <v>0</v>
      </c>
      <c r="BJ173" s="710"/>
      <c r="BK173" s="710" t="str">
        <f ca="1">_xlfn.FORMULATEXT(BE173)</f>
        <v>=M255</v>
      </c>
      <c r="BL173" s="710" t="str">
        <f ca="1">_xlfn.FORMULATEXT(BE173)</f>
        <v>=M255</v>
      </c>
      <c r="BM173" s="710"/>
      <c r="BN173" s="710"/>
      <c r="BO173" s="710"/>
      <c r="BP173" s="710"/>
      <c r="BQ173" s="710"/>
      <c r="BR173" s="710"/>
      <c r="BS173" s="710"/>
      <c r="BT173" s="710"/>
      <c r="BU173" s="710"/>
      <c r="BV173" s="710"/>
      <c r="BW173" s="710"/>
      <c r="BX173" s="710"/>
      <c r="BY173" s="710"/>
      <c r="BZ173" s="710"/>
      <c r="CA173" s="710"/>
      <c r="CB173" s="710"/>
      <c r="CC173" s="710"/>
    </row>
    <row r="174" spans="1:81" s="710" customFormat="1" ht="14.5" hidden="1">
      <c r="A174" s="710" t="s">
        <v>673</v>
      </c>
      <c r="B174" s="710"/>
      <c r="C174" s="710"/>
      <c r="D174" s="712"/>
      <c r="E174" s="712"/>
      <c r="F174" s="712"/>
      <c r="G174" s="739"/>
      <c r="H174" s="739"/>
      <c r="I174" s="710"/>
      <c r="J174" s="710"/>
      <c r="K174" s="710"/>
      <c r="L174" s="710"/>
      <c r="M174" s="710"/>
      <c r="N174" s="710"/>
      <c r="O174" s="710"/>
      <c r="P174" s="710"/>
      <c r="Q174" s="710"/>
      <c r="R174" s="710"/>
      <c r="S174" s="710"/>
      <c r="T174" s="710"/>
      <c r="U174" s="710"/>
      <c r="V174" s="710"/>
      <c r="W174" s="22"/>
      <c r="X174" s="22"/>
      <c r="Y174" s="22"/>
      <c r="Z174" s="710"/>
      <c r="AA174" s="710"/>
      <c r="AB174" s="710"/>
      <c r="AC174" s="710"/>
      <c r="AD174" s="22">
        <f>ROW()</f>
        <v>174</v>
      </c>
      <c r="AE174" s="22"/>
      <c r="AF174" s="22"/>
      <c r="AG174" s="22"/>
      <c r="AH174" s="22"/>
      <c r="AI174" s="22"/>
      <c r="AJ174" s="22"/>
      <c r="AK174" s="22"/>
      <c r="AL174" s="22"/>
      <c r="AM174" s="22"/>
      <c r="AN174" s="22"/>
      <c r="AO174" s="22"/>
      <c r="AP174" s="22"/>
      <c r="AQ174" s="710"/>
      <c r="AR174" s="710"/>
      <c r="AS174" s="710"/>
      <c r="AT174" s="710"/>
      <c r="AU174" s="710"/>
      <c r="AV174" s="710"/>
      <c r="AW174" s="710"/>
      <c r="AX174" s="710"/>
      <c r="AY174" s="710"/>
      <c r="AZ174" s="710"/>
      <c r="BA174" s="710"/>
      <c r="BB174" s="714" t="s">
        <v>586</v>
      </c>
      <c r="BC174" s="710" t="s">
        <v>127</v>
      </c>
      <c r="BD174" s="710" t="b">
        <v>1</v>
      </c>
      <c r="BE174" s="710">
        <f>G256</f>
        <v>0</v>
      </c>
      <c r="BF174" s="710" t="str">
        <f>""&amp;G256</f>
        <v/>
      </c>
      <c r="BG174" s="710" t="b">
        <v>1</v>
      </c>
      <c r="BH174" s="710" t="b">
        <v>0</v>
      </c>
      <c r="BI174" s="710"/>
      <c r="BJ174" s="710"/>
      <c r="BK174" s="710" t="str">
        <f ca="1">_xlfn.FORMULATEXT(BE174)</f>
        <v>=G256</v>
      </c>
      <c r="BL174" s="710" t="str">
        <f ca="1">_xlfn.FORMULATEXT(BE174)</f>
        <v>=G256</v>
      </c>
      <c r="BM174" s="710"/>
      <c r="BN174" s="710"/>
      <c r="BO174" s="710"/>
      <c r="BP174" s="710"/>
      <c r="BQ174" s="710"/>
      <c r="BR174" s="710"/>
      <c r="BS174" s="710"/>
      <c r="BT174" s="710"/>
      <c r="BU174" s="710"/>
      <c r="BV174" s="710"/>
      <c r="BW174" s="710"/>
      <c r="BX174" s="710"/>
      <c r="BY174" s="710"/>
      <c r="BZ174" s="710"/>
      <c r="CA174" s="710"/>
      <c r="CB174" s="710"/>
      <c r="CC174" s="710"/>
    </row>
    <row r="175" spans="1:81" s="710" customFormat="1" ht="14.5" hidden="1">
      <c r="A175" s="710" t="s">
        <v>673</v>
      </c>
      <c r="B175" s="711" t="s">
        <v>587</v>
      </c>
      <c r="C175" s="711"/>
      <c r="D175" s="711"/>
      <c r="E175" s="711"/>
      <c r="F175" s="710"/>
      <c r="G175" s="598"/>
      <c r="H175" s="597"/>
      <c r="I175" s="597"/>
      <c r="J175" s="599"/>
      <c r="K175" s="710"/>
      <c r="L175" s="710"/>
      <c r="M175" s="710"/>
      <c r="N175" s="710"/>
      <c r="O175" s="710"/>
      <c r="P175" s="710"/>
      <c r="Q175" s="710"/>
      <c r="R175" s="710"/>
      <c r="S175" s="710"/>
      <c r="T175" s="710"/>
      <c r="U175" s="710"/>
      <c r="V175" s="710"/>
      <c r="W175" s="22"/>
      <c r="X175" s="22"/>
      <c r="Y175" s="22"/>
      <c r="Z175" s="710"/>
      <c r="AA175" s="22"/>
      <c r="AB175" s="22"/>
      <c r="AC175" s="22"/>
      <c r="AD175" s="22">
        <f>ROW()</f>
        <v>175</v>
      </c>
      <c r="AE175" s="22"/>
      <c r="AF175" s="22"/>
      <c r="AG175" s="22"/>
      <c r="AH175" s="22"/>
      <c r="AI175" s="22"/>
      <c r="AJ175" s="22"/>
      <c r="AK175" s="22"/>
      <c r="AL175" s="22"/>
      <c r="AM175" s="22"/>
      <c r="AN175" s="22"/>
      <c r="AO175" s="22"/>
      <c r="AP175" s="22"/>
      <c r="AQ175" s="710"/>
      <c r="AR175" s="710"/>
      <c r="AS175" s="710"/>
      <c r="AT175" s="710"/>
      <c r="AU175" s="710"/>
      <c r="AV175" s="710"/>
      <c r="AW175" s="710"/>
      <c r="AX175" s="710"/>
      <c r="AY175" s="710"/>
      <c r="AZ175" s="710"/>
      <c r="BA175" s="710"/>
      <c r="BB175" s="714" t="s">
        <v>588</v>
      </c>
      <c r="BC175" s="710" t="s">
        <v>127</v>
      </c>
      <c r="BD175" s="710" t="b">
        <v>1</v>
      </c>
      <c r="BE175" s="710" t="str">
        <f>J256</f>
        <v>0</v>
      </c>
      <c r="BF175" s="710" t="str">
        <f>""&amp;J256</f>
        <v>0</v>
      </c>
      <c r="BG175" s="710" t="b">
        <v>1</v>
      </c>
      <c r="BH175" s="710" t="b">
        <v>0</v>
      </c>
      <c r="BI175" s="710" t="str">
        <f>BE175</f>
        <v>0</v>
      </c>
      <c r="BJ175" s="710"/>
      <c r="BK175" s="710" t="str">
        <f ca="1">_xlfn.FORMULATEXT(BE175)</f>
        <v>=J256</v>
      </c>
      <c r="BL175" s="710" t="str">
        <f ca="1">_xlfn.FORMULATEXT(BE175)</f>
        <v>=J256</v>
      </c>
      <c r="BM175" s="710"/>
      <c r="BN175" s="710"/>
      <c r="BO175" s="710"/>
      <c r="BP175" s="710"/>
      <c r="BQ175" s="710"/>
      <c r="BR175" s="710"/>
      <c r="BS175" s="710"/>
      <c r="BT175" s="710"/>
      <c r="BU175" s="710"/>
      <c r="BV175" s="710"/>
      <c r="BW175" s="710"/>
      <c r="BX175" s="710"/>
      <c r="BY175" s="710"/>
      <c r="BZ175" s="710"/>
      <c r="CA175" s="710"/>
      <c r="CB175" s="710"/>
      <c r="CC175" s="710"/>
    </row>
    <row r="176" spans="1:81" s="710" customFormat="1" ht="14.5" hidden="1">
      <c r="A176" s="710" t="s">
        <v>673</v>
      </c>
      <c r="B176" s="710"/>
      <c r="C176" s="710"/>
      <c r="D176" s="710"/>
      <c r="E176" s="710"/>
      <c r="F176" s="710"/>
      <c r="G176" s="710"/>
      <c r="H176" s="710"/>
      <c r="I176" s="710"/>
      <c r="J176" s="710"/>
      <c r="K176" s="710"/>
      <c r="L176" s="710"/>
      <c r="M176" s="710"/>
      <c r="N176" s="710"/>
      <c r="O176" s="710"/>
      <c r="P176" s="710"/>
      <c r="Q176" s="710"/>
      <c r="R176" s="710"/>
      <c r="S176" s="710"/>
      <c r="T176" s="710"/>
      <c r="U176" s="710"/>
      <c r="V176" s="710"/>
      <c r="W176" s="22"/>
      <c r="X176" s="22"/>
      <c r="Y176" s="22"/>
      <c r="Z176" s="710"/>
      <c r="AA176" s="22"/>
      <c r="AB176" s="22"/>
      <c r="AC176" s="22"/>
      <c r="AD176" s="22">
        <f>ROW()</f>
        <v>176</v>
      </c>
      <c r="AE176" s="22"/>
      <c r="AF176" s="22"/>
      <c r="AG176" s="22"/>
      <c r="AH176" s="22"/>
      <c r="AI176" s="22"/>
      <c r="AJ176" s="22"/>
      <c r="AK176" s="22"/>
      <c r="AL176" s="22"/>
      <c r="AM176" s="22"/>
      <c r="AN176" s="22"/>
      <c r="AO176" s="22"/>
      <c r="AP176" s="22"/>
      <c r="AQ176" s="710"/>
      <c r="AR176" s="710"/>
      <c r="AS176" s="710"/>
      <c r="AT176" s="710"/>
      <c r="AU176" s="710"/>
      <c r="AV176" s="710"/>
      <c r="AW176" s="710"/>
      <c r="AX176" s="710"/>
      <c r="AY176" s="710"/>
      <c r="AZ176" s="710"/>
      <c r="BA176" s="710"/>
      <c r="BB176" s="714" t="s">
        <v>589</v>
      </c>
      <c r="BC176" s="710" t="s">
        <v>127</v>
      </c>
      <c r="BD176" s="710" t="b">
        <v>0</v>
      </c>
      <c r="BE176" s="710">
        <f>M256</f>
        <v>0</v>
      </c>
      <c r="BF176" s="710" t="str">
        <f>""&amp;M256</f>
        <v/>
      </c>
      <c r="BG176" s="710" t="b">
        <v>1</v>
      </c>
      <c r="BH176" s="710" t="b">
        <v>0</v>
      </c>
      <c r="BI176" s="710" t="str">
        <f>BE175</f>
        <v>0</v>
      </c>
      <c r="BJ176" s="710"/>
      <c r="BK176" s="710" t="str">
        <f ca="1">_xlfn.FORMULATEXT(BE176)</f>
        <v>=M256</v>
      </c>
      <c r="BL176" s="710" t="str">
        <f ca="1">_xlfn.FORMULATEXT(BE176)</f>
        <v>=M256</v>
      </c>
      <c r="BM176" s="710"/>
      <c r="BN176" s="710"/>
      <c r="BO176" s="710"/>
      <c r="BP176" s="710"/>
      <c r="BQ176" s="710"/>
      <c r="BR176" s="710"/>
      <c r="BS176" s="710"/>
      <c r="BT176" s="710"/>
      <c r="BU176" s="710"/>
      <c r="BV176" s="710"/>
      <c r="BW176" s="710"/>
      <c r="BX176" s="710"/>
      <c r="BY176" s="710"/>
      <c r="BZ176" s="710"/>
      <c r="CA176" s="710"/>
      <c r="CB176" s="710"/>
      <c r="CC176" s="710"/>
    </row>
    <row r="177" spans="1:81" s="710" customFormat="1" ht="14.5" hidden="1">
      <c r="A177" s="710" t="s">
        <v>673</v>
      </c>
      <c r="B177" s="711" t="s">
        <v>590</v>
      </c>
      <c r="C177" s="711"/>
      <c r="D177" s="711"/>
      <c r="E177" s="711"/>
      <c r="F177" s="710"/>
      <c r="G177" s="598"/>
      <c r="H177" s="597"/>
      <c r="I177" s="597"/>
      <c r="J177" s="599"/>
      <c r="K177" s="710"/>
      <c r="L177" s="710"/>
      <c r="M177" s="710"/>
      <c r="N177" s="710"/>
      <c r="O177" s="710"/>
      <c r="P177" s="710"/>
      <c r="Q177" s="710"/>
      <c r="R177" s="710"/>
      <c r="S177" s="710"/>
      <c r="T177" s="710"/>
      <c r="U177" s="710"/>
      <c r="V177" s="710"/>
      <c r="W177" s="22"/>
      <c r="X177" s="22"/>
      <c r="Y177" s="22"/>
      <c r="Z177" s="710"/>
      <c r="AA177" s="710"/>
      <c r="AB177" s="710"/>
      <c r="AC177" s="710"/>
      <c r="AD177" s="22">
        <f>ROW()</f>
        <v>177</v>
      </c>
      <c r="AE177" s="22"/>
      <c r="AF177" s="22"/>
      <c r="AG177" s="22"/>
      <c r="AH177" s="22"/>
      <c r="AI177" s="22"/>
      <c r="AJ177" s="22"/>
      <c r="AK177" s="22"/>
      <c r="AL177" s="22"/>
      <c r="AM177" s="22"/>
      <c r="AN177" s="22"/>
      <c r="AO177" s="22"/>
      <c r="AP177" s="22"/>
      <c r="AQ177" s="710"/>
      <c r="AR177" s="710"/>
      <c r="AS177" s="710"/>
      <c r="AT177" s="710"/>
      <c r="AU177" s="710"/>
      <c r="AV177" s="710"/>
      <c r="AW177" s="710"/>
      <c r="AX177" s="710"/>
      <c r="AY177" s="710"/>
      <c r="AZ177" s="710"/>
      <c r="BA177" s="710"/>
      <c r="BB177" s="714" t="s">
        <v>591</v>
      </c>
      <c r="BC177" s="710" t="s">
        <v>127</v>
      </c>
      <c r="BD177" s="710" t="b">
        <v>1</v>
      </c>
      <c r="BE177" s="710">
        <f>G257</f>
        <v>0</v>
      </c>
      <c r="BF177" s="710" t="str">
        <f>""&amp;G257</f>
        <v/>
      </c>
      <c r="BG177" s="710" t="b">
        <v>1</v>
      </c>
      <c r="BH177" s="710" t="b">
        <v>0</v>
      </c>
      <c r="BI177" s="710"/>
      <c r="BJ177" s="710"/>
      <c r="BK177" s="710" t="str">
        <f ca="1">_xlfn.FORMULATEXT(BE177)</f>
        <v>=G257</v>
      </c>
      <c r="BL177" s="710" t="str">
        <f ca="1">_xlfn.FORMULATEXT(BE177)</f>
        <v>=G257</v>
      </c>
      <c r="BM177" s="710"/>
      <c r="BN177" s="710"/>
      <c r="BO177" s="710"/>
      <c r="BP177" s="710"/>
      <c r="BQ177" s="710"/>
      <c r="BR177" s="710"/>
      <c r="BS177" s="710"/>
      <c r="BT177" s="710"/>
      <c r="BU177" s="710"/>
      <c r="BV177" s="710"/>
      <c r="BW177" s="710"/>
      <c r="BX177" s="710"/>
      <c r="BY177" s="710"/>
      <c r="BZ177" s="710"/>
      <c r="CA177" s="710"/>
      <c r="CB177" s="710"/>
      <c r="CC177" s="710"/>
    </row>
    <row r="178" spans="1:81" s="710" customFormat="1" ht="14.5" hidden="1">
      <c r="A178" s="710" t="s">
        <v>673</v>
      </c>
      <c r="B178" s="710"/>
      <c r="C178" s="710"/>
      <c r="D178" s="710"/>
      <c r="E178" s="710"/>
      <c r="F178" s="710"/>
      <c r="G178" s="710"/>
      <c r="H178" s="710"/>
      <c r="I178" s="710"/>
      <c r="J178" s="710"/>
      <c r="K178" s="710"/>
      <c r="L178" s="710"/>
      <c r="M178" s="710"/>
      <c r="N178" s="710"/>
      <c r="O178" s="710"/>
      <c r="P178" s="710"/>
      <c r="Q178" s="710"/>
      <c r="R178" s="710"/>
      <c r="S178" s="710"/>
      <c r="T178" s="710"/>
      <c r="U178" s="710"/>
      <c r="V178" s="710"/>
      <c r="W178" s="22"/>
      <c r="X178" s="22"/>
      <c r="Y178" s="22"/>
      <c r="Z178" s="710"/>
      <c r="AA178" s="22"/>
      <c r="AB178" s="22"/>
      <c r="AC178" s="22"/>
      <c r="AD178" s="22">
        <f>ROW()</f>
        <v>178</v>
      </c>
      <c r="AE178" s="22"/>
      <c r="AF178" s="22"/>
      <c r="AG178" s="22"/>
      <c r="AH178" s="22"/>
      <c r="AI178" s="22"/>
      <c r="AJ178" s="22"/>
      <c r="AK178" s="22"/>
      <c r="AL178" s="22"/>
      <c r="AM178" s="22"/>
      <c r="AN178" s="22"/>
      <c r="AO178" s="22"/>
      <c r="AP178" s="22"/>
      <c r="AQ178" s="710"/>
      <c r="AR178" s="710"/>
      <c r="AS178" s="710"/>
      <c r="AT178" s="710"/>
      <c r="AU178" s="710"/>
      <c r="AV178" s="710"/>
      <c r="AW178" s="710"/>
      <c r="AX178" s="710"/>
      <c r="AY178" s="710"/>
      <c r="AZ178" s="710"/>
      <c r="BA178" s="710"/>
      <c r="BB178" s="714" t="s">
        <v>592</v>
      </c>
      <c r="BC178" s="710" t="s">
        <v>127</v>
      </c>
      <c r="BD178" s="710" t="b">
        <v>1</v>
      </c>
      <c r="BE178" s="710" t="str">
        <f>J257</f>
        <v>0</v>
      </c>
      <c r="BF178" s="710" t="str">
        <f>""&amp;J257</f>
        <v>0</v>
      </c>
      <c r="BG178" s="710" t="b">
        <v>1</v>
      </c>
      <c r="BH178" s="710" t="b">
        <v>0</v>
      </c>
      <c r="BI178" s="710" t="str">
        <f>BE178</f>
        <v>0</v>
      </c>
      <c r="BJ178" s="710"/>
      <c r="BK178" s="710" t="str">
        <f ca="1">_xlfn.FORMULATEXT(BE178)</f>
        <v>=J257</v>
      </c>
      <c r="BL178" s="710" t="str">
        <f ca="1">_xlfn.FORMULATEXT(BE178)</f>
        <v>=J257</v>
      </c>
      <c r="BM178" s="710"/>
      <c r="BN178" s="710"/>
      <c r="BO178" s="710"/>
      <c r="BP178" s="710"/>
      <c r="BQ178" s="710"/>
      <c r="BR178" s="710"/>
      <c r="BS178" s="710"/>
      <c r="BT178" s="710"/>
      <c r="BU178" s="710"/>
      <c r="BV178" s="710"/>
      <c r="BW178" s="710"/>
      <c r="BX178" s="710"/>
      <c r="BY178" s="710"/>
      <c r="BZ178" s="710"/>
      <c r="CA178" s="710"/>
      <c r="CB178" s="710"/>
      <c r="CC178" s="710"/>
    </row>
    <row r="179" spans="1:81" s="710" customFormat="1" ht="14.5" hidden="1">
      <c r="A179" s="710" t="s">
        <v>673</v>
      </c>
      <c r="B179" s="711" t="s">
        <v>593</v>
      </c>
      <c r="C179" s="711"/>
      <c r="D179" s="711"/>
      <c r="E179" s="711"/>
      <c r="F179" s="710"/>
      <c r="G179" s="598"/>
      <c r="H179" s="597"/>
      <c r="I179" s="597"/>
      <c r="J179" s="599"/>
      <c r="K179" s="710"/>
      <c r="L179" s="710"/>
      <c r="M179" s="710"/>
      <c r="N179" s="710"/>
      <c r="O179" s="710"/>
      <c r="P179" s="710"/>
      <c r="Q179" s="710"/>
      <c r="R179" s="710"/>
      <c r="S179" s="710"/>
      <c r="T179" s="710"/>
      <c r="U179" s="710"/>
      <c r="V179" s="710"/>
      <c r="W179" s="22"/>
      <c r="X179" s="22"/>
      <c r="Y179" s="22"/>
      <c r="Z179" s="710"/>
      <c r="AA179" s="22"/>
      <c r="AB179" s="22"/>
      <c r="AC179" s="22"/>
      <c r="AD179" s="22">
        <f>ROW()</f>
        <v>179</v>
      </c>
      <c r="AE179" s="22"/>
      <c r="AF179" s="22"/>
      <c r="AG179" s="22"/>
      <c r="AH179" s="22"/>
      <c r="AI179" s="22"/>
      <c r="AJ179" s="22"/>
      <c r="AK179" s="22"/>
      <c r="AL179" s="22"/>
      <c r="AM179" s="22"/>
      <c r="AN179" s="22"/>
      <c r="AO179" s="22"/>
      <c r="AP179" s="22"/>
      <c r="AQ179" s="710"/>
      <c r="AR179" s="710"/>
      <c r="AS179" s="710"/>
      <c r="AT179" s="710"/>
      <c r="AU179" s="710"/>
      <c r="AV179" s="710"/>
      <c r="AW179" s="710"/>
      <c r="AX179" s="710"/>
      <c r="AY179" s="710"/>
      <c r="AZ179" s="710"/>
      <c r="BA179" s="710"/>
      <c r="BB179" s="714" t="s">
        <v>594</v>
      </c>
      <c r="BC179" s="710" t="s">
        <v>127</v>
      </c>
      <c r="BD179" s="710" t="b">
        <v>0</v>
      </c>
      <c r="BE179" s="710">
        <f>M257</f>
        <v>0</v>
      </c>
      <c r="BF179" s="710" t="str">
        <f>""&amp;M257</f>
        <v/>
      </c>
      <c r="BG179" s="710" t="b">
        <v>1</v>
      </c>
      <c r="BH179" s="710" t="b">
        <v>0</v>
      </c>
      <c r="BI179" s="710" t="str">
        <f>BE178</f>
        <v>0</v>
      </c>
      <c r="BJ179" s="710"/>
      <c r="BK179" s="710" t="str">
        <f ca="1">_xlfn.FORMULATEXT(BE179)</f>
        <v>=M257</v>
      </c>
      <c r="BL179" s="710" t="str">
        <f ca="1">_xlfn.FORMULATEXT(BE179)</f>
        <v>=M257</v>
      </c>
      <c r="BM179" s="710"/>
      <c r="BN179" s="710"/>
      <c r="BO179" s="710"/>
      <c r="BP179" s="710"/>
      <c r="BQ179" s="710"/>
      <c r="BR179" s="710"/>
      <c r="BS179" s="710"/>
      <c r="BT179" s="710"/>
      <c r="BU179" s="710"/>
      <c r="BV179" s="710"/>
      <c r="BW179" s="710"/>
      <c r="BX179" s="710"/>
      <c r="BY179" s="710"/>
      <c r="BZ179" s="710"/>
      <c r="CA179" s="710"/>
      <c r="CB179" s="710"/>
      <c r="CC179" s="710"/>
    </row>
    <row r="180" spans="1:81" s="710" customFormat="1" ht="14.5" hidden="1">
      <c r="A180" s="710" t="s">
        <v>673</v>
      </c>
      <c r="B180" s="740"/>
      <c r="C180" s="740"/>
      <c r="D180" s="740"/>
      <c r="E180" s="740"/>
      <c r="F180" s="710"/>
      <c r="G180" s="710"/>
      <c r="H180" s="710"/>
      <c r="I180" s="710"/>
      <c r="J180" s="710"/>
      <c r="K180" s="710"/>
      <c r="L180" s="710"/>
      <c r="M180" s="710"/>
      <c r="N180" s="710"/>
      <c r="O180" s="710"/>
      <c r="P180" s="710"/>
      <c r="Q180" s="710"/>
      <c r="R180" s="710"/>
      <c r="S180" s="710"/>
      <c r="T180" s="710"/>
      <c r="U180" s="710"/>
      <c r="V180" s="710"/>
      <c r="W180" s="22"/>
      <c r="X180" s="22"/>
      <c r="Y180" s="22"/>
      <c r="Z180" s="710"/>
      <c r="AA180" s="22"/>
      <c r="AB180" s="22"/>
      <c r="AC180" s="22"/>
      <c r="AD180" s="22">
        <f>ROW()</f>
        <v>180</v>
      </c>
      <c r="AE180" s="22"/>
      <c r="AF180" s="22"/>
      <c r="AG180" s="22"/>
      <c r="AH180" s="22"/>
      <c r="AI180" s="22"/>
      <c r="AJ180" s="22"/>
      <c r="AK180" s="22"/>
      <c r="AL180" s="22"/>
      <c r="AM180" s="22"/>
      <c r="AN180" s="22"/>
      <c r="AO180" s="22"/>
      <c r="AP180" s="22"/>
      <c r="AQ180" s="710"/>
      <c r="AR180" s="710"/>
      <c r="AS180" s="710"/>
      <c r="AT180" s="710"/>
      <c r="AU180" s="710"/>
      <c r="AV180" s="710"/>
      <c r="AW180" s="710"/>
      <c r="AX180" s="710"/>
      <c r="AY180" s="710"/>
      <c r="AZ180" s="710"/>
      <c r="BA180" s="710"/>
      <c r="BB180" s="714" t="s">
        <v>595</v>
      </c>
      <c r="BC180" s="710" t="s">
        <v>127</v>
      </c>
      <c r="BD180" s="710" t="b">
        <v>1</v>
      </c>
      <c r="BE180" s="710">
        <f>G258</f>
        <v>0</v>
      </c>
      <c r="BF180" s="710" t="str">
        <f>""&amp;G258</f>
        <v/>
      </c>
      <c r="BG180" s="710" t="b">
        <v>1</v>
      </c>
      <c r="BH180" s="710" t="b">
        <v>0</v>
      </c>
      <c r="BI180" s="710"/>
      <c r="BJ180" s="710"/>
      <c r="BK180" s="710" t="str">
        <f ca="1">_xlfn.FORMULATEXT(BE180)</f>
        <v>=G258</v>
      </c>
      <c r="BL180" s="710" t="str">
        <f ca="1">_xlfn.FORMULATEXT(BE180)</f>
        <v>=G258</v>
      </c>
      <c r="BM180" s="710"/>
      <c r="BN180" s="710"/>
      <c r="BO180" s="710"/>
      <c r="BP180" s="710"/>
      <c r="BQ180" s="710"/>
      <c r="BR180" s="710"/>
      <c r="BS180" s="710"/>
      <c r="BT180" s="710"/>
      <c r="BU180" s="710"/>
      <c r="BV180" s="710"/>
      <c r="BW180" s="710"/>
      <c r="BX180" s="710"/>
      <c r="BY180" s="710"/>
      <c r="BZ180" s="710"/>
      <c r="CA180" s="710"/>
      <c r="CB180" s="710"/>
      <c r="CC180" s="710"/>
    </row>
    <row r="181" spans="1:81" s="710" customFormat="1" ht="14.5" hidden="1">
      <c r="A181" s="710" t="s">
        <v>673</v>
      </c>
      <c r="B181" s="711" t="s">
        <v>596</v>
      </c>
      <c r="C181" s="711"/>
      <c r="D181" s="711"/>
      <c r="E181" s="711"/>
      <c r="F181" s="710"/>
      <c r="G181" s="598"/>
      <c r="H181" s="597"/>
      <c r="I181" s="597"/>
      <c r="J181" s="599"/>
      <c r="K181" s="710"/>
      <c r="L181" s="710"/>
      <c r="M181" s="710"/>
      <c r="N181" s="710"/>
      <c r="O181" s="710"/>
      <c r="P181" s="710"/>
      <c r="Q181" s="710"/>
      <c r="R181" s="710"/>
      <c r="S181" s="710"/>
      <c r="T181" s="710"/>
      <c r="U181" s="710"/>
      <c r="V181" s="710"/>
      <c r="W181" s="22"/>
      <c r="X181" s="22"/>
      <c r="Y181" s="22"/>
      <c r="Z181" s="710"/>
      <c r="AA181" s="22"/>
      <c r="AB181" s="22"/>
      <c r="AC181" s="22"/>
      <c r="AD181" s="22">
        <f>ROW()</f>
        <v>181</v>
      </c>
      <c r="AE181" s="22"/>
      <c r="AF181" s="22"/>
      <c r="AG181" s="22"/>
      <c r="AH181" s="22"/>
      <c r="AI181" s="22"/>
      <c r="AJ181" s="22"/>
      <c r="AK181" s="22"/>
      <c r="AL181" s="22"/>
      <c r="AM181" s="22"/>
      <c r="AN181" s="22"/>
      <c r="AO181" s="22"/>
      <c r="AP181" s="22"/>
      <c r="AQ181" s="710"/>
      <c r="AR181" s="710"/>
      <c r="AS181" s="710"/>
      <c r="AT181" s="710"/>
      <c r="AU181" s="710"/>
      <c r="AV181" s="710"/>
      <c r="AW181" s="710"/>
      <c r="AX181" s="710"/>
      <c r="AY181" s="710"/>
      <c r="AZ181" s="710"/>
      <c r="BA181" s="710"/>
      <c r="BB181" s="714" t="s">
        <v>597</v>
      </c>
      <c r="BC181" s="710" t="s">
        <v>127</v>
      </c>
      <c r="BD181" s="710" t="b">
        <v>1</v>
      </c>
      <c r="BE181" s="710" t="str">
        <f>J258</f>
        <v>815620</v>
      </c>
      <c r="BF181" s="710" t="str">
        <f>""&amp;J258</f>
        <v>815620</v>
      </c>
      <c r="BG181" s="710" t="b">
        <v>1</v>
      </c>
      <c r="BH181" s="710" t="b">
        <v>0</v>
      </c>
      <c r="BI181" s="710" t="str">
        <f>BE181</f>
        <v>815620</v>
      </c>
      <c r="BJ181" s="710"/>
      <c r="BK181" s="710" t="str">
        <f ca="1">_xlfn.FORMULATEXT(BE181)</f>
        <v>=J258</v>
      </c>
      <c r="BL181" s="710" t="str">
        <f ca="1">_xlfn.FORMULATEXT(BE181)</f>
        <v>=J258</v>
      </c>
      <c r="BM181" s="710"/>
      <c r="BN181" s="710"/>
      <c r="BO181" s="710"/>
      <c r="BP181" s="710"/>
      <c r="BQ181" s="710"/>
      <c r="BR181" s="710"/>
      <c r="BS181" s="710"/>
      <c r="BT181" s="710"/>
      <c r="BU181" s="710"/>
      <c r="BV181" s="710"/>
      <c r="BW181" s="710"/>
      <c r="BX181" s="710"/>
      <c r="BY181" s="710"/>
      <c r="BZ181" s="710"/>
      <c r="CA181" s="710"/>
      <c r="CB181" s="710"/>
      <c r="CC181" s="710"/>
    </row>
    <row r="182" spans="1:81" s="710" customFormat="1" ht="14.5" hidden="1">
      <c r="A182" s="710" t="s">
        <v>673</v>
      </c>
      <c r="B182" s="710"/>
      <c r="C182" s="710"/>
      <c r="D182" s="710"/>
      <c r="E182" s="710"/>
      <c r="F182" s="710"/>
      <c r="G182" s="710"/>
      <c r="H182" s="710"/>
      <c r="I182" s="710"/>
      <c r="J182" s="710"/>
      <c r="K182" s="710"/>
      <c r="L182" s="710"/>
      <c r="M182" s="710"/>
      <c r="N182" s="710"/>
      <c r="O182" s="710"/>
      <c r="P182" s="710"/>
      <c r="Q182" s="710"/>
      <c r="R182" s="710"/>
      <c r="S182" s="710"/>
      <c r="T182" s="710"/>
      <c r="U182" s="710"/>
      <c r="V182" s="710"/>
      <c r="W182" s="22"/>
      <c r="X182" s="22"/>
      <c r="Y182" s="22"/>
      <c r="Z182" s="710"/>
      <c r="AA182" s="22"/>
      <c r="AB182" s="22"/>
      <c r="AC182" s="22"/>
      <c r="AD182" s="22">
        <f>ROW()</f>
        <v>182</v>
      </c>
      <c r="AE182" s="22"/>
      <c r="AF182" s="22"/>
      <c r="AG182" s="22"/>
      <c r="AH182" s="22"/>
      <c r="AI182" s="22"/>
      <c r="AJ182" s="22"/>
      <c r="AK182" s="22"/>
      <c r="AL182" s="22"/>
      <c r="AM182" s="22"/>
      <c r="AN182" s="22"/>
      <c r="AO182" s="22"/>
      <c r="AP182" s="22"/>
      <c r="AQ182" s="710"/>
      <c r="AR182" s="710"/>
      <c r="AS182" s="710"/>
      <c r="AT182" s="710"/>
      <c r="AU182" s="710"/>
      <c r="AV182" s="710"/>
      <c r="AW182" s="710"/>
      <c r="AX182" s="710"/>
      <c r="AY182" s="710"/>
      <c r="AZ182" s="710"/>
      <c r="BA182" s="710"/>
      <c r="BB182" s="714" t="s">
        <v>598</v>
      </c>
      <c r="BC182" s="710" t="s">
        <v>127</v>
      </c>
      <c r="BD182" s="710" t="b">
        <v>0</v>
      </c>
      <c r="BE182" s="710">
        <f>M258</f>
        <v>0</v>
      </c>
      <c r="BF182" s="710" t="str">
        <f>""&amp;M258</f>
        <v/>
      </c>
      <c r="BG182" s="710" t="b">
        <v>1</v>
      </c>
      <c r="BH182" s="710" t="b">
        <v>0</v>
      </c>
      <c r="BI182" s="710" t="str">
        <f>BE181</f>
        <v>815620</v>
      </c>
      <c r="BJ182" s="710"/>
      <c r="BK182" s="710" t="str">
        <f ca="1">_xlfn.FORMULATEXT(BE182)</f>
        <v>=M258</v>
      </c>
      <c r="BL182" s="710" t="str">
        <f ca="1">_xlfn.FORMULATEXT(BE182)</f>
        <v>=M258</v>
      </c>
      <c r="BM182" s="710"/>
      <c r="BN182" s="710"/>
      <c r="BO182" s="710"/>
      <c r="BP182" s="710"/>
      <c r="BQ182" s="710"/>
      <c r="BR182" s="710"/>
      <c r="BS182" s="710"/>
      <c r="BT182" s="710"/>
      <c r="BU182" s="710"/>
      <c r="BV182" s="710"/>
      <c r="BW182" s="710"/>
      <c r="BX182" s="710"/>
      <c r="BY182" s="710"/>
      <c r="BZ182" s="710"/>
      <c r="CA182" s="710"/>
      <c r="CB182" s="710"/>
      <c r="CC182" s="710"/>
    </row>
    <row r="183" spans="1:81" s="710" customFormat="1" ht="14.5" hidden="1">
      <c r="A183" s="710" t="s">
        <v>673</v>
      </c>
      <c r="B183" s="741" t="s">
        <v>599</v>
      </c>
      <c r="C183" s="742"/>
      <c r="D183" s="742"/>
      <c r="E183" s="742"/>
      <c r="F183" s="742"/>
      <c r="G183" s="742"/>
      <c r="H183" s="710"/>
      <c r="I183" s="710"/>
      <c r="J183" s="710"/>
      <c r="K183" s="710"/>
      <c r="L183" s="710"/>
      <c r="M183" s="710"/>
      <c r="N183" s="710"/>
      <c r="O183" s="710"/>
      <c r="P183" s="710"/>
      <c r="Q183" s="710"/>
      <c r="R183" s="710"/>
      <c r="S183" s="710"/>
      <c r="T183" s="710"/>
      <c r="U183" s="710"/>
      <c r="V183" s="710"/>
      <c r="W183" s="22"/>
      <c r="X183" s="22"/>
      <c r="Y183" s="22"/>
      <c r="Z183" s="710"/>
      <c r="AA183" s="22"/>
      <c r="AB183" s="22"/>
      <c r="AC183" s="22"/>
      <c r="AD183" s="22">
        <f>ROW()</f>
        <v>183</v>
      </c>
      <c r="AE183" s="22"/>
      <c r="AF183" s="22"/>
      <c r="AG183" s="22"/>
      <c r="AH183" s="22"/>
      <c r="AI183" s="22"/>
      <c r="AJ183" s="22"/>
      <c r="AK183" s="22"/>
      <c r="AL183" s="22"/>
      <c r="AM183" s="22"/>
      <c r="AN183" s="22"/>
      <c r="AO183" s="22"/>
      <c r="AP183" s="22"/>
      <c r="AQ183" s="710"/>
      <c r="AR183" s="710"/>
      <c r="AS183" s="710"/>
      <c r="AT183" s="710"/>
      <c r="AU183" s="710"/>
      <c r="AV183" s="710"/>
      <c r="AW183" s="710"/>
      <c r="AX183" s="710"/>
      <c r="AY183" s="710"/>
      <c r="AZ183" s="710"/>
      <c r="BA183" s="710"/>
      <c r="BB183" s="714" t="s">
        <v>600</v>
      </c>
      <c r="BC183" s="710" t="s">
        <v>127</v>
      </c>
      <c r="BD183" s="710" t="b">
        <v>1</v>
      </c>
      <c r="BE183" s="710">
        <f>G260</f>
        <v>0</v>
      </c>
      <c r="BF183" s="710" t="str">
        <f>""&amp;G260</f>
        <v/>
      </c>
      <c r="BG183" s="710" t="b">
        <v>1</v>
      </c>
      <c r="BH183" s="710" t="b">
        <v>0</v>
      </c>
      <c r="BI183" s="710"/>
      <c r="BJ183" s="710"/>
      <c r="BK183" s="710" t="str">
        <f ca="1">_xlfn.FORMULATEXT(BE183)</f>
        <v>=G260</v>
      </c>
      <c r="BL183" s="710" t="str">
        <f ca="1">_xlfn.FORMULATEXT(BE183)</f>
        <v>=G260</v>
      </c>
      <c r="BM183" s="710"/>
      <c r="BN183" s="710"/>
      <c r="BO183" s="710"/>
      <c r="BP183" s="710"/>
      <c r="BQ183" s="710"/>
      <c r="BR183" s="710"/>
      <c r="BS183" s="710"/>
      <c r="BT183" s="710"/>
      <c r="BU183" s="710"/>
      <c r="BV183" s="710"/>
      <c r="BW183" s="710"/>
      <c r="BX183" s="710"/>
      <c r="BY183" s="710"/>
      <c r="BZ183" s="710"/>
      <c r="CA183" s="710"/>
      <c r="CB183" s="710"/>
      <c r="CC183" s="710"/>
    </row>
    <row r="184" spans="1:81" s="710" customFormat="1" ht="14.5" hidden="1">
      <c r="A184" s="710" t="s">
        <v>673</v>
      </c>
      <c r="B184" s="710"/>
      <c r="C184" s="710"/>
      <c r="D184" s="710"/>
      <c r="E184" s="710"/>
      <c r="F184" s="710"/>
      <c r="G184" s="710"/>
      <c r="H184" s="710"/>
      <c r="I184" s="710"/>
      <c r="J184" s="710"/>
      <c r="K184" s="710"/>
      <c r="L184" s="710"/>
      <c r="M184" s="710"/>
      <c r="N184" s="710"/>
      <c r="O184" s="710"/>
      <c r="P184" s="710"/>
      <c r="Q184" s="710"/>
      <c r="R184" s="710"/>
      <c r="S184" s="710"/>
      <c r="T184" s="710"/>
      <c r="U184" s="710"/>
      <c r="V184" s="710"/>
      <c r="W184" s="22"/>
      <c r="X184" s="22"/>
      <c r="Y184" s="22"/>
      <c r="Z184" s="710"/>
      <c r="AA184" s="22"/>
      <c r="AB184" s="22"/>
      <c r="AC184" s="22"/>
      <c r="AD184" s="22">
        <f>ROW()</f>
        <v>184</v>
      </c>
      <c r="AE184" s="22"/>
      <c r="AF184" s="22"/>
      <c r="AG184" s="22"/>
      <c r="AH184" s="22"/>
      <c r="AI184" s="22"/>
      <c r="AJ184" s="22"/>
      <c r="AK184" s="22"/>
      <c r="AL184" s="22"/>
      <c r="AM184" s="22"/>
      <c r="AN184" s="22"/>
      <c r="AO184" s="22"/>
      <c r="AP184" s="22"/>
      <c r="AQ184" s="710"/>
      <c r="AR184" s="710"/>
      <c r="AS184" s="710"/>
      <c r="AT184" s="710"/>
      <c r="AU184" s="710"/>
      <c r="AV184" s="710"/>
      <c r="AW184" s="710"/>
      <c r="AX184" s="710"/>
      <c r="AY184" s="710"/>
      <c r="AZ184" s="710"/>
      <c r="BA184" s="710"/>
      <c r="BB184" s="714" t="s">
        <v>601</v>
      </c>
      <c r="BC184" s="710" t="s">
        <v>127</v>
      </c>
      <c r="BD184" s="710" t="b">
        <v>1</v>
      </c>
      <c r="BE184" s="710" t="str">
        <f>J260</f>
        <v>0</v>
      </c>
      <c r="BF184" s="710" t="str">
        <f>""&amp;J260</f>
        <v>0</v>
      </c>
      <c r="BG184" s="710" t="b">
        <v>1</v>
      </c>
      <c r="BH184" s="710" t="b">
        <v>0</v>
      </c>
      <c r="BI184" s="710" t="str">
        <f>BE184</f>
        <v>0</v>
      </c>
      <c r="BJ184" s="710"/>
      <c r="BK184" s="710" t="str">
        <f ca="1">_xlfn.FORMULATEXT(BE184)</f>
        <v>=J260</v>
      </c>
      <c r="BL184" s="710" t="str">
        <f ca="1">_xlfn.FORMULATEXT(BE184)</f>
        <v>=J260</v>
      </c>
      <c r="BM184" s="710"/>
      <c r="BN184" s="710"/>
      <c r="BO184" s="710"/>
      <c r="BP184" s="710"/>
      <c r="BQ184" s="710"/>
      <c r="BR184" s="710"/>
      <c r="BS184" s="710"/>
      <c r="BT184" s="710"/>
      <c r="BU184" s="710"/>
      <c r="BV184" s="710"/>
      <c r="BW184" s="710"/>
      <c r="BX184" s="710"/>
      <c r="BY184" s="710"/>
      <c r="BZ184" s="710"/>
      <c r="CA184" s="710"/>
      <c r="CB184" s="710"/>
      <c r="CC184" s="710"/>
    </row>
    <row r="185" spans="1:81" s="710" customFormat="1" ht="43.25" customHeight="1" hidden="1">
      <c r="A185" s="710" t="s">
        <v>673</v>
      </c>
      <c r="B185" s="741" t="s">
        <v>602</v>
      </c>
      <c r="C185" s="743"/>
      <c r="D185" s="743"/>
      <c r="E185" s="743"/>
      <c r="F185" s="743"/>
      <c r="G185" s="744"/>
      <c r="H185" s="745"/>
      <c r="I185" s="745"/>
      <c r="J185" s="746"/>
      <c r="K185" s="710"/>
      <c r="L185" s="710"/>
      <c r="M185" s="710"/>
      <c r="N185" s="710"/>
      <c r="O185" s="710"/>
      <c r="P185" s="710"/>
      <c r="Q185" s="710"/>
      <c r="R185" s="710"/>
      <c r="S185" s="710"/>
      <c r="T185" s="710"/>
      <c r="U185" s="710"/>
      <c r="V185" s="710"/>
      <c r="W185" s="22"/>
      <c r="X185" s="22"/>
      <c r="Y185" s="22"/>
      <c r="Z185" s="710"/>
      <c r="AA185" s="22"/>
      <c r="AB185" s="22"/>
      <c r="AC185" s="22"/>
      <c r="AD185" s="22">
        <f>ROW()</f>
        <v>185</v>
      </c>
      <c r="AE185" s="22"/>
      <c r="AF185" s="22"/>
      <c r="AG185" s="22"/>
      <c r="AH185" s="22"/>
      <c r="AI185" s="22"/>
      <c r="AJ185" s="22"/>
      <c r="AK185" s="22"/>
      <c r="AL185" s="22"/>
      <c r="AM185" s="22"/>
      <c r="AN185" s="22"/>
      <c r="AO185" s="22"/>
      <c r="AP185" s="22"/>
      <c r="AQ185" s="710"/>
      <c r="AR185" s="710"/>
      <c r="AS185" s="710"/>
      <c r="AT185" s="710"/>
      <c r="AU185" s="710"/>
      <c r="AV185" s="710"/>
      <c r="AW185" s="710"/>
      <c r="AX185" s="710"/>
      <c r="AY185" s="710"/>
      <c r="AZ185" s="710"/>
      <c r="BA185" s="710"/>
      <c r="BB185" s="714" t="s">
        <v>603</v>
      </c>
      <c r="BC185" s="710" t="s">
        <v>127</v>
      </c>
      <c r="BD185" s="710" t="b">
        <v>0</v>
      </c>
      <c r="BE185" s="710">
        <f>M260</f>
        <v>0</v>
      </c>
      <c r="BF185" s="710" t="str">
        <f>""&amp;M260</f>
        <v/>
      </c>
      <c r="BG185" s="710" t="b">
        <v>1</v>
      </c>
      <c r="BH185" s="710" t="b">
        <v>0</v>
      </c>
      <c r="BI185" s="710" t="str">
        <f>BE184</f>
        <v>0</v>
      </c>
      <c r="BJ185" s="710"/>
      <c r="BK185" s="710" t="str">
        <f ca="1">_xlfn.FORMULATEXT(BE185)</f>
        <v>=M260</v>
      </c>
      <c r="BL185" s="710" t="str">
        <f ca="1">_xlfn.FORMULATEXT(BE185)</f>
        <v>=M260</v>
      </c>
      <c r="BM185" s="710"/>
      <c r="BN185" s="710"/>
      <c r="BO185" s="710"/>
      <c r="BP185" s="710"/>
      <c r="BQ185" s="710"/>
      <c r="BR185" s="710"/>
      <c r="BS185" s="710"/>
      <c r="BT185" s="710"/>
      <c r="BU185" s="710"/>
      <c r="BV185" s="710"/>
      <c r="BW185" s="710"/>
      <c r="BX185" s="710"/>
      <c r="BY185" s="710"/>
      <c r="BZ185" s="710"/>
      <c r="CA185" s="710"/>
      <c r="CB185" s="710"/>
      <c r="CC185" s="710"/>
    </row>
    <row r="186" spans="1:81" s="710" customFormat="1" ht="14.5" hidden="1">
      <c r="A186" s="710" t="s">
        <v>673</v>
      </c>
      <c r="B186" s="747"/>
      <c r="C186" s="747"/>
      <c r="D186" s="747"/>
      <c r="E186" s="747"/>
      <c r="F186" s="747"/>
      <c r="G186" s="748"/>
      <c r="H186" s="710"/>
      <c r="I186" s="710"/>
      <c r="J186" s="710"/>
      <c r="K186" s="710"/>
      <c r="L186" s="710"/>
      <c r="M186" s="710"/>
      <c r="N186" s="710"/>
      <c r="O186" s="710"/>
      <c r="P186" s="710"/>
      <c r="Q186" s="710"/>
      <c r="R186" s="710"/>
      <c r="S186" s="710"/>
      <c r="T186" s="710"/>
      <c r="U186" s="710"/>
      <c r="V186" s="710"/>
      <c r="W186" s="22"/>
      <c r="X186" s="22"/>
      <c r="Y186" s="22"/>
      <c r="Z186" s="710"/>
      <c r="AA186" s="22"/>
      <c r="AB186" s="22"/>
      <c r="AC186" s="22"/>
      <c r="AD186" s="22">
        <f>ROW()</f>
        <v>186</v>
      </c>
      <c r="AE186" s="22"/>
      <c r="AF186" s="22"/>
      <c r="AG186" s="22"/>
      <c r="AH186" s="22"/>
      <c r="AI186" s="22"/>
      <c r="AJ186" s="22"/>
      <c r="AK186" s="22"/>
      <c r="AL186" s="22"/>
      <c r="AM186" s="22"/>
      <c r="AN186" s="22"/>
      <c r="AO186" s="22"/>
      <c r="AP186" s="22"/>
      <c r="AQ186" s="710"/>
      <c r="AR186" s="710"/>
      <c r="AS186" s="710"/>
      <c r="AT186" s="710"/>
      <c r="AU186" s="710"/>
      <c r="AV186" s="710"/>
      <c r="AW186" s="710"/>
      <c r="AX186" s="710"/>
      <c r="AY186" s="710"/>
      <c r="AZ186" s="710"/>
      <c r="BA186" s="710"/>
      <c r="BB186" s="714" t="s">
        <v>604</v>
      </c>
      <c r="BC186" s="710" t="s">
        <v>127</v>
      </c>
      <c r="BD186" s="710" t="b">
        <v>1</v>
      </c>
      <c r="BE186" s="710">
        <f>G262</f>
        <v>0</v>
      </c>
      <c r="BF186" s="710" t="str">
        <f>""&amp;G262</f>
        <v/>
      </c>
      <c r="BG186" s="710" t="b">
        <v>1</v>
      </c>
      <c r="BH186" s="710" t="b">
        <v>0</v>
      </c>
      <c r="BI186" s="710"/>
      <c r="BJ186" s="710"/>
      <c r="BK186" s="710" t="str">
        <f ca="1">_xlfn.FORMULATEXT(BE186)</f>
        <v>=G262</v>
      </c>
      <c r="BL186" s="710" t="str">
        <f ca="1">_xlfn.FORMULATEXT(BE186)</f>
        <v>=G262</v>
      </c>
      <c r="BM186" s="710"/>
      <c r="BN186" s="710"/>
      <c r="BO186" s="710"/>
      <c r="BP186" s="710"/>
      <c r="BQ186" s="710"/>
      <c r="BR186" s="710"/>
      <c r="BS186" s="710"/>
      <c r="BT186" s="710"/>
      <c r="BU186" s="710"/>
      <c r="BV186" s="710"/>
      <c r="BW186" s="710"/>
      <c r="BX186" s="710"/>
      <c r="BY186" s="710"/>
      <c r="BZ186" s="710"/>
      <c r="CA186" s="710"/>
      <c r="CB186" s="710"/>
      <c r="CC186" s="710"/>
    </row>
    <row r="187" spans="1:81" s="710" customFormat="1" ht="29.4" customHeight="1" hidden="1">
      <c r="A187" s="710" t="s">
        <v>673</v>
      </c>
      <c r="B187" s="741" t="s">
        <v>605</v>
      </c>
      <c r="C187" s="743"/>
      <c r="D187" s="743"/>
      <c r="E187" s="743"/>
      <c r="F187" s="743"/>
      <c r="G187" s="744"/>
      <c r="H187" s="745"/>
      <c r="I187" s="745"/>
      <c r="J187" s="746"/>
      <c r="K187" s="710"/>
      <c r="L187" s="710"/>
      <c r="M187" s="710"/>
      <c r="N187" s="710"/>
      <c r="O187" s="710"/>
      <c r="P187" s="710"/>
      <c r="Q187" s="710"/>
      <c r="R187" s="710"/>
      <c r="S187" s="710"/>
      <c r="T187" s="710"/>
      <c r="U187" s="710"/>
      <c r="V187" s="710"/>
      <c r="W187" s="22"/>
      <c r="X187" s="22"/>
      <c r="Y187" s="22"/>
      <c r="Z187" s="710"/>
      <c r="AA187" s="22"/>
      <c r="AB187" s="22"/>
      <c r="AC187" s="22"/>
      <c r="AD187" s="22">
        <f>ROW()</f>
        <v>187</v>
      </c>
      <c r="AE187" s="22"/>
      <c r="AF187" s="22"/>
      <c r="AG187" s="22"/>
      <c r="AH187" s="22"/>
      <c r="AI187" s="22"/>
      <c r="AJ187" s="22"/>
      <c r="AK187" s="22"/>
      <c r="AL187" s="22"/>
      <c r="AM187" s="22"/>
      <c r="AN187" s="22"/>
      <c r="AO187" s="22"/>
      <c r="AP187" s="22"/>
      <c r="AQ187" s="710"/>
      <c r="AR187" s="710"/>
      <c r="AS187" s="710"/>
      <c r="AT187" s="710"/>
      <c r="AU187" s="710"/>
      <c r="AV187" s="710"/>
      <c r="AW187" s="710"/>
      <c r="AX187" s="710"/>
      <c r="AY187" s="710"/>
      <c r="AZ187" s="710"/>
      <c r="BA187" s="710"/>
      <c r="BB187" s="714" t="s">
        <v>606</v>
      </c>
      <c r="BC187" s="710" t="s">
        <v>127</v>
      </c>
      <c r="BD187" s="710" t="b">
        <v>1</v>
      </c>
      <c r="BE187" s="710" t="str">
        <f>J262</f>
        <v>0</v>
      </c>
      <c r="BF187" s="710" t="str">
        <f>""&amp;J262</f>
        <v>0</v>
      </c>
      <c r="BG187" s="710" t="b">
        <v>1</v>
      </c>
      <c r="BH187" s="710" t="b">
        <v>0</v>
      </c>
      <c r="BI187" s="710" t="str">
        <f>BE187</f>
        <v>0</v>
      </c>
      <c r="BJ187" s="710"/>
      <c r="BK187" s="710" t="str">
        <f ca="1">_xlfn.FORMULATEXT(BE187)</f>
        <v>=J262</v>
      </c>
      <c r="BL187" s="710" t="str">
        <f ca="1">_xlfn.FORMULATEXT(BE187)</f>
        <v>=J262</v>
      </c>
      <c r="BM187" s="710"/>
      <c r="BN187" s="710"/>
      <c r="BO187" s="710"/>
      <c r="BP187" s="710"/>
      <c r="BQ187" s="710"/>
      <c r="BR187" s="710"/>
      <c r="BS187" s="710"/>
      <c r="BT187" s="710"/>
      <c r="BU187" s="710"/>
      <c r="BV187" s="710"/>
      <c r="BW187" s="710"/>
      <c r="BX187" s="710"/>
      <c r="BY187" s="710"/>
      <c r="BZ187" s="710"/>
      <c r="CA187" s="710"/>
      <c r="CB187" s="710"/>
      <c r="CC187" s="710"/>
    </row>
    <row r="188" spans="1:81" s="710" customFormat="1" ht="14.5" hidden="1">
      <c r="A188" s="710" t="s">
        <v>673</v>
      </c>
      <c r="B188" s="747"/>
      <c r="C188" s="747"/>
      <c r="D188" s="747"/>
      <c r="E188" s="747"/>
      <c r="F188" s="747"/>
      <c r="G188" s="748"/>
      <c r="H188" s="710"/>
      <c r="I188" s="710"/>
      <c r="J188" s="710"/>
      <c r="K188" s="710"/>
      <c r="L188" s="710"/>
      <c r="M188" s="710"/>
      <c r="N188" s="710"/>
      <c r="O188" s="710"/>
      <c r="P188" s="710"/>
      <c r="Q188" s="710"/>
      <c r="R188" s="710"/>
      <c r="S188" s="710"/>
      <c r="T188" s="710"/>
      <c r="U188" s="710"/>
      <c r="V188" s="710"/>
      <c r="W188" s="22"/>
      <c r="X188" s="22"/>
      <c r="Y188" s="22"/>
      <c r="Z188" s="710"/>
      <c r="AA188" s="710"/>
      <c r="AB188" s="710"/>
      <c r="AC188" s="710"/>
      <c r="AD188" s="22">
        <f>ROW()</f>
        <v>188</v>
      </c>
      <c r="AE188" s="22"/>
      <c r="AF188" s="22"/>
      <c r="AG188" s="22"/>
      <c r="AH188" s="22"/>
      <c r="AI188" s="22"/>
      <c r="AJ188" s="22"/>
      <c r="AK188" s="22"/>
      <c r="AL188" s="22"/>
      <c r="AM188" s="22"/>
      <c r="AN188" s="22"/>
      <c r="AO188" s="22"/>
      <c r="AP188" s="22"/>
      <c r="AQ188" s="710"/>
      <c r="AR188" s="710"/>
      <c r="AS188" s="710"/>
      <c r="AT188" s="710"/>
      <c r="AU188" s="710"/>
      <c r="AV188" s="710"/>
      <c r="AW188" s="710"/>
      <c r="AX188" s="710"/>
      <c r="AY188" s="710"/>
      <c r="AZ188" s="710"/>
      <c r="BA188" s="710"/>
      <c r="BB188" s="714" t="s">
        <v>607</v>
      </c>
      <c r="BC188" s="710" t="s">
        <v>127</v>
      </c>
      <c r="BD188" s="710" t="b">
        <v>0</v>
      </c>
      <c r="BE188" s="710">
        <f>M262</f>
        <v>0</v>
      </c>
      <c r="BF188" s="710" t="str">
        <f>""&amp;M262</f>
        <v/>
      </c>
      <c r="BG188" s="710" t="b">
        <v>1</v>
      </c>
      <c r="BH188" s="710" t="b">
        <v>0</v>
      </c>
      <c r="BI188" s="710" t="str">
        <f>BE187</f>
        <v>0</v>
      </c>
      <c r="BJ188" s="710"/>
      <c r="BK188" s="710" t="str">
        <f ca="1">_xlfn.FORMULATEXT(BE188)</f>
        <v>=M262</v>
      </c>
      <c r="BL188" s="710" t="str">
        <f ca="1">_xlfn.FORMULATEXT(BE188)</f>
        <v>=M262</v>
      </c>
      <c r="BM188" s="710"/>
      <c r="BN188" s="710"/>
      <c r="BO188" s="710"/>
      <c r="BP188" s="710"/>
      <c r="BQ188" s="710"/>
      <c r="BR188" s="710"/>
      <c r="BS188" s="710"/>
      <c r="BT188" s="710"/>
      <c r="BU188" s="710"/>
      <c r="BV188" s="710"/>
      <c r="BW188" s="710"/>
      <c r="BX188" s="710"/>
      <c r="BY188" s="710"/>
      <c r="BZ188" s="710"/>
      <c r="CA188" s="710"/>
      <c r="CB188" s="710"/>
      <c r="CC188" s="710"/>
    </row>
    <row r="189" spans="1:81" s="710" customFormat="1" ht="43.25" customHeight="1" hidden="1">
      <c r="A189" s="710" t="s">
        <v>673</v>
      </c>
      <c r="B189" s="741" t="s">
        <v>608</v>
      </c>
      <c r="C189" s="742"/>
      <c r="D189" s="742"/>
      <c r="E189" s="742"/>
      <c r="F189" s="742"/>
      <c r="G189" s="744"/>
      <c r="H189" s="745"/>
      <c r="I189" s="745"/>
      <c r="J189" s="746"/>
      <c r="K189" s="710"/>
      <c r="L189" s="710"/>
      <c r="M189" s="710"/>
      <c r="N189" s="710"/>
      <c r="O189" s="710"/>
      <c r="P189" s="710"/>
      <c r="Q189" s="710"/>
      <c r="R189" s="710"/>
      <c r="S189" s="710"/>
      <c r="T189" s="710"/>
      <c r="U189" s="710"/>
      <c r="V189" s="710"/>
      <c r="W189" s="22"/>
      <c r="X189" s="22"/>
      <c r="Y189" s="22"/>
      <c r="Z189" s="710"/>
      <c r="AA189" s="22"/>
      <c r="AB189" s="22"/>
      <c r="AC189" s="22"/>
      <c r="AD189" s="22">
        <f>ROW()</f>
        <v>189</v>
      </c>
      <c r="AE189" s="22"/>
      <c r="AF189" s="22"/>
      <c r="AG189" s="22"/>
      <c r="AH189" s="22"/>
      <c r="AI189" s="22"/>
      <c r="AJ189" s="22"/>
      <c r="AK189" s="22"/>
      <c r="AL189" s="22"/>
      <c r="AM189" s="22"/>
      <c r="AN189" s="22"/>
      <c r="AO189" s="22"/>
      <c r="AP189" s="22"/>
      <c r="AQ189" s="710"/>
      <c r="AR189" s="710"/>
      <c r="AS189" s="710"/>
      <c r="AT189" s="710"/>
      <c r="AU189" s="710"/>
      <c r="AV189" s="710"/>
      <c r="AW189" s="710"/>
      <c r="AX189" s="710"/>
      <c r="AY189" s="710"/>
      <c r="AZ189" s="710"/>
      <c r="BA189" s="710"/>
      <c r="BB189" s="714" t="s">
        <v>609</v>
      </c>
      <c r="BC189" s="710" t="s">
        <v>127</v>
      </c>
      <c r="BD189" s="710" t="b">
        <v>1</v>
      </c>
      <c r="BE189" s="710" t="str">
        <f>G263</f>
        <v>0.00</v>
      </c>
      <c r="BF189" s="710" t="str">
        <f>""&amp;G263</f>
        <v>0.00</v>
      </c>
      <c r="BG189" s="710" t="b">
        <v>0</v>
      </c>
      <c r="BH189" s="710" t="b">
        <v>0</v>
      </c>
      <c r="BI189" s="710"/>
      <c r="BJ189" s="710"/>
      <c r="BK189" s="710" t="str">
        <f ca="1">_xlfn.FORMULATEXT(BE189)</f>
        <v>=G263</v>
      </c>
      <c r="BL189" s="710" t="str">
        <f ca="1">_xlfn.FORMULATEXT(BE189)</f>
        <v>=G263</v>
      </c>
      <c r="BM189" s="710"/>
      <c r="BN189" s="710"/>
      <c r="BO189" s="710"/>
      <c r="BP189" s="710"/>
      <c r="BQ189" s="710"/>
      <c r="BR189" s="710"/>
      <c r="BS189" s="710"/>
      <c r="BT189" s="710"/>
      <c r="BU189" s="710"/>
      <c r="BV189" s="710"/>
      <c r="BW189" s="710"/>
      <c r="BX189" s="710"/>
      <c r="BY189" s="710"/>
      <c r="BZ189" s="710"/>
      <c r="CA189" s="710"/>
      <c r="CB189" s="710"/>
      <c r="CC189" s="710"/>
    </row>
    <row r="190" spans="1:81" s="710" customFormat="1" ht="14.5" hidden="1">
      <c r="A190" s="710" t="s">
        <v>673</v>
      </c>
      <c r="B190" s="710"/>
      <c r="C190" s="710"/>
      <c r="D190" s="710"/>
      <c r="E190" s="710"/>
      <c r="F190" s="710"/>
      <c r="G190" s="710"/>
      <c r="H190" s="710"/>
      <c r="I190" s="710"/>
      <c r="J190" s="710"/>
      <c r="K190" s="710"/>
      <c r="L190" s="710"/>
      <c r="M190" s="710"/>
      <c r="N190" s="710"/>
      <c r="O190" s="710"/>
      <c r="P190" s="710"/>
      <c r="Q190" s="710"/>
      <c r="R190" s="710"/>
      <c r="S190" s="710"/>
      <c r="T190" s="710"/>
      <c r="U190" s="710"/>
      <c r="V190" s="710"/>
      <c r="W190" s="22"/>
      <c r="X190" s="22"/>
      <c r="Y190" s="22"/>
      <c r="Z190" s="710"/>
      <c r="AA190" s="22"/>
      <c r="AB190" s="22"/>
      <c r="AC190" s="22"/>
      <c r="AD190" s="22">
        <f>ROW()</f>
        <v>190</v>
      </c>
      <c r="AE190" s="22"/>
      <c r="AF190" s="22"/>
      <c r="AG190" s="22"/>
      <c r="AH190" s="22"/>
      <c r="AI190" s="22"/>
      <c r="AJ190" s="22"/>
      <c r="AK190" s="22"/>
      <c r="AL190" s="22"/>
      <c r="AM190" s="22"/>
      <c r="AN190" s="22"/>
      <c r="AO190" s="22"/>
      <c r="AP190" s="22"/>
      <c r="AQ190" s="710"/>
      <c r="AR190" s="710"/>
      <c r="AS190" s="710"/>
      <c r="AT190" s="710"/>
      <c r="AU190" s="710"/>
      <c r="AV190" s="710"/>
      <c r="AW190" s="710"/>
      <c r="AX190" s="710"/>
      <c r="AY190" s="710"/>
      <c r="AZ190" s="710"/>
      <c r="BA190" s="710"/>
      <c r="BB190" s="714" t="s">
        <v>610</v>
      </c>
      <c r="BC190" s="710" t="s">
        <v>127</v>
      </c>
      <c r="BD190" s="710" t="b">
        <v>1</v>
      </c>
      <c r="BE190" s="710" t="str">
        <f>J263</f>
        <v>815620.00</v>
      </c>
      <c r="BF190" s="710" t="str">
        <f>""&amp;J263</f>
        <v>815620.00</v>
      </c>
      <c r="BG190" s="710" t="b">
        <v>0</v>
      </c>
      <c r="BH190" s="710" t="b">
        <v>0</v>
      </c>
      <c r="BI190" s="710" t="str">
        <f>BE190</f>
        <v>815620.00</v>
      </c>
      <c r="BJ190" s="710"/>
      <c r="BK190" s="710" t="str">
        <f ca="1">_xlfn.FORMULATEXT(BE190)</f>
        <v>=J263</v>
      </c>
      <c r="BL190" s="710" t="str">
        <f ca="1">_xlfn.FORMULATEXT(BE190)</f>
        <v>=J263</v>
      </c>
      <c r="BM190" s="710"/>
      <c r="BN190" s="710"/>
      <c r="BO190" s="710"/>
      <c r="BP190" s="710"/>
      <c r="BQ190" s="710"/>
      <c r="BR190" s="710"/>
      <c r="BS190" s="710"/>
      <c r="BT190" s="710"/>
      <c r="BU190" s="710"/>
      <c r="BV190" s="710"/>
      <c r="BW190" s="710"/>
      <c r="BX190" s="710"/>
      <c r="BY190" s="710"/>
      <c r="BZ190" s="710"/>
      <c r="CA190" s="710"/>
      <c r="CB190" s="710"/>
      <c r="CC190" s="710"/>
    </row>
    <row r="191" spans="1:81" s="710" customFormat="1" ht="14.5" hidden="1">
      <c r="A191" s="710" t="s">
        <v>673</v>
      </c>
      <c r="B191" s="749" t="s">
        <v>611</v>
      </c>
      <c r="C191" s="749"/>
      <c r="D191" s="749"/>
      <c r="E191" s="749"/>
      <c r="F191" s="750"/>
      <c r="G191" s="750"/>
      <c r="H191" s="750"/>
      <c r="I191" s="750"/>
      <c r="J191" s="750"/>
      <c r="K191" s="750"/>
      <c r="L191" s="750"/>
      <c r="M191" s="710"/>
      <c r="N191" s="710"/>
      <c r="O191" s="710"/>
      <c r="P191" s="710"/>
      <c r="Q191" s="710"/>
      <c r="R191" s="710"/>
      <c r="S191" s="710"/>
      <c r="T191" s="710"/>
      <c r="U191" s="710"/>
      <c r="V191" s="710"/>
      <c r="W191" s="22"/>
      <c r="X191" s="22"/>
      <c r="Y191" s="22"/>
      <c r="Z191" s="710"/>
      <c r="AA191" s="751">
        <v>2</v>
      </c>
      <c r="AB191" s="22">
        <f>IF(AC191="0",1,2)</f>
        <v>2</v>
      </c>
      <c r="AC191" s="22"/>
      <c r="AD191" s="22">
        <f>ROW()</f>
        <v>191</v>
      </c>
      <c r="AE191" s="22"/>
      <c r="AF191" s="22"/>
      <c r="AG191" s="22"/>
      <c r="AH191" s="22"/>
      <c r="AI191" s="22"/>
      <c r="AJ191" s="22"/>
      <c r="AK191" s="22"/>
      <c r="AL191" s="22"/>
      <c r="AM191" s="22"/>
      <c r="AN191" s="22"/>
      <c r="AO191" s="22"/>
      <c r="AP191" s="22"/>
      <c r="AQ191" s="710"/>
      <c r="AR191" s="710"/>
      <c r="AS191" s="710"/>
      <c r="AT191" s="710"/>
      <c r="AU191" s="710"/>
      <c r="AV191" s="710"/>
      <c r="AW191" s="710"/>
      <c r="AX191" s="710"/>
      <c r="AY191" s="710"/>
      <c r="AZ191" s="710"/>
      <c r="BA191" s="710"/>
      <c r="BB191" s="714" t="s">
        <v>612</v>
      </c>
      <c r="BC191" s="710" t="s">
        <v>127</v>
      </c>
      <c r="BD191" s="710" t="b">
        <v>0</v>
      </c>
      <c r="BE191" s="710">
        <f>M263</f>
        <v>0</v>
      </c>
      <c r="BF191" s="710" t="str">
        <f>""&amp;M263</f>
        <v/>
      </c>
      <c r="BG191" s="710" t="b">
        <v>1</v>
      </c>
      <c r="BH191" s="710" t="b">
        <v>0</v>
      </c>
      <c r="BI191" s="710" t="str">
        <f>BE190</f>
        <v>815620.00</v>
      </c>
      <c r="BJ191" s="710"/>
      <c r="BK191" s="710" t="str">
        <f ca="1">_xlfn.FORMULATEXT(BE191)</f>
        <v>=M263</v>
      </c>
      <c r="BL191" s="710" t="str">
        <f ca="1">_xlfn.FORMULATEXT(BE191)</f>
        <v>=M263</v>
      </c>
      <c r="BM191" s="710"/>
      <c r="BN191" s="710"/>
      <c r="BO191" s="710"/>
      <c r="BP191" s="710"/>
      <c r="BQ191" s="710"/>
      <c r="BR191" s="710"/>
      <c r="BS191" s="710"/>
      <c r="BT191" s="710"/>
      <c r="BU191" s="710"/>
      <c r="BV191" s="710"/>
      <c r="BW191" s="710"/>
      <c r="BX191" s="710"/>
      <c r="BY191" s="710"/>
      <c r="BZ191" s="710"/>
      <c r="CA191" s="710"/>
      <c r="CB191" s="710"/>
      <c r="CC191" s="710"/>
    </row>
    <row r="192" spans="1:81" s="710" customFormat="1" ht="14.75" customHeight="1" hidden="1">
      <c r="A192" s="710" t="s">
        <v>673</v>
      </c>
      <c r="B192" s="749"/>
      <c r="C192" s="749"/>
      <c r="D192" s="749"/>
      <c r="E192" s="749"/>
      <c r="F192" s="710"/>
      <c r="G192" s="710"/>
      <c r="H192" s="710"/>
      <c r="I192" s="710"/>
      <c r="J192" s="710"/>
      <c r="K192" s="710"/>
      <c r="L192" s="710"/>
      <c r="M192" s="710"/>
      <c r="N192" s="710"/>
      <c r="O192" s="710"/>
      <c r="P192" s="710"/>
      <c r="Q192" s="710"/>
      <c r="R192" s="710"/>
      <c r="S192" s="710"/>
      <c r="T192" s="710"/>
      <c r="U192" s="710"/>
      <c r="V192" s="710"/>
      <c r="W192" s="22"/>
      <c r="X192" s="22"/>
      <c r="Y192" s="22"/>
      <c r="Z192" s="710"/>
      <c r="AA192" s="22"/>
      <c r="AB192" s="22"/>
      <c r="AC192" s="22"/>
      <c r="AD192" s="22">
        <f>ROW()</f>
        <v>192</v>
      </c>
      <c r="AE192" s="22"/>
      <c r="AF192" s="22"/>
      <c r="AG192" s="22"/>
      <c r="AH192" s="22"/>
      <c r="AI192" s="22"/>
      <c r="AJ192" s="22"/>
      <c r="AK192" s="22"/>
      <c r="AL192" s="22"/>
      <c r="AM192" s="22"/>
      <c r="AN192" s="22"/>
      <c r="AO192" s="22"/>
      <c r="AP192" s="22"/>
      <c r="AQ192" s="710"/>
      <c r="AR192" s="710"/>
      <c r="AS192" s="710"/>
      <c r="AT192" s="710"/>
      <c r="AU192" s="710"/>
      <c r="AV192" s="710"/>
      <c r="AW192" s="710"/>
      <c r="AX192" s="710"/>
      <c r="AY192" s="710"/>
      <c r="AZ192" s="710"/>
      <c r="BA192" s="710"/>
      <c r="BB192" s="714" t="s">
        <v>613</v>
      </c>
      <c r="BC192" s="710" t="s">
        <v>127</v>
      </c>
      <c r="BD192" s="710" t="b">
        <v>1</v>
      </c>
      <c r="BE192" s="710">
        <f>G265</f>
        <v>0</v>
      </c>
      <c r="BF192" s="710" t="str">
        <f>""&amp;G265</f>
        <v/>
      </c>
      <c r="BG192" s="710" t="b">
        <v>1</v>
      </c>
      <c r="BH192" s="710" t="b">
        <v>0</v>
      </c>
      <c r="BI192" s="710"/>
      <c r="BJ192" s="710"/>
      <c r="BK192" s="710" t="str">
        <f ca="1">_xlfn.FORMULATEXT(BE192)</f>
        <v>=G265</v>
      </c>
      <c r="BL192" s="710" t="str">
        <f ca="1">_xlfn.FORMULATEXT(BE192)</f>
        <v>=G265</v>
      </c>
      <c r="BM192" s="710"/>
      <c r="BN192" s="710"/>
      <c r="BO192" s="710"/>
      <c r="BP192" s="710"/>
      <c r="BQ192" s="710"/>
      <c r="BR192" s="710"/>
      <c r="BS192" s="710"/>
      <c r="BT192" s="710"/>
      <c r="BU192" s="710"/>
      <c r="BV192" s="710"/>
      <c r="BW192" s="710"/>
      <c r="BX192" s="710"/>
      <c r="BY192" s="710"/>
      <c r="BZ192" s="710"/>
      <c r="CA192" s="710"/>
      <c r="CB192" s="710"/>
      <c r="CC192" s="710"/>
    </row>
    <row r="193" spans="1:81" s="710" customFormat="1" ht="14.5" hidden="1">
      <c r="A193" s="710" t="s">
        <v>673</v>
      </c>
      <c r="B193" s="710"/>
      <c r="C193" s="710"/>
      <c r="D193" s="710"/>
      <c r="E193" s="710"/>
      <c r="F193" s="710"/>
      <c r="G193" s="710"/>
      <c r="H193" s="710"/>
      <c r="I193" s="710"/>
      <c r="J193" s="710"/>
      <c r="K193" s="710"/>
      <c r="L193" s="710"/>
      <c r="M193" s="710"/>
      <c r="N193" s="710"/>
      <c r="O193" s="710"/>
      <c r="P193" s="710"/>
      <c r="Q193" s="710"/>
      <c r="R193" s="710"/>
      <c r="S193" s="710"/>
      <c r="T193" s="710"/>
      <c r="U193" s="710"/>
      <c r="V193" s="710"/>
      <c r="W193" s="22"/>
      <c r="X193" s="22"/>
      <c r="Y193" s="22"/>
      <c r="Z193" s="710"/>
      <c r="AA193" s="22"/>
      <c r="AB193" s="22"/>
      <c r="AC193" s="22"/>
      <c r="AD193" s="22">
        <f>ROW()</f>
        <v>193</v>
      </c>
      <c r="AE193" s="22"/>
      <c r="AF193" s="22"/>
      <c r="AG193" s="22"/>
      <c r="AH193" s="22"/>
      <c r="AI193" s="22"/>
      <c r="AJ193" s="22"/>
      <c r="AK193" s="22"/>
      <c r="AL193" s="22"/>
      <c r="AM193" s="22"/>
      <c r="AN193" s="22"/>
      <c r="AO193" s="22"/>
      <c r="AP193" s="22"/>
      <c r="AQ193" s="710"/>
      <c r="AR193" s="710"/>
      <c r="AS193" s="710"/>
      <c r="AT193" s="710"/>
      <c r="AU193" s="710"/>
      <c r="AV193" s="710"/>
      <c r="AW193" s="710"/>
      <c r="AX193" s="710"/>
      <c r="AY193" s="710"/>
      <c r="AZ193" s="710"/>
      <c r="BA193" s="710"/>
      <c r="BB193" s="714" t="s">
        <v>614</v>
      </c>
      <c r="BC193" s="710" t="s">
        <v>127</v>
      </c>
      <c r="BD193" s="710" t="b">
        <v>1</v>
      </c>
      <c r="BE193" s="710" t="str">
        <f>J265</f>
        <v>0</v>
      </c>
      <c r="BF193" s="710" t="str">
        <f>""&amp;J265</f>
        <v>0</v>
      </c>
      <c r="BG193" s="710" t="b">
        <v>1</v>
      </c>
      <c r="BH193" s="710" t="b">
        <v>0</v>
      </c>
      <c r="BI193" s="710" t="str">
        <f>BE193</f>
        <v>0</v>
      </c>
      <c r="BJ193" s="710"/>
      <c r="BK193" s="710" t="str">
        <f ca="1">_xlfn.FORMULATEXT(BE193)</f>
        <v>=J265</v>
      </c>
      <c r="BL193" s="710" t="str">
        <f ca="1">_xlfn.FORMULATEXT(BE193)</f>
        <v>=J265</v>
      </c>
      <c r="BM193" s="710"/>
      <c r="BN193" s="710"/>
      <c r="BO193" s="710"/>
      <c r="BP193" s="710"/>
      <c r="BQ193" s="710"/>
      <c r="BR193" s="710"/>
      <c r="BS193" s="710"/>
      <c r="BT193" s="710"/>
      <c r="BU193" s="710"/>
      <c r="BV193" s="710"/>
      <c r="BW193" s="710"/>
      <c r="BX193" s="710"/>
      <c r="BY193" s="710"/>
      <c r="BZ193" s="710"/>
      <c r="CA193" s="710"/>
      <c r="CB193" s="710"/>
      <c r="CC193" s="710"/>
    </row>
    <row r="194" spans="1:81" s="710" customFormat="1" ht="43.25" customHeight="1" hidden="1">
      <c r="A194" s="710" t="s">
        <v>673</v>
      </c>
      <c r="B194" s="741" t="s">
        <v>615</v>
      </c>
      <c r="C194" s="752"/>
      <c r="D194" s="752"/>
      <c r="E194" s="752"/>
      <c r="F194" s="752"/>
      <c r="G194" s="744"/>
      <c r="H194" s="745"/>
      <c r="I194" s="745"/>
      <c r="J194" s="746"/>
      <c r="K194" s="710"/>
      <c r="L194" s="710"/>
      <c r="M194" s="710"/>
      <c r="N194" s="710"/>
      <c r="O194" s="710"/>
      <c r="P194" s="710"/>
      <c r="Q194" s="710"/>
      <c r="R194" s="710"/>
      <c r="S194" s="710"/>
      <c r="T194" s="710"/>
      <c r="U194" s="710"/>
      <c r="V194" s="710"/>
      <c r="W194" s="22"/>
      <c r="X194" s="22"/>
      <c r="Y194" s="22"/>
      <c r="Z194" s="710"/>
      <c r="AA194" s="22"/>
      <c r="AB194" s="22"/>
      <c r="AC194" s="22"/>
      <c r="AD194" s="22">
        <f>ROW()</f>
        <v>194</v>
      </c>
      <c r="AE194" s="22"/>
      <c r="AF194" s="22"/>
      <c r="AG194" s="22"/>
      <c r="AH194" s="22"/>
      <c r="AI194" s="22"/>
      <c r="AJ194" s="22"/>
      <c r="AK194" s="22"/>
      <c r="AL194" s="22"/>
      <c r="AM194" s="22"/>
      <c r="AN194" s="22"/>
      <c r="AO194" s="22"/>
      <c r="AP194" s="22"/>
      <c r="AQ194" s="710"/>
      <c r="AR194" s="710"/>
      <c r="AS194" s="710"/>
      <c r="AT194" s="710"/>
      <c r="AU194" s="710"/>
      <c r="AV194" s="710"/>
      <c r="AW194" s="710"/>
      <c r="AX194" s="710"/>
      <c r="AY194" s="710"/>
      <c r="AZ194" s="710"/>
      <c r="BA194" s="710"/>
      <c r="BB194" s="714" t="s">
        <v>616</v>
      </c>
      <c r="BC194" s="710" t="s">
        <v>127</v>
      </c>
      <c r="BD194" s="710" t="b">
        <v>0</v>
      </c>
      <c r="BE194" s="710">
        <f>M265</f>
        <v>0</v>
      </c>
      <c r="BF194" s="710" t="str">
        <f>""&amp;M265</f>
        <v/>
      </c>
      <c r="BG194" s="710" t="b">
        <v>1</v>
      </c>
      <c r="BH194" s="710" t="b">
        <v>0</v>
      </c>
      <c r="BI194" s="710" t="str">
        <f>BE193</f>
        <v>0</v>
      </c>
      <c r="BJ194" s="710"/>
      <c r="BK194" s="710" t="str">
        <f ca="1">_xlfn.FORMULATEXT(BE194)</f>
        <v>=M265</v>
      </c>
      <c r="BL194" s="710" t="str">
        <f ca="1">_xlfn.FORMULATEXT(BE194)</f>
        <v>=M265</v>
      </c>
      <c r="BM194" s="710"/>
      <c r="BN194" s="710"/>
      <c r="BO194" s="710"/>
      <c r="BP194" s="710"/>
      <c r="BQ194" s="710"/>
      <c r="BR194" s="710"/>
      <c r="BS194" s="710"/>
      <c r="BT194" s="710"/>
      <c r="BU194" s="710"/>
      <c r="BV194" s="710"/>
      <c r="BW194" s="710"/>
      <c r="BX194" s="710"/>
      <c r="BY194" s="710"/>
      <c r="BZ194" s="710"/>
      <c r="CA194" s="710"/>
      <c r="CB194" s="710"/>
      <c r="CC194" s="710"/>
    </row>
    <row r="195" spans="1:81" s="710" customFormat="1" ht="14.5" hidden="1">
      <c r="A195" s="710" t="s">
        <v>673</v>
      </c>
      <c r="B195" s="710"/>
      <c r="C195" s="710"/>
      <c r="D195" s="710"/>
      <c r="E195" s="710"/>
      <c r="F195" s="710"/>
      <c r="G195" s="710"/>
      <c r="H195" s="710"/>
      <c r="I195" s="710"/>
      <c r="J195" s="710"/>
      <c r="K195" s="710"/>
      <c r="L195" s="710"/>
      <c r="M195" s="710"/>
      <c r="N195" s="710"/>
      <c r="O195" s="710"/>
      <c r="P195" s="710"/>
      <c r="Q195" s="710"/>
      <c r="R195" s="710"/>
      <c r="S195" s="710"/>
      <c r="T195" s="710"/>
      <c r="U195" s="710"/>
      <c r="V195" s="710"/>
      <c r="W195" s="22"/>
      <c r="X195" s="22"/>
      <c r="Y195" s="22"/>
      <c r="Z195" s="710"/>
      <c r="AA195" s="22"/>
      <c r="AB195" s="22"/>
      <c r="AC195" s="22"/>
      <c r="AD195" s="22">
        <f>ROW()</f>
        <v>195</v>
      </c>
      <c r="AE195" s="22"/>
      <c r="AF195" s="22"/>
      <c r="AG195" s="22"/>
      <c r="AH195" s="22"/>
      <c r="AI195" s="22"/>
      <c r="AJ195" s="22"/>
      <c r="AK195" s="22"/>
      <c r="AL195" s="22"/>
      <c r="AM195" s="22"/>
      <c r="AN195" s="22"/>
      <c r="AO195" s="22"/>
      <c r="AP195" s="22"/>
      <c r="AQ195" s="710"/>
      <c r="AR195" s="710"/>
      <c r="AS195" s="710"/>
      <c r="AT195" s="710"/>
      <c r="AU195" s="710"/>
      <c r="AV195" s="710"/>
      <c r="AW195" s="710"/>
      <c r="AX195" s="710"/>
      <c r="AY195" s="710"/>
      <c r="AZ195" s="710"/>
      <c r="BA195" s="710"/>
      <c r="BB195" s="714" t="s">
        <v>617</v>
      </c>
      <c r="BC195" s="710" t="s">
        <v>123</v>
      </c>
      <c r="BD195" s="710" t="b">
        <v>0</v>
      </c>
      <c r="BE195" s="710" t="s">
        <v>618</v>
      </c>
      <c r="BF195" s="710" t="s">
        <v>618</v>
      </c>
      <c r="BG195" s="710" t="b">
        <v>0</v>
      </c>
      <c r="BH195" s="710" t="b">
        <v>0</v>
      </c>
      <c r="BI195" s="710"/>
      <c r="BJ195" s="710"/>
      <c r="BK195" s="710" t="s">
        <v>125</v>
      </c>
      <c r="BL195" s="710" t="s">
        <v>125</v>
      </c>
      <c r="BM195" s="710"/>
      <c r="BN195" s="710"/>
      <c r="BO195" s="710"/>
      <c r="BP195" s="710"/>
      <c r="BQ195" s="710"/>
      <c r="BR195" s="710"/>
      <c r="BS195" s="710"/>
      <c r="BT195" s="710"/>
      <c r="BU195" s="710"/>
      <c r="BV195" s="710"/>
      <c r="BW195" s="710"/>
      <c r="BX195" s="710"/>
      <c r="BY195" s="710"/>
      <c r="BZ195" s="710"/>
      <c r="CA195" s="710"/>
      <c r="CB195" s="710"/>
      <c r="CC195" s="710"/>
    </row>
    <row r="196" spans="1:64" ht="14.75" customHeight="1">
      <c r="A196" s="64" t="s">
        <v>673</v>
      </c>
      <c r="B196" s="158" t="s">
        <v>620</v>
      </c>
      <c r="C196" s="158"/>
      <c r="D196" s="158"/>
      <c r="E196" s="158"/>
      <c r="F196" s="64"/>
      <c r="G196" s="64"/>
      <c r="H196" s="64"/>
      <c r="I196" s="64"/>
      <c r="J196" s="64"/>
      <c r="K196" s="64"/>
      <c r="L196" s="64"/>
      <c r="M196" s="64"/>
      <c r="N196" s="64"/>
      <c r="O196" s="64"/>
      <c r="P196" s="64"/>
      <c r="W196" s="22"/>
      <c r="X196" s="22"/>
      <c r="Y196" s="22"/>
      <c r="AA196" s="22"/>
      <c r="AB196" s="22"/>
      <c r="AC196" s="22"/>
      <c r="AD196" s="22">
        <f>ROW()</f>
        <v>196</v>
      </c>
      <c r="AE196" s="22"/>
      <c r="AF196" s="22"/>
      <c r="AG196" s="22"/>
      <c r="AH196" s="22"/>
      <c r="AI196" s="22"/>
      <c r="AJ196" s="22"/>
      <c r="AK196" s="22"/>
      <c r="AL196" s="22"/>
      <c r="AM196" s="22"/>
      <c r="AN196" s="22"/>
      <c r="AO196" s="22"/>
      <c r="AP196" s="22"/>
      <c r="BB196" s="30" t="s">
        <v>621</v>
      </c>
      <c r="BC196" s="21" t="s">
        <v>127</v>
      </c>
      <c r="BD196" s="21" t="b">
        <v>1</v>
      </c>
      <c r="BE196" s="21">
        <f>G272</f>
        <v>0</v>
      </c>
      <c r="BF196" s="21" t="str">
        <f>""&amp;G272</f>
        <v/>
      </c>
      <c r="BG196" s="21" t="b">
        <v>1</v>
      </c>
      <c r="BH196" s="21" t="b">
        <v>0</v>
      </c>
      <c r="BK196" s="21" t="str">
        <f ca="1">_xlfn.FORMULATEXT(BE196)</f>
        <v>=G272</v>
      </c>
      <c r="BL196" s="21" t="str">
        <f ca="1">_xlfn.FORMULATEXT(BE196)</f>
        <v>=G272</v>
      </c>
    </row>
    <row r="197" spans="1:64" ht="14.5">
      <c r="A197" s="64" t="s">
        <v>673</v>
      </c>
      <c r="B197" s="64"/>
      <c r="C197" s="64"/>
      <c r="D197" s="64"/>
      <c r="E197" s="64"/>
      <c r="F197" s="64"/>
      <c r="G197" s="64"/>
      <c r="H197" s="64"/>
      <c r="I197" s="64"/>
      <c r="J197" s="64"/>
      <c r="K197" s="64"/>
      <c r="L197" s="64"/>
      <c r="M197" s="64"/>
      <c r="N197" s="64"/>
      <c r="O197" s="64"/>
      <c r="P197" s="64"/>
      <c r="W197" s="22"/>
      <c r="X197" s="22"/>
      <c r="Y197" s="22"/>
      <c r="AA197" s="22"/>
      <c r="AB197" s="22"/>
      <c r="AC197" s="22"/>
      <c r="AD197" s="22">
        <f>ROW()</f>
        <v>197</v>
      </c>
      <c r="AE197" s="22"/>
      <c r="AF197" s="22"/>
      <c r="AG197" s="22"/>
      <c r="AH197" s="22"/>
      <c r="AI197" s="22"/>
      <c r="AJ197" s="22"/>
      <c r="AK197" s="22"/>
      <c r="AL197" s="22"/>
      <c r="AM197" s="22"/>
      <c r="AN197" s="22"/>
      <c r="AO197" s="22"/>
      <c r="AP197" s="22"/>
      <c r="BB197" s="30" t="s">
        <v>622</v>
      </c>
      <c r="BC197" s="21" t="s">
        <v>127</v>
      </c>
      <c r="BD197" s="21" t="b">
        <v>1</v>
      </c>
      <c r="BE197" s="21" t="str">
        <f>J272</f>
        <v>0</v>
      </c>
      <c r="BF197" s="21" t="str">
        <f>""&amp;J272</f>
        <v>0</v>
      </c>
      <c r="BG197" s="21" t="b">
        <v>1</v>
      </c>
      <c r="BH197" s="21" t="b">
        <v>0</v>
      </c>
      <c r="BI197" s="21" t="str">
        <f>BE197</f>
        <v>0</v>
      </c>
      <c r="BK197" s="21" t="str">
        <f ca="1">_xlfn.FORMULATEXT(BE197)</f>
        <v>=J272</v>
      </c>
      <c r="BL197" s="21" t="str">
        <f ca="1">_xlfn.FORMULATEXT(BE197)</f>
        <v>=J272</v>
      </c>
    </row>
    <row r="198" spans="1:64" ht="14.75" customHeight="1">
      <c r="A198" s="64" t="s">
        <v>673</v>
      </c>
      <c r="B198" s="158" t="s">
        <v>623</v>
      </c>
      <c r="C198" s="89"/>
      <c r="D198" s="89"/>
      <c r="E198" s="89"/>
      <c r="F198" s="64"/>
      <c r="G198" s="64"/>
      <c r="H198" s="64"/>
      <c r="I198" s="64"/>
      <c r="J198" s="64"/>
      <c r="K198" s="64"/>
      <c r="L198" s="64"/>
      <c r="M198" s="64"/>
      <c r="N198" s="64"/>
      <c r="O198" s="64"/>
      <c r="P198" s="64"/>
      <c r="W198" s="22"/>
      <c r="X198" s="22"/>
      <c r="Y198" s="22"/>
      <c r="AA198" s="22"/>
      <c r="AB198" s="22"/>
      <c r="AC198" s="22"/>
      <c r="AD198" s="22">
        <f>ROW()</f>
        <v>198</v>
      </c>
      <c r="AE198" s="22"/>
      <c r="AF198" s="22"/>
      <c r="AG198" s="22"/>
      <c r="AH198" s="22"/>
      <c r="AI198" s="22"/>
      <c r="AJ198" s="22"/>
      <c r="AK198" s="22"/>
      <c r="AL198" s="22"/>
      <c r="AM198" s="22"/>
      <c r="AN198" s="22"/>
      <c r="AO198" s="22"/>
      <c r="AP198" s="22"/>
      <c r="BB198" s="30" t="s">
        <v>624</v>
      </c>
      <c r="BC198" s="21" t="s">
        <v>127</v>
      </c>
      <c r="BD198" s="21" t="b">
        <v>0</v>
      </c>
      <c r="BE198" s="21">
        <f>M272</f>
        <v>0</v>
      </c>
      <c r="BF198" s="21" t="str">
        <f>""&amp;M272</f>
        <v/>
      </c>
      <c r="BG198" s="21" t="b">
        <v>1</v>
      </c>
      <c r="BH198" s="21" t="b">
        <v>0</v>
      </c>
      <c r="BI198" s="21" t="str">
        <f>BE197</f>
        <v>0</v>
      </c>
      <c r="BK198" s="21" t="str">
        <f ca="1">_xlfn.FORMULATEXT(BE198)</f>
        <v>=M272</v>
      </c>
      <c r="BL198" s="21" t="str">
        <f ca="1">_xlfn.FORMULATEXT(BE198)</f>
        <v>=M272</v>
      </c>
    </row>
    <row r="199" spans="1:64" ht="29" customHeight="1">
      <c r="A199" s="64" t="s">
        <v>673</v>
      </c>
      <c r="B199" s="159"/>
      <c r="C199" s="160" t="s">
        <v>625</v>
      </c>
      <c r="D199" s="161"/>
      <c r="E199" s="161"/>
      <c r="F199" s="162"/>
      <c r="G199" s="398" t="s">
        <v>626</v>
      </c>
      <c r="H199" s="399"/>
      <c r="I199" s="400"/>
      <c r="J199" s="398" t="s">
        <v>627</v>
      </c>
      <c r="K199" s="399"/>
      <c r="L199" s="400"/>
      <c r="M199" s="166" t="s">
        <v>628</v>
      </c>
      <c r="N199" s="166"/>
      <c r="O199" s="166"/>
      <c r="P199" s="64"/>
      <c r="W199" s="22"/>
      <c r="X199" s="22"/>
      <c r="Y199" s="22"/>
      <c r="AA199" s="22"/>
      <c r="AB199" s="22"/>
      <c r="AC199" s="22"/>
      <c r="AD199" s="22">
        <f>ROW()</f>
        <v>199</v>
      </c>
      <c r="AE199" s="22"/>
      <c r="AF199" s="22"/>
      <c r="AG199" s="22"/>
      <c r="AH199" s="22"/>
      <c r="AI199" s="22"/>
      <c r="AJ199" s="22"/>
      <c r="AK199" s="22"/>
      <c r="AL199" s="22"/>
      <c r="AM199" s="22"/>
      <c r="AN199" s="22"/>
      <c r="AO199" s="22"/>
      <c r="AP199" s="22"/>
      <c r="BB199" s="30" t="s">
        <v>629</v>
      </c>
      <c r="BC199" s="21" t="s">
        <v>127</v>
      </c>
      <c r="BD199" s="21" t="b">
        <v>1</v>
      </c>
      <c r="BE199" s="21">
        <f>G273</f>
        <v>0</v>
      </c>
      <c r="BF199" s="21" t="str">
        <f>""&amp;G273</f>
        <v/>
      </c>
      <c r="BG199" s="21" t="b">
        <v>1</v>
      </c>
      <c r="BH199" s="21" t="b">
        <v>0</v>
      </c>
      <c r="BK199" s="21" t="str">
        <f ca="1">_xlfn.FORMULATEXT(BE199)</f>
        <v>=G273</v>
      </c>
      <c r="BL199" s="21" t="str">
        <f ca="1">_xlfn.FORMULATEXT(BE199)</f>
        <v>=G273</v>
      </c>
    </row>
    <row r="200" spans="1:64" ht="27.65" customHeight="1">
      <c r="A200" s="64" t="s">
        <v>673</v>
      </c>
      <c r="B200" s="167"/>
      <c r="C200" s="168"/>
      <c r="D200" s="169"/>
      <c r="E200" s="169"/>
      <c r="F200" s="170"/>
      <c r="G200" s="618" t="s">
        <v>183</v>
      </c>
      <c r="H200" s="617"/>
      <c r="I200" s="619"/>
      <c r="J200" s="402" t="s">
        <v>630</v>
      </c>
      <c r="K200" s="401"/>
      <c r="L200" s="403"/>
      <c r="M200" s="166"/>
      <c r="N200" s="166"/>
      <c r="O200" s="166"/>
      <c r="P200" s="64"/>
      <c r="W200" s="22"/>
      <c r="X200" s="22"/>
      <c r="Y200" s="22"/>
      <c r="AA200" s="22"/>
      <c r="AB200" s="22"/>
      <c r="AC200" s="22"/>
      <c r="AD200" s="22">
        <f>ROW()</f>
        <v>200</v>
      </c>
      <c r="AE200" s="22"/>
      <c r="AF200" s="22"/>
      <c r="AG200" s="22"/>
      <c r="AH200" s="22"/>
      <c r="AI200" s="22"/>
      <c r="AJ200" s="22"/>
      <c r="AK200" s="22"/>
      <c r="AL200" s="22"/>
      <c r="AM200" s="22"/>
      <c r="AN200" s="22"/>
      <c r="AO200" s="22"/>
      <c r="AP200" s="22"/>
      <c r="BB200" s="30" t="s">
        <v>631</v>
      </c>
      <c r="BC200" s="21" t="s">
        <v>127</v>
      </c>
      <c r="BD200" s="21" t="b">
        <v>1</v>
      </c>
      <c r="BE200" s="21" t="str">
        <f>J273</f>
        <v>0</v>
      </c>
      <c r="BF200" s="21" t="str">
        <f>""&amp;J273</f>
        <v>0</v>
      </c>
      <c r="BG200" s="21" t="b">
        <v>1</v>
      </c>
      <c r="BH200" s="21" t="b">
        <v>0</v>
      </c>
      <c r="BI200" s="21" t="str">
        <f>BE200</f>
        <v>0</v>
      </c>
      <c r="BK200" s="21" t="str">
        <f ca="1">_xlfn.FORMULATEXT(BE200)</f>
        <v>=J273</v>
      </c>
      <c r="BL200" s="21" t="str">
        <f ca="1">_xlfn.FORMULATEXT(BE200)</f>
        <v>=J273</v>
      </c>
    </row>
    <row r="201" spans="1:64" ht="14.5">
      <c r="A201" s="64" t="s">
        <v>673</v>
      </c>
      <c r="B201" s="173" t="s">
        <v>632</v>
      </c>
      <c r="C201" s="174" t="s">
        <v>633</v>
      </c>
      <c r="D201" s="175"/>
      <c r="E201" s="175"/>
      <c r="F201" s="175"/>
      <c r="G201" s="175"/>
      <c r="H201" s="175"/>
      <c r="I201" s="175"/>
      <c r="J201" s="175"/>
      <c r="K201" s="175"/>
      <c r="L201" s="175"/>
      <c r="M201" s="175"/>
      <c r="N201" s="175"/>
      <c r="O201" s="176"/>
      <c r="P201" s="64"/>
      <c r="W201" s="22"/>
      <c r="X201" s="22"/>
      <c r="Y201" s="22"/>
      <c r="AA201" s="22"/>
      <c r="AB201" s="22"/>
      <c r="AC201" s="22"/>
      <c r="AD201" s="22">
        <f>ROW()</f>
        <v>201</v>
      </c>
      <c r="AE201" s="22"/>
      <c r="AF201" s="22"/>
      <c r="AG201" s="22"/>
      <c r="AH201" s="22"/>
      <c r="AI201" s="22"/>
      <c r="AJ201" s="22"/>
      <c r="AK201" s="22"/>
      <c r="AL201" s="22"/>
      <c r="AM201" s="22"/>
      <c r="AN201" s="22"/>
      <c r="AO201" s="22"/>
      <c r="AP201" s="22"/>
      <c r="BB201" s="30" t="s">
        <v>634</v>
      </c>
      <c r="BC201" s="21" t="s">
        <v>127</v>
      </c>
      <c r="BD201" s="21" t="b">
        <v>0</v>
      </c>
      <c r="BE201" s="21">
        <f>M273</f>
        <v>0</v>
      </c>
      <c r="BF201" s="21" t="str">
        <f>""&amp;M273</f>
        <v/>
      </c>
      <c r="BG201" s="21" t="b">
        <v>1</v>
      </c>
      <c r="BH201" s="21" t="b">
        <v>0</v>
      </c>
      <c r="BI201" s="21" t="str">
        <f>BE200</f>
        <v>0</v>
      </c>
      <c r="BK201" s="21" t="str">
        <f ca="1">_xlfn.FORMULATEXT(BE201)</f>
        <v>=M273</v>
      </c>
      <c r="BL201" s="21" t="str">
        <f ca="1">_xlfn.FORMULATEXT(BE201)</f>
        <v>=M273</v>
      </c>
    </row>
    <row r="202" spans="1:64" ht="14.4" customHeight="1">
      <c r="A202" s="64" t="s">
        <v>673</v>
      </c>
      <c r="B202" s="177">
        <v>1</v>
      </c>
      <c r="C202" s="178" t="s">
        <v>635</v>
      </c>
      <c r="D202" s="179"/>
      <c r="E202" s="179"/>
      <c r="F202" s="179"/>
      <c r="G202" s="179"/>
      <c r="H202" s="179"/>
      <c r="I202" s="179"/>
      <c r="J202" s="179"/>
      <c r="K202" s="179"/>
      <c r="L202" s="179"/>
      <c r="M202" s="179"/>
      <c r="N202" s="179"/>
      <c r="O202" s="180"/>
      <c r="P202" s="64"/>
      <c r="W202" s="22"/>
      <c r="X202" s="22"/>
      <c r="Y202" s="22"/>
      <c r="AA202" s="22"/>
      <c r="AB202" s="22"/>
      <c r="AC202" s="22"/>
      <c r="AD202" s="22">
        <f>ROW()</f>
        <v>202</v>
      </c>
      <c r="AE202" s="22"/>
      <c r="AF202" s="22"/>
      <c r="AG202" s="22"/>
      <c r="AH202" s="22"/>
      <c r="AI202" s="22"/>
      <c r="AJ202" s="22"/>
      <c r="AK202" s="22"/>
      <c r="AL202" s="22"/>
      <c r="AM202" s="22"/>
      <c r="AN202" s="22"/>
      <c r="AO202" s="22"/>
      <c r="AP202" s="22"/>
      <c r="BB202" s="30" t="s">
        <v>636</v>
      </c>
      <c r="BC202" s="21" t="s">
        <v>127</v>
      </c>
      <c r="BD202" s="21" t="b">
        <v>1</v>
      </c>
      <c r="BE202" s="21">
        <f>G274</f>
        <v>0</v>
      </c>
      <c r="BF202" s="21" t="str">
        <f>""&amp;G274</f>
        <v/>
      </c>
      <c r="BG202" s="21" t="b">
        <v>1</v>
      </c>
      <c r="BH202" s="21" t="b">
        <v>0</v>
      </c>
      <c r="BK202" s="21" t="str">
        <f ca="1">_xlfn.FORMULATEXT(BE202)</f>
        <v>=G274</v>
      </c>
      <c r="BL202" s="21" t="str">
        <f ca="1">_xlfn.FORMULATEXT(BE202)</f>
        <v>=G274</v>
      </c>
    </row>
    <row r="203" spans="1:64" ht="14.4" customHeight="1" hidden="1">
      <c r="A203" s="64" t="s">
        <v>673</v>
      </c>
      <c r="B203" s="181"/>
      <c r="C203" s="182"/>
      <c r="D203" s="87"/>
      <c r="E203" s="87"/>
      <c r="F203" s="87"/>
      <c r="G203" s="406"/>
      <c r="H203" s="406"/>
      <c r="I203" s="406"/>
      <c r="J203" s="406"/>
      <c r="K203" s="406"/>
      <c r="L203" s="406"/>
      <c r="M203" s="406"/>
      <c r="N203" s="406"/>
      <c r="O203" s="412"/>
      <c r="P203" s="64"/>
      <c r="W203" s="22"/>
      <c r="X203" s="22"/>
      <c r="Y203" s="22"/>
      <c r="AA203" s="22"/>
      <c r="AB203" s="22"/>
      <c r="AC203" s="22"/>
      <c r="AD203" s="22">
        <f>ROW()</f>
        <v>203</v>
      </c>
      <c r="AE203" s="22"/>
      <c r="AF203" s="22"/>
      <c r="AG203" s="22"/>
      <c r="AH203" s="22"/>
      <c r="AI203" s="22"/>
      <c r="AJ203" s="22"/>
      <c r="AK203" s="22"/>
      <c r="AL203" s="22"/>
      <c r="AM203" s="22"/>
      <c r="AN203" s="22"/>
      <c r="AO203" s="22"/>
      <c r="AP203" s="22"/>
      <c r="BB203" s="30" t="s">
        <v>637</v>
      </c>
      <c r="BC203" s="21" t="s">
        <v>127</v>
      </c>
      <c r="BD203" s="21" t="b">
        <v>1</v>
      </c>
      <c r="BE203" s="21" t="str">
        <f>J274</f>
        <v>0</v>
      </c>
      <c r="BF203" s="21" t="str">
        <f>""&amp;J274</f>
        <v>0</v>
      </c>
      <c r="BG203" s="21" t="b">
        <v>1</v>
      </c>
      <c r="BH203" s="21" t="b">
        <v>0</v>
      </c>
      <c r="BI203" s="21" t="str">
        <f>BE203</f>
        <v>0</v>
      </c>
      <c r="BK203" s="21" t="str">
        <f ca="1">_xlfn.FORMULATEXT(BE203)</f>
        <v>=J274</v>
      </c>
      <c r="BL203" s="21" t="str">
        <f ca="1">_xlfn.FORMULATEXT(BE203)</f>
        <v>=J274</v>
      </c>
    </row>
    <row r="204" spans="1:64" ht="14.5">
      <c r="A204" s="64" t="s">
        <v>673</v>
      </c>
      <c r="B204" s="184"/>
      <c r="C204" s="185" t="s">
        <v>638</v>
      </c>
      <c r="D204" s="186"/>
      <c r="E204" s="186"/>
      <c r="F204" s="187"/>
      <c r="G204" s="408"/>
      <c r="H204" s="407"/>
      <c r="I204" s="409"/>
      <c r="J204" s="408" t="s">
        <v>639</v>
      </c>
      <c r="K204" s="407"/>
      <c r="L204" s="409"/>
      <c r="M204" s="414"/>
      <c r="N204" s="413"/>
      <c r="O204" s="415"/>
      <c r="P204" s="64"/>
      <c r="W204" s="22"/>
      <c r="X204" s="22"/>
      <c r="Y204" s="22"/>
      <c r="AD204" s="22">
        <f>ROW()</f>
        <v>204</v>
      </c>
      <c r="AE204" s="22"/>
      <c r="AF204" s="22"/>
      <c r="AG204" s="22"/>
      <c r="AH204" s="22"/>
      <c r="AI204" s="22"/>
      <c r="AJ204" s="22"/>
      <c r="AK204" s="22"/>
      <c r="AL204" s="22"/>
      <c r="AM204" s="22"/>
      <c r="AN204" s="22"/>
      <c r="AO204" s="22"/>
      <c r="AP204" s="22"/>
      <c r="BB204" s="30" t="s">
        <v>640</v>
      </c>
      <c r="BC204" s="21" t="s">
        <v>127</v>
      </c>
      <c r="BD204" s="21" t="b">
        <v>0</v>
      </c>
      <c r="BE204" s="21">
        <f>M274</f>
        <v>0</v>
      </c>
      <c r="BF204" s="21" t="str">
        <f>""&amp;M274</f>
        <v/>
      </c>
      <c r="BG204" s="21" t="b">
        <v>1</v>
      </c>
      <c r="BH204" s="21" t="b">
        <v>0</v>
      </c>
      <c r="BI204" s="21" t="str">
        <f>BE203</f>
        <v>0</v>
      </c>
      <c r="BK204" s="21" t="str">
        <f ca="1">_xlfn.FORMULATEXT(BE204)</f>
        <v>=M274</v>
      </c>
      <c r="BL204" s="21" t="str">
        <f ca="1">_xlfn.FORMULATEXT(BE204)</f>
        <v>=M274</v>
      </c>
    </row>
    <row r="205" spans="1:64" ht="14.5">
      <c r="A205" s="64" t="s">
        <v>673</v>
      </c>
      <c r="B205" s="194"/>
      <c r="C205" s="195" t="s">
        <v>641</v>
      </c>
      <c r="D205" s="196"/>
      <c r="E205" s="196"/>
      <c r="F205" s="197"/>
      <c r="G205" s="408"/>
      <c r="H205" s="407"/>
      <c r="I205" s="409"/>
      <c r="J205" s="408" t="s">
        <v>642</v>
      </c>
      <c r="K205" s="407"/>
      <c r="L205" s="409"/>
      <c r="M205" s="414"/>
      <c r="N205" s="413"/>
      <c r="O205" s="415"/>
      <c r="P205" s="64"/>
      <c r="W205" s="22"/>
      <c r="X205" s="22"/>
      <c r="Y205" s="22"/>
      <c r="AA205" s="22"/>
      <c r="AB205" s="22"/>
      <c r="AC205" s="22"/>
      <c r="AD205" s="22">
        <f>ROW()</f>
        <v>205</v>
      </c>
      <c r="AE205" s="22"/>
      <c r="AF205" s="22"/>
      <c r="AG205" s="22"/>
      <c r="AH205" s="22"/>
      <c r="AI205" s="22"/>
      <c r="AJ205" s="22"/>
      <c r="AK205" s="22"/>
      <c r="AL205" s="22"/>
      <c r="AM205" s="22"/>
      <c r="AN205" s="22"/>
      <c r="AO205" s="22"/>
      <c r="AP205" s="22"/>
      <c r="BB205" s="30" t="s">
        <v>643</v>
      </c>
      <c r="BC205" s="21" t="s">
        <v>127</v>
      </c>
      <c r="BD205" s="21" t="b">
        <v>1</v>
      </c>
      <c r="BE205" s="21">
        <f>G276</f>
        <v>0</v>
      </c>
      <c r="BF205" s="21" t="str">
        <f>""&amp;G276</f>
        <v/>
      </c>
      <c r="BG205" s="21" t="b">
        <v>1</v>
      </c>
      <c r="BH205" s="21" t="b">
        <v>0</v>
      </c>
      <c r="BK205" s="21" t="str">
        <f ca="1">_xlfn.FORMULATEXT(BE205)</f>
        <v>=G276</v>
      </c>
      <c r="BL205" s="21" t="str">
        <f ca="1">_xlfn.FORMULATEXT(BE205)</f>
        <v>=G276</v>
      </c>
    </row>
    <row r="206" spans="1:64" ht="14.4" customHeight="1">
      <c r="A206" s="64" t="s">
        <v>673</v>
      </c>
      <c r="B206" s="194"/>
      <c r="C206" s="198" t="s">
        <v>644</v>
      </c>
      <c r="D206" s="199"/>
      <c r="E206" s="199"/>
      <c r="F206" s="200"/>
      <c r="G206" s="419"/>
      <c r="H206" s="417"/>
      <c r="I206" s="421"/>
      <c r="J206" s="419" t="s">
        <v>450</v>
      </c>
      <c r="K206" s="417"/>
      <c r="L206" s="421"/>
      <c r="M206" s="426"/>
      <c r="N206" s="424"/>
      <c r="O206" s="428"/>
      <c r="P206" s="64"/>
      <c r="W206" s="22"/>
      <c r="X206" s="22"/>
      <c r="Y206" s="22"/>
      <c r="AA206" s="22"/>
      <c r="AB206" s="22"/>
      <c r="AC206" s="22"/>
      <c r="AD206" s="22">
        <f>ROW()</f>
        <v>206</v>
      </c>
      <c r="AE206" s="22"/>
      <c r="AF206" s="22"/>
      <c r="AG206" s="22"/>
      <c r="AH206" s="22"/>
      <c r="AI206" s="22"/>
      <c r="AJ206" s="22"/>
      <c r="AK206" s="22"/>
      <c r="AL206" s="22"/>
      <c r="AM206" s="22"/>
      <c r="AN206" s="22"/>
      <c r="AO206" s="22"/>
      <c r="AP206" s="22"/>
      <c r="BB206" s="30" t="s">
        <v>645</v>
      </c>
      <c r="BC206" s="21" t="s">
        <v>127</v>
      </c>
      <c r="BD206" s="21" t="b">
        <v>1</v>
      </c>
      <c r="BE206" s="21" t="str">
        <f>J276</f>
        <v>0</v>
      </c>
      <c r="BF206" s="21" t="str">
        <f>""&amp;J276</f>
        <v>0</v>
      </c>
      <c r="BG206" s="21" t="b">
        <v>1</v>
      </c>
      <c r="BH206" s="21" t="b">
        <v>0</v>
      </c>
      <c r="BI206" s="21" t="str">
        <f>BE206</f>
        <v>0</v>
      </c>
      <c r="BK206" s="21" t="str">
        <f ca="1">_xlfn.FORMULATEXT(BE206)</f>
        <v>=J276</v>
      </c>
      <c r="BL206" s="21" t="str">
        <f ca="1">_xlfn.FORMULATEXT(BE206)</f>
        <v>=J276</v>
      </c>
    </row>
    <row r="207" spans="1:64" ht="14.4" customHeight="1" hidden="1">
      <c r="A207" s="64" t="s">
        <v>673</v>
      </c>
      <c r="B207" s="207"/>
      <c r="C207" s="208"/>
      <c r="D207" s="209"/>
      <c r="E207" s="209"/>
      <c r="F207" s="210"/>
      <c r="G207" s="420"/>
      <c r="H207" s="418"/>
      <c r="I207" s="422"/>
      <c r="J207" s="420"/>
      <c r="K207" s="418"/>
      <c r="L207" s="422"/>
      <c r="M207" s="427"/>
      <c r="N207" s="425"/>
      <c r="O207" s="429"/>
      <c r="P207" s="64"/>
      <c r="W207" s="22"/>
      <c r="X207" s="22"/>
      <c r="Y207" s="22"/>
      <c r="AA207" s="22"/>
      <c r="AB207" s="22"/>
      <c r="AC207" s="22"/>
      <c r="AD207" s="22">
        <f>ROW()</f>
        <v>207</v>
      </c>
      <c r="AE207" s="22"/>
      <c r="AF207" s="22"/>
      <c r="AG207" s="22"/>
      <c r="AH207" s="22"/>
      <c r="AI207" s="22"/>
      <c r="AJ207" s="22"/>
      <c r="AK207" s="22"/>
      <c r="AL207" s="22"/>
      <c r="AM207" s="22"/>
      <c r="AN207" s="22"/>
      <c r="AO207" s="22"/>
      <c r="AP207" s="22"/>
      <c r="BB207" s="30" t="s">
        <v>646</v>
      </c>
      <c r="BC207" s="21" t="s">
        <v>127</v>
      </c>
      <c r="BD207" s="21" t="b">
        <v>0</v>
      </c>
      <c r="BE207" s="21">
        <f>M276</f>
        <v>0</v>
      </c>
      <c r="BF207" s="21" t="str">
        <f>""&amp;M276</f>
        <v/>
      </c>
      <c r="BG207" s="21" t="b">
        <v>1</v>
      </c>
      <c r="BH207" s="21" t="b">
        <v>0</v>
      </c>
      <c r="BI207" s="21" t="str">
        <f>BE206</f>
        <v>0</v>
      </c>
      <c r="BK207" s="21" t="str">
        <f ca="1">_xlfn.FORMULATEXT(BE207)</f>
        <v>=M276</v>
      </c>
      <c r="BL207" s="21" t="str">
        <f ca="1">_xlfn.FORMULATEXT(BE207)</f>
        <v>=M276</v>
      </c>
    </row>
    <row r="208" spans="1:64" ht="14.4" customHeight="1">
      <c r="A208" s="64" t="s">
        <v>673</v>
      </c>
      <c r="B208" s="177">
        <v>2</v>
      </c>
      <c r="C208" s="217" t="s">
        <v>647</v>
      </c>
      <c r="D208" s="218"/>
      <c r="E208" s="218"/>
      <c r="F208" s="219"/>
      <c r="G208" s="419"/>
      <c r="H208" s="417"/>
      <c r="I208" s="421"/>
      <c r="J208" s="419" t="s">
        <v>450</v>
      </c>
      <c r="K208" s="417"/>
      <c r="L208" s="421"/>
      <c r="M208" s="426"/>
      <c r="N208" s="424"/>
      <c r="O208" s="428"/>
      <c r="P208" s="64"/>
      <c r="W208" s="22"/>
      <c r="X208" s="22"/>
      <c r="Y208" s="22"/>
      <c r="AA208" s="22"/>
      <c r="AB208" s="22"/>
      <c r="AC208" s="22"/>
      <c r="AD208" s="22">
        <f>ROW()</f>
        <v>208</v>
      </c>
      <c r="AE208" s="22"/>
      <c r="AF208" s="22"/>
      <c r="AG208" s="22"/>
      <c r="AH208" s="22"/>
      <c r="AI208" s="22"/>
      <c r="AJ208" s="22"/>
      <c r="AK208" s="22"/>
      <c r="AL208" s="22"/>
      <c r="AM208" s="22"/>
      <c r="AN208" s="22"/>
      <c r="AO208" s="22"/>
      <c r="AP208" s="22"/>
      <c r="BB208" s="30" t="s">
        <v>648</v>
      </c>
      <c r="BC208" s="21" t="s">
        <v>127</v>
      </c>
      <c r="BD208" s="21" t="b">
        <v>1</v>
      </c>
      <c r="BE208" s="21">
        <f>G277</f>
        <v>0</v>
      </c>
      <c r="BF208" s="21" t="str">
        <f>""&amp;G277</f>
        <v/>
      </c>
      <c r="BG208" s="21" t="b">
        <v>1</v>
      </c>
      <c r="BH208" s="21" t="b">
        <v>0</v>
      </c>
      <c r="BK208" s="21" t="str">
        <f ca="1">_xlfn.FORMULATEXT(BE208)</f>
        <v>=G277</v>
      </c>
      <c r="BL208" s="21" t="str">
        <f ca="1">_xlfn.FORMULATEXT(BE208)</f>
        <v>=G277</v>
      </c>
    </row>
    <row r="209" spans="1:64" ht="14.4" customHeight="1" hidden="1">
      <c r="A209" s="64" t="s">
        <v>673</v>
      </c>
      <c r="B209" s="181"/>
      <c r="C209" s="220"/>
      <c r="D209" s="221"/>
      <c r="E209" s="221"/>
      <c r="F209" s="222"/>
      <c r="G209" s="420"/>
      <c r="H209" s="418"/>
      <c r="I209" s="422"/>
      <c r="J209" s="420"/>
      <c r="K209" s="418"/>
      <c r="L209" s="422"/>
      <c r="M209" s="427"/>
      <c r="N209" s="425"/>
      <c r="O209" s="429"/>
      <c r="P209" s="64"/>
      <c r="W209" s="22"/>
      <c r="X209" s="22"/>
      <c r="Y209" s="22"/>
      <c r="AD209" s="22">
        <f>ROW()</f>
        <v>209</v>
      </c>
      <c r="AE209" s="22"/>
      <c r="AF209" s="22"/>
      <c r="AG209" s="22"/>
      <c r="AH209" s="22"/>
      <c r="AI209" s="22"/>
      <c r="AJ209" s="22"/>
      <c r="AK209" s="22"/>
      <c r="AL209" s="22"/>
      <c r="AM209" s="22"/>
      <c r="AN209" s="22"/>
      <c r="AO209" s="22"/>
      <c r="AP209" s="22"/>
      <c r="BB209" s="30" t="s">
        <v>649</v>
      </c>
      <c r="BC209" s="21" t="s">
        <v>127</v>
      </c>
      <c r="BD209" s="21" t="b">
        <v>1</v>
      </c>
      <c r="BE209" s="21" t="str">
        <f>J277</f>
        <v>0</v>
      </c>
      <c r="BF209" s="21" t="str">
        <f>""&amp;J277</f>
        <v>0</v>
      </c>
      <c r="BG209" s="21" t="b">
        <v>1</v>
      </c>
      <c r="BH209" s="21" t="b">
        <v>0</v>
      </c>
      <c r="BI209" s="21" t="str">
        <f>BE209</f>
        <v>0</v>
      </c>
      <c r="BK209" s="21" t="str">
        <f ca="1">_xlfn.FORMULATEXT(BE209)</f>
        <v>=J277</v>
      </c>
      <c r="BL209" s="21" t="str">
        <f ca="1">_xlfn.FORMULATEXT(BE209)</f>
        <v>=J277</v>
      </c>
    </row>
    <row r="210" spans="1:64" ht="14.4" customHeight="1">
      <c r="A210" s="64" t="s">
        <v>673</v>
      </c>
      <c r="B210" s="177">
        <v>3</v>
      </c>
      <c r="C210" s="223" t="s">
        <v>650</v>
      </c>
      <c r="D210" s="224"/>
      <c r="E210" s="224"/>
      <c r="F210" s="224"/>
      <c r="G210" s="224"/>
      <c r="H210" s="224"/>
      <c r="I210" s="224"/>
      <c r="J210" s="224"/>
      <c r="K210" s="224"/>
      <c r="L210" s="224"/>
      <c r="M210" s="224"/>
      <c r="N210" s="224"/>
      <c r="O210" s="225"/>
      <c r="P210" s="64"/>
      <c r="AA210" s="22"/>
      <c r="AB210" s="22"/>
      <c r="AC210" s="22"/>
      <c r="AD210" s="22">
        <f>ROW()</f>
        <v>210</v>
      </c>
      <c r="AE210" s="22"/>
      <c r="AF210" s="22"/>
      <c r="AG210" s="22"/>
      <c r="AH210" s="22"/>
      <c r="AI210" s="22"/>
      <c r="AJ210" s="22"/>
      <c r="AK210" s="22"/>
      <c r="AL210" s="22"/>
      <c r="AM210" s="22"/>
      <c r="AN210" s="22"/>
      <c r="AO210" s="22"/>
      <c r="AP210" s="22"/>
      <c r="BB210" s="30" t="s">
        <v>651</v>
      </c>
      <c r="BC210" s="21" t="s">
        <v>127</v>
      </c>
      <c r="BD210" s="21" t="b">
        <v>0</v>
      </c>
      <c r="BE210" s="21">
        <f>M277</f>
        <v>0</v>
      </c>
      <c r="BF210" s="21" t="str">
        <f>""&amp;M277</f>
        <v/>
      </c>
      <c r="BG210" s="21" t="b">
        <v>1</v>
      </c>
      <c r="BH210" s="21" t="b">
        <v>0</v>
      </c>
      <c r="BI210" s="21" t="str">
        <f>BE209</f>
        <v>0</v>
      </c>
      <c r="BK210" s="21" t="str">
        <f ca="1">_xlfn.FORMULATEXT(BE210)</f>
        <v>=M277</v>
      </c>
      <c r="BL210" s="21" t="str">
        <f ca="1">_xlfn.FORMULATEXT(BE210)</f>
        <v>=M277</v>
      </c>
    </row>
    <row r="211" spans="1:64" ht="14.4" customHeight="1" hidden="1">
      <c r="A211" s="64" t="s">
        <v>673</v>
      </c>
      <c r="B211" s="181"/>
      <c r="C211" s="226"/>
      <c r="D211" s="227"/>
      <c r="E211" s="227"/>
      <c r="F211" s="227"/>
      <c r="G211" s="430"/>
      <c r="H211" s="430"/>
      <c r="I211" s="430"/>
      <c r="J211" s="430"/>
      <c r="K211" s="430"/>
      <c r="L211" s="430"/>
      <c r="M211" s="430"/>
      <c r="N211" s="430"/>
      <c r="O211" s="431"/>
      <c r="P211" s="64"/>
      <c r="W211" s="22"/>
      <c r="X211" s="22"/>
      <c r="AA211" s="22"/>
      <c r="AB211" s="22"/>
      <c r="AC211" s="22"/>
      <c r="AD211" s="22">
        <f>ROW()</f>
        <v>211</v>
      </c>
      <c r="AE211" s="22"/>
      <c r="AF211" s="22"/>
      <c r="AG211" s="22"/>
      <c r="AH211" s="22"/>
      <c r="AI211" s="22"/>
      <c r="AJ211" s="22"/>
      <c r="AK211" s="22"/>
      <c r="AL211" s="22"/>
      <c r="AM211" s="22"/>
      <c r="AN211" s="22"/>
      <c r="AO211" s="22"/>
      <c r="AP211" s="22"/>
      <c r="BB211" s="30" t="s">
        <v>652</v>
      </c>
      <c r="BC211" s="21" t="s">
        <v>127</v>
      </c>
      <c r="BD211" s="21" t="b">
        <v>1</v>
      </c>
      <c r="BE211" s="21" t="str">
        <f>G278</f>
        <v>0.00</v>
      </c>
      <c r="BF211" s="21" t="str">
        <f>""&amp;G278</f>
        <v>0.00</v>
      </c>
      <c r="BG211" s="21" t="b">
        <v>0</v>
      </c>
      <c r="BH211" s="21" t="b">
        <v>0</v>
      </c>
      <c r="BK211" s="21" t="str">
        <f ca="1">_xlfn.FORMULATEXT(BE211)</f>
        <v>=G278</v>
      </c>
      <c r="BL211" s="21" t="str">
        <f ca="1">_xlfn.FORMULATEXT(BE211)</f>
        <v>=G278</v>
      </c>
    </row>
    <row r="212" spans="1:64" ht="14.5">
      <c r="A212" s="64" t="s">
        <v>673</v>
      </c>
      <c r="B212" s="184"/>
      <c r="C212" s="195" t="s">
        <v>653</v>
      </c>
      <c r="D212" s="196"/>
      <c r="E212" s="196"/>
      <c r="F212" s="197"/>
      <c r="G212" s="408"/>
      <c r="H212" s="407"/>
      <c r="I212" s="409"/>
      <c r="J212" s="408" t="s">
        <v>654</v>
      </c>
      <c r="K212" s="407"/>
      <c r="L212" s="409"/>
      <c r="M212" s="414"/>
      <c r="N212" s="413"/>
      <c r="O212" s="415"/>
      <c r="P212" s="64"/>
      <c r="W212" s="22"/>
      <c r="X212" s="22"/>
      <c r="AA212" s="22"/>
      <c r="AB212" s="22"/>
      <c r="AC212" s="22"/>
      <c r="AD212" s="22">
        <f>ROW()</f>
        <v>212</v>
      </c>
      <c r="AE212" s="22"/>
      <c r="AF212" s="22"/>
      <c r="AG212" s="22"/>
      <c r="AH212" s="22"/>
      <c r="AI212" s="22"/>
      <c r="AJ212" s="22"/>
      <c r="AK212" s="22"/>
      <c r="AL212" s="22"/>
      <c r="AM212" s="22"/>
      <c r="AN212" s="22"/>
      <c r="AO212" s="22"/>
      <c r="AP212" s="22"/>
      <c r="BB212" s="30" t="s">
        <v>655</v>
      </c>
      <c r="BC212" s="21" t="s">
        <v>127</v>
      </c>
      <c r="BD212" s="21" t="b">
        <v>1</v>
      </c>
      <c r="BE212" s="21" t="str">
        <f>J278</f>
        <v>0.00</v>
      </c>
      <c r="BF212" s="21" t="str">
        <f>""&amp;J278</f>
        <v>0.00</v>
      </c>
      <c r="BG212" s="21" t="b">
        <v>0</v>
      </c>
      <c r="BH212" s="21" t="b">
        <v>0</v>
      </c>
      <c r="BI212" s="21" t="str">
        <f>BE212</f>
        <v>0.00</v>
      </c>
      <c r="BK212" s="21" t="str">
        <f ca="1">_xlfn.FORMULATEXT(BE212)</f>
        <v>=J278</v>
      </c>
      <c r="BL212" s="21" t="str">
        <f ca="1">_xlfn.FORMULATEXT(BE212)</f>
        <v>=J278</v>
      </c>
    </row>
    <row r="213" spans="1:64" ht="15.65" customHeight="1">
      <c r="A213" s="64" t="s">
        <v>673</v>
      </c>
      <c r="B213" s="194"/>
      <c r="C213" s="195" t="s">
        <v>656</v>
      </c>
      <c r="D213" s="196"/>
      <c r="E213" s="196"/>
      <c r="F213" s="197"/>
      <c r="G213" s="408"/>
      <c r="H213" s="407"/>
      <c r="I213" s="409"/>
      <c r="J213" s="408" t="s">
        <v>450</v>
      </c>
      <c r="K213" s="407"/>
      <c r="L213" s="409"/>
      <c r="M213" s="414"/>
      <c r="N213" s="413"/>
      <c r="O213" s="415"/>
      <c r="P213" s="64"/>
      <c r="W213" s="22"/>
      <c r="X213" s="22"/>
      <c r="AA213" s="22"/>
      <c r="AB213" s="229" t="s">
        <v>657</v>
      </c>
      <c r="AC213" s="22"/>
      <c r="AD213" s="22">
        <f>ROW()</f>
        <v>213</v>
      </c>
      <c r="AE213" s="22"/>
      <c r="AF213" s="22"/>
      <c r="AG213" s="22"/>
      <c r="AH213" s="22"/>
      <c r="AI213" s="22"/>
      <c r="AJ213" s="22"/>
      <c r="AK213" s="22"/>
      <c r="AL213" s="22"/>
      <c r="AM213" s="22"/>
      <c r="AN213" s="22"/>
      <c r="AO213" s="22"/>
      <c r="AP213" s="22"/>
      <c r="BB213" s="30" t="s">
        <v>658</v>
      </c>
      <c r="BC213" s="21" t="s">
        <v>127</v>
      </c>
      <c r="BD213" s="21" t="b">
        <v>0</v>
      </c>
      <c r="BE213" s="21">
        <f>M278</f>
        <v>0</v>
      </c>
      <c r="BF213" s="21" t="str">
        <f>""&amp;M278</f>
        <v/>
      </c>
      <c r="BG213" s="21" t="b">
        <v>1</v>
      </c>
      <c r="BH213" s="21" t="b">
        <v>0</v>
      </c>
      <c r="BI213" s="21" t="str">
        <f>BE212</f>
        <v>0.00</v>
      </c>
      <c r="BK213" s="21" t="str">
        <f ca="1">_xlfn.FORMULATEXT(BE213)</f>
        <v>=M278</v>
      </c>
      <c r="BL213" s="21" t="str">
        <f ca="1">_xlfn.FORMULATEXT(BE213)</f>
        <v>=M278</v>
      </c>
    </row>
    <row r="214" spans="1:64" ht="14.5">
      <c r="A214" s="64" t="s">
        <v>673</v>
      </c>
      <c r="B214" s="194"/>
      <c r="C214" s="195" t="s">
        <v>659</v>
      </c>
      <c r="D214" s="196"/>
      <c r="E214" s="196"/>
      <c r="F214" s="197"/>
      <c r="G214" s="408"/>
      <c r="H214" s="407"/>
      <c r="I214" s="409"/>
      <c r="J214" s="408" t="s">
        <v>450</v>
      </c>
      <c r="K214" s="407"/>
      <c r="L214" s="409"/>
      <c r="M214" s="414"/>
      <c r="N214" s="413"/>
      <c r="O214" s="415"/>
      <c r="P214" s="64"/>
      <c r="W214" s="22"/>
      <c r="X214" s="22"/>
      <c r="AA214" s="22"/>
      <c r="AB214" s="22"/>
      <c r="AC214" s="22"/>
      <c r="AD214" s="22">
        <f>ROW()</f>
        <v>214</v>
      </c>
      <c r="AE214" s="22"/>
      <c r="AF214" s="22"/>
      <c r="AG214" s="22"/>
      <c r="AH214" s="22"/>
      <c r="AI214" s="22"/>
      <c r="AJ214" s="22"/>
      <c r="AK214" s="22"/>
      <c r="AL214" s="22"/>
      <c r="AM214" s="22"/>
      <c r="AN214" s="22"/>
      <c r="AO214" s="22"/>
      <c r="AP214" s="22"/>
      <c r="BB214" s="30" t="s">
        <v>660</v>
      </c>
      <c r="BC214" s="21" t="s">
        <v>127</v>
      </c>
      <c r="BD214" s="21" t="b">
        <v>1</v>
      </c>
      <c r="BE214" s="21">
        <f>G280</f>
        <v>0</v>
      </c>
      <c r="BF214" s="21" t="str">
        <f>""&amp;G280</f>
        <v/>
      </c>
      <c r="BG214" s="21" t="b">
        <v>1</v>
      </c>
      <c r="BH214" s="21" t="b">
        <v>0</v>
      </c>
      <c r="BK214" s="21" t="str">
        <f ca="1">_xlfn.FORMULATEXT(BE214)</f>
        <v>=G280</v>
      </c>
      <c r="BL214" s="21" t="str">
        <f ca="1">_xlfn.FORMULATEXT(BE214)</f>
        <v>=G280</v>
      </c>
    </row>
    <row r="215" spans="1:64" ht="14.75" customHeight="1">
      <c r="A215" s="64" t="s">
        <v>673</v>
      </c>
      <c r="B215" s="207"/>
      <c r="C215" s="195" t="s">
        <v>661</v>
      </c>
      <c r="D215" s="196"/>
      <c r="E215" s="196"/>
      <c r="F215" s="197"/>
      <c r="G215" s="408"/>
      <c r="H215" s="407"/>
      <c r="I215" s="409"/>
      <c r="J215" s="408" t="s">
        <v>450</v>
      </c>
      <c r="K215" s="407"/>
      <c r="L215" s="409"/>
      <c r="M215" s="414"/>
      <c r="N215" s="413"/>
      <c r="O215" s="415"/>
      <c r="P215" s="64"/>
      <c r="W215" s="22"/>
      <c r="X215" s="22"/>
      <c r="AA215" s="22"/>
      <c r="AB215" s="22"/>
      <c r="AC215" s="22"/>
      <c r="AD215" s="22">
        <f>ROW()</f>
        <v>215</v>
      </c>
      <c r="AE215" s="22"/>
      <c r="AF215" s="22"/>
      <c r="AG215" s="22"/>
      <c r="AH215" s="22"/>
      <c r="AI215" s="22"/>
      <c r="AJ215" s="22"/>
      <c r="AK215" s="22"/>
      <c r="AL215" s="22"/>
      <c r="AM215" s="22"/>
      <c r="AN215" s="22"/>
      <c r="AO215" s="22"/>
      <c r="AP215" s="22"/>
      <c r="BB215" s="30" t="s">
        <v>662</v>
      </c>
      <c r="BC215" s="21" t="s">
        <v>127</v>
      </c>
      <c r="BD215" s="21" t="b">
        <v>1</v>
      </c>
      <c r="BE215" s="21" t="str">
        <f>J280</f>
        <v>0</v>
      </c>
      <c r="BF215" s="21" t="str">
        <f>""&amp;J280</f>
        <v>0</v>
      </c>
      <c r="BG215" s="21" t="b">
        <v>1</v>
      </c>
      <c r="BH215" s="21" t="b">
        <v>0</v>
      </c>
      <c r="BI215" s="21" t="str">
        <f>BE215</f>
        <v>0</v>
      </c>
      <c r="BK215" s="21" t="str">
        <f ca="1">_xlfn.FORMULATEXT(BE215)</f>
        <v>=J280</v>
      </c>
      <c r="BL215" s="21" t="str">
        <f ca="1">_xlfn.FORMULATEXT(BE215)</f>
        <v>=J280</v>
      </c>
    </row>
    <row r="216" spans="1:64" ht="14.4" customHeight="1">
      <c r="A216" s="64" t="s">
        <v>673</v>
      </c>
      <c r="B216" s="177">
        <v>4</v>
      </c>
      <c r="C216" s="223" t="s">
        <v>663</v>
      </c>
      <c r="D216" s="224"/>
      <c r="E216" s="224"/>
      <c r="F216" s="224"/>
      <c r="G216" s="224"/>
      <c r="H216" s="224"/>
      <c r="I216" s="224"/>
      <c r="J216" s="224"/>
      <c r="K216" s="224"/>
      <c r="L216" s="224"/>
      <c r="M216" s="224"/>
      <c r="N216" s="224"/>
      <c r="O216" s="225"/>
      <c r="P216" s="64"/>
      <c r="W216" s="22"/>
      <c r="X216" s="22"/>
      <c r="AA216" s="22"/>
      <c r="AB216" s="22"/>
      <c r="AC216" s="22"/>
      <c r="AD216" s="22">
        <f>ROW()</f>
        <v>216</v>
      </c>
      <c r="AE216" s="22"/>
      <c r="AF216" s="22"/>
      <c r="AG216" s="22"/>
      <c r="AH216" s="22"/>
      <c r="AI216" s="22"/>
      <c r="AJ216" s="22"/>
      <c r="AK216" s="22"/>
      <c r="AL216" s="22"/>
      <c r="AM216" s="22"/>
      <c r="AN216" s="22"/>
      <c r="AO216" s="22"/>
      <c r="AP216" s="22"/>
      <c r="BB216" s="30" t="s">
        <v>664</v>
      </c>
      <c r="BC216" s="21" t="s">
        <v>127</v>
      </c>
      <c r="BD216" s="21" t="b">
        <v>0</v>
      </c>
      <c r="BE216" s="21">
        <f>M280</f>
        <v>0</v>
      </c>
      <c r="BF216" s="21" t="str">
        <f>""&amp;M280</f>
        <v/>
      </c>
      <c r="BG216" s="21" t="b">
        <v>1</v>
      </c>
      <c r="BH216" s="21" t="b">
        <v>0</v>
      </c>
      <c r="BI216" s="21" t="str">
        <f>BE215</f>
        <v>0</v>
      </c>
      <c r="BK216" s="21" t="str">
        <f ca="1">_xlfn.FORMULATEXT(BE216)</f>
        <v>=M280</v>
      </c>
      <c r="BL216" s="21" t="str">
        <f ca="1">_xlfn.FORMULATEXT(BE216)</f>
        <v>=M280</v>
      </c>
    </row>
    <row r="217" spans="1:64" ht="14.4" customHeight="1" hidden="1">
      <c r="A217" s="64" t="s">
        <v>673</v>
      </c>
      <c r="B217" s="181"/>
      <c r="C217" s="226"/>
      <c r="D217" s="227"/>
      <c r="E217" s="227"/>
      <c r="F217" s="227"/>
      <c r="G217" s="430"/>
      <c r="H217" s="430"/>
      <c r="I217" s="430"/>
      <c r="J217" s="430"/>
      <c r="K217" s="430"/>
      <c r="L217" s="430"/>
      <c r="M217" s="430"/>
      <c r="N217" s="430"/>
      <c r="O217" s="431"/>
      <c r="P217" s="64"/>
      <c r="W217" s="22"/>
      <c r="X217" s="22"/>
      <c r="AA217" s="22"/>
      <c r="AB217" s="22"/>
      <c r="AC217" s="22"/>
      <c r="AD217" s="22">
        <f>ROW()</f>
        <v>217</v>
      </c>
      <c r="AE217" s="22"/>
      <c r="AF217" s="22"/>
      <c r="AG217" s="22"/>
      <c r="AH217" s="22"/>
      <c r="AI217" s="22"/>
      <c r="AJ217" s="22"/>
      <c r="AK217" s="22"/>
      <c r="AL217" s="22"/>
      <c r="AM217" s="22"/>
      <c r="AN217" s="22"/>
      <c r="AO217" s="22"/>
      <c r="AP217" s="22"/>
      <c r="BB217" s="30" t="s">
        <v>665</v>
      </c>
      <c r="BC217" s="21" t="s">
        <v>123</v>
      </c>
      <c r="BD217" s="21" t="b">
        <v>0</v>
      </c>
      <c r="BE217" s="21" t="s">
        <v>666</v>
      </c>
      <c r="BF217" s="21" t="s">
        <v>666</v>
      </c>
      <c r="BG217" s="21" t="b">
        <v>0</v>
      </c>
      <c r="BH217" s="21" t="b">
        <v>0</v>
      </c>
      <c r="BK217" s="21" t="s">
        <v>125</v>
      </c>
      <c r="BL217" s="21" t="s">
        <v>125</v>
      </c>
    </row>
    <row r="218" spans="1:64" ht="14.5">
      <c r="A218" s="64" t="s">
        <v>673</v>
      </c>
      <c r="B218" s="184"/>
      <c r="C218" s="195" t="s">
        <v>667</v>
      </c>
      <c r="D218" s="196"/>
      <c r="E218" s="196"/>
      <c r="F218" s="197"/>
      <c r="G218" s="408"/>
      <c r="H218" s="407"/>
      <c r="I218" s="409"/>
      <c r="J218" s="408" t="s">
        <v>450</v>
      </c>
      <c r="K218" s="407"/>
      <c r="L218" s="409"/>
      <c r="M218" s="414"/>
      <c r="N218" s="413"/>
      <c r="O218" s="415"/>
      <c r="P218" s="64"/>
      <c r="W218" s="22"/>
      <c r="X218" s="22"/>
      <c r="AA218" s="22"/>
      <c r="AB218" s="22"/>
      <c r="AC218" s="22"/>
      <c r="AD218" s="22">
        <f>ROW()</f>
        <v>218</v>
      </c>
      <c r="AE218" s="22"/>
      <c r="AF218" s="22"/>
      <c r="AG218" s="22"/>
      <c r="AH218" s="22"/>
      <c r="AI218" s="22"/>
      <c r="AJ218" s="22"/>
      <c r="AK218" s="22"/>
      <c r="AL218" s="22"/>
      <c r="AM218" s="22"/>
      <c r="AN218" s="22"/>
      <c r="AO218" s="22"/>
      <c r="AP218" s="22"/>
      <c r="BB218" s="30" t="s">
        <v>668</v>
      </c>
      <c r="BC218" s="21" t="s">
        <v>123</v>
      </c>
      <c r="BD218" s="21" t="b">
        <v>0</v>
      </c>
      <c r="BE218" s="21" t="s">
        <v>669</v>
      </c>
      <c r="BF218" s="21" t="s">
        <v>669</v>
      </c>
      <c r="BG218" s="21" t="b">
        <v>1</v>
      </c>
      <c r="BH218" s="21" t="b">
        <v>0</v>
      </c>
      <c r="BK218" s="21" t="s">
        <v>125</v>
      </c>
      <c r="BL218" s="21" t="s">
        <v>125</v>
      </c>
    </row>
    <row r="219" spans="1:64" ht="14.5">
      <c r="A219" s="64" t="s">
        <v>673</v>
      </c>
      <c r="B219" s="194"/>
      <c r="C219" s="195" t="s">
        <v>670</v>
      </c>
      <c r="D219" s="196"/>
      <c r="E219" s="196"/>
      <c r="F219" s="196"/>
      <c r="G219" s="432"/>
      <c r="H219" s="432"/>
      <c r="I219" s="432"/>
      <c r="J219" s="432"/>
      <c r="K219" s="432"/>
      <c r="L219" s="432"/>
      <c r="M219" s="432"/>
      <c r="N219" s="432"/>
      <c r="O219" s="433"/>
      <c r="P219" s="64"/>
      <c r="W219" s="22"/>
      <c r="X219" s="22"/>
      <c r="AA219" s="22"/>
      <c r="AB219" s="22"/>
      <c r="AC219" s="22"/>
      <c r="AD219" s="22">
        <f>ROW()</f>
        <v>219</v>
      </c>
      <c r="AE219" s="22"/>
      <c r="AF219" s="22"/>
      <c r="AG219" s="22"/>
      <c r="AH219" s="22"/>
      <c r="AI219" s="22"/>
      <c r="AJ219" s="22"/>
      <c r="AK219" s="22"/>
      <c r="AL219" s="22"/>
      <c r="AM219" s="22"/>
      <c r="AN219" s="22"/>
      <c r="AO219" s="22"/>
      <c r="AP219" s="22"/>
      <c r="BB219" s="30" t="s">
        <v>671</v>
      </c>
      <c r="BC219" s="21" t="s">
        <v>127</v>
      </c>
      <c r="BD219" s="21" t="b">
        <v>1</v>
      </c>
      <c r="BE219" s="21">
        <f>G287</f>
        <v>0</v>
      </c>
      <c r="BF219" s="21" t="str">
        <f>""&amp;G287</f>
        <v/>
      </c>
      <c r="BG219" s="21" t="b">
        <v>1</v>
      </c>
      <c r="BH219" s="21" t="b">
        <v>0</v>
      </c>
      <c r="BK219" s="21" t="str">
        <f ca="1">_xlfn.FORMULATEXT(BE219)</f>
        <v>=G287</v>
      </c>
      <c r="BL219" s="21" t="str">
        <f ca="1">_xlfn.FORMULATEXT(BE219)</f>
        <v>=G287</v>
      </c>
    </row>
    <row r="220" spans="1:64" ht="28.25" customHeight="1">
      <c r="A220" s="64" t="s">
        <v>673</v>
      </c>
      <c r="B220" s="194"/>
      <c r="C220" s="230" t="s">
        <v>672</v>
      </c>
      <c r="D220" s="231"/>
      <c r="E220" s="231"/>
      <c r="F220" s="232"/>
      <c r="G220" s="408"/>
      <c r="H220" s="407"/>
      <c r="I220" s="409"/>
      <c r="J220" s="408" t="s">
        <v>673</v>
      </c>
      <c r="K220" s="407"/>
      <c r="L220" s="409"/>
      <c r="M220" s="414"/>
      <c r="N220" s="413"/>
      <c r="O220" s="415"/>
      <c r="P220" s="64"/>
      <c r="W220" s="22"/>
      <c r="X220" s="22"/>
      <c r="AA220" s="22"/>
      <c r="AB220" s="22"/>
      <c r="AC220" s="22"/>
      <c r="AD220" s="22">
        <f>ROW()</f>
        <v>220</v>
      </c>
      <c r="AE220" s="22"/>
      <c r="AF220" s="22"/>
      <c r="AG220" s="22"/>
      <c r="AH220" s="22"/>
      <c r="AI220" s="22"/>
      <c r="AJ220" s="22"/>
      <c r="AK220" s="22"/>
      <c r="AL220" s="22"/>
      <c r="AM220" s="22"/>
      <c r="AN220" s="22"/>
      <c r="AO220" s="22"/>
      <c r="AP220" s="22"/>
      <c r="BB220" s="30" t="s">
        <v>674</v>
      </c>
      <c r="BC220" s="21" t="s">
        <v>127</v>
      </c>
      <c r="BD220" s="21" t="b">
        <v>1</v>
      </c>
      <c r="BE220" s="21" t="str">
        <f>J287</f>
        <v>0</v>
      </c>
      <c r="BF220" s="21" t="str">
        <f>""&amp;J287</f>
        <v>0</v>
      </c>
      <c r="BG220" s="21" t="b">
        <v>1</v>
      </c>
      <c r="BH220" s="21" t="b">
        <v>0</v>
      </c>
      <c r="BI220" s="21" t="str">
        <f>BE220</f>
        <v>0</v>
      </c>
      <c r="BK220" s="21" t="str">
        <f ca="1">_xlfn.FORMULATEXT(BE220)</f>
        <v>=J287</v>
      </c>
      <c r="BL220" s="21" t="str">
        <f ca="1">_xlfn.FORMULATEXT(BE220)</f>
        <v>=J287</v>
      </c>
    </row>
    <row r="221" spans="1:64" ht="27" customHeight="1">
      <c r="A221" s="64" t="s">
        <v>673</v>
      </c>
      <c r="B221" s="194"/>
      <c r="C221" s="230" t="s">
        <v>675</v>
      </c>
      <c r="D221" s="231"/>
      <c r="E221" s="231"/>
      <c r="F221" s="232"/>
      <c r="G221" s="408"/>
      <c r="H221" s="407"/>
      <c r="I221" s="409"/>
      <c r="J221" s="408" t="s">
        <v>673</v>
      </c>
      <c r="K221" s="407"/>
      <c r="L221" s="409"/>
      <c r="M221" s="414"/>
      <c r="N221" s="413"/>
      <c r="O221" s="415"/>
      <c r="P221" s="64"/>
      <c r="W221" s="22"/>
      <c r="X221" s="22"/>
      <c r="AA221" s="22"/>
      <c r="AB221" s="22"/>
      <c r="AC221" s="22"/>
      <c r="AD221" s="22">
        <f>ROW()</f>
        <v>221</v>
      </c>
      <c r="AE221" s="22"/>
      <c r="AF221" s="22"/>
      <c r="AG221" s="22"/>
      <c r="AH221" s="22"/>
      <c r="AI221" s="22"/>
      <c r="AJ221" s="22"/>
      <c r="AK221" s="22"/>
      <c r="AL221" s="22"/>
      <c r="AM221" s="22"/>
      <c r="AN221" s="22"/>
      <c r="AO221" s="22"/>
      <c r="AP221" s="22"/>
      <c r="BB221" s="30" t="s">
        <v>676</v>
      </c>
      <c r="BC221" s="21" t="s">
        <v>127</v>
      </c>
      <c r="BD221" s="21" t="b">
        <v>0</v>
      </c>
      <c r="BE221" s="21">
        <f>M287</f>
        <v>0</v>
      </c>
      <c r="BF221" s="21" t="str">
        <f>""&amp;M287</f>
        <v/>
      </c>
      <c r="BG221" s="21" t="b">
        <v>1</v>
      </c>
      <c r="BH221" s="21" t="b">
        <v>0</v>
      </c>
      <c r="BI221" s="21" t="str">
        <f>BE220</f>
        <v>0</v>
      </c>
      <c r="BK221" s="21" t="str">
        <f ca="1">_xlfn.FORMULATEXT(BE221)</f>
        <v>=M287</v>
      </c>
      <c r="BL221" s="21" t="str">
        <f ca="1">_xlfn.FORMULATEXT(BE221)</f>
        <v>=M287</v>
      </c>
    </row>
    <row r="222" spans="1:64" ht="14.5">
      <c r="A222" s="64" t="s">
        <v>673</v>
      </c>
      <c r="B222" s="194"/>
      <c r="C222" s="195" t="s">
        <v>677</v>
      </c>
      <c r="D222" s="196"/>
      <c r="E222" s="196"/>
      <c r="F222" s="197"/>
      <c r="G222" s="408"/>
      <c r="H222" s="407"/>
      <c r="I222" s="409"/>
      <c r="J222" s="408" t="s">
        <v>678</v>
      </c>
      <c r="K222" s="407"/>
      <c r="L222" s="409"/>
      <c r="M222" s="414"/>
      <c r="N222" s="413"/>
      <c r="O222" s="415"/>
      <c r="P222" s="64"/>
      <c r="W222" s="22"/>
      <c r="X222" s="22"/>
      <c r="AA222" s="22"/>
      <c r="AB222" s="22"/>
      <c r="AC222" s="22"/>
      <c r="AD222" s="22">
        <f>ROW()</f>
        <v>222</v>
      </c>
      <c r="AE222" s="22"/>
      <c r="AF222" s="22"/>
      <c r="AG222" s="22"/>
      <c r="AH222" s="22"/>
      <c r="AI222" s="22"/>
      <c r="AJ222" s="22"/>
      <c r="AK222" s="22"/>
      <c r="AL222" s="22"/>
      <c r="AM222" s="22"/>
      <c r="AN222" s="22"/>
      <c r="AO222" s="22"/>
      <c r="AP222" s="22"/>
      <c r="BB222" s="30" t="s">
        <v>679</v>
      </c>
      <c r="BC222" s="21" t="s">
        <v>127</v>
      </c>
      <c r="BD222" s="21" t="b">
        <v>1</v>
      </c>
      <c r="BE222" s="21">
        <f>G288</f>
        <v>0</v>
      </c>
      <c r="BF222" s="21" t="str">
        <f>""&amp;G288</f>
        <v/>
      </c>
      <c r="BG222" s="21" t="b">
        <v>1</v>
      </c>
      <c r="BH222" s="21" t="b">
        <v>0</v>
      </c>
      <c r="BK222" s="21" t="str">
        <f ca="1">_xlfn.FORMULATEXT(BE222)</f>
        <v>=G288</v>
      </c>
      <c r="BL222" s="21" t="str">
        <f ca="1">_xlfn.FORMULATEXT(BE222)</f>
        <v>=G288</v>
      </c>
    </row>
    <row r="223" spans="1:64" ht="14.5">
      <c r="A223" s="64" t="s">
        <v>673</v>
      </c>
      <c r="B223" s="207"/>
      <c r="C223" s="195" t="s">
        <v>680</v>
      </c>
      <c r="D223" s="196"/>
      <c r="E223" s="196"/>
      <c r="F223" s="197"/>
      <c r="G223" s="408"/>
      <c r="H223" s="407"/>
      <c r="I223" s="409"/>
      <c r="J223" s="408" t="s">
        <v>450</v>
      </c>
      <c r="K223" s="407"/>
      <c r="L223" s="409"/>
      <c r="M223" s="414"/>
      <c r="N223" s="413"/>
      <c r="O223" s="415"/>
      <c r="P223" s="64"/>
      <c r="W223" s="22"/>
      <c r="X223" s="22"/>
      <c r="AA223" s="22"/>
      <c r="AB223" s="22"/>
      <c r="AC223" s="22"/>
      <c r="AD223" s="22">
        <f>ROW()</f>
        <v>223</v>
      </c>
      <c r="AE223" s="22"/>
      <c r="AF223" s="22"/>
      <c r="AG223" s="22"/>
      <c r="AH223" s="22"/>
      <c r="AI223" s="22"/>
      <c r="AJ223" s="22"/>
      <c r="AK223" s="22"/>
      <c r="AL223" s="22"/>
      <c r="AM223" s="22"/>
      <c r="AN223" s="22"/>
      <c r="AO223" s="22"/>
      <c r="AP223" s="22"/>
      <c r="BB223" s="30" t="s">
        <v>681</v>
      </c>
      <c r="BC223" s="21" t="s">
        <v>127</v>
      </c>
      <c r="BD223" s="21" t="b">
        <v>1</v>
      </c>
      <c r="BE223" s="21" t="str">
        <f>J288</f>
        <v>0</v>
      </c>
      <c r="BF223" s="21" t="str">
        <f>""&amp;J288</f>
        <v>0</v>
      </c>
      <c r="BG223" s="21" t="b">
        <v>1</v>
      </c>
      <c r="BH223" s="21" t="b">
        <v>0</v>
      </c>
      <c r="BI223" s="21" t="str">
        <f>BE223</f>
        <v>0</v>
      </c>
      <c r="BK223" s="21" t="str">
        <f ca="1">_xlfn.FORMULATEXT(BE223)</f>
        <v>=J288</v>
      </c>
      <c r="BL223" s="21" t="str">
        <f ca="1">_xlfn.FORMULATEXT(BE223)</f>
        <v>=J288</v>
      </c>
    </row>
    <row r="224" spans="1:64" ht="14.5">
      <c r="A224" s="64" t="s">
        <v>673</v>
      </c>
      <c r="B224" s="173"/>
      <c r="C224" s="233" t="s">
        <v>682</v>
      </c>
      <c r="D224" s="234"/>
      <c r="E224" s="234"/>
      <c r="F224" s="235"/>
      <c r="G224" s="623" t="str" cm="1">
        <f t="array" ref="G224">TEXT(SUM(_xlfn.NUMBERVALUE(G204:I209),_xlfn.NUMBERVALUE(G212:I215),_xlfn.NUMBERVALUE(G218:I223)),"0.00")</f>
        <v>0.00</v>
      </c>
      <c r="H224" s="622"/>
      <c r="I224" s="624"/>
      <c r="J224" s="623" t="str" cm="1">
        <f t="array" ref="J224">TEXT(SUM(_xlfn.NUMBERVALUE(J204:L209),_xlfn.NUMBERVALUE(J212:L215),_xlfn.NUMBERVALUE(J218:L223)),"0.00")</f>
        <v>808797.00</v>
      </c>
      <c r="K224" s="622"/>
      <c r="L224" s="624"/>
      <c r="M224" s="414"/>
      <c r="N224" s="413"/>
      <c r="O224" s="415"/>
      <c r="P224" s="64"/>
      <c r="W224" s="22"/>
      <c r="X224" s="22"/>
      <c r="AA224" s="22"/>
      <c r="AB224" s="22"/>
      <c r="AC224" s="22"/>
      <c r="AD224" s="22">
        <f>ROW()</f>
        <v>224</v>
      </c>
      <c r="AE224" s="22"/>
      <c r="AF224" s="22"/>
      <c r="AG224" s="22"/>
      <c r="AH224" s="22"/>
      <c r="AI224" s="22"/>
      <c r="AJ224" s="22"/>
      <c r="AK224" s="22"/>
      <c r="AL224" s="22"/>
      <c r="AM224" s="22"/>
      <c r="AN224" s="22"/>
      <c r="AO224" s="22"/>
      <c r="AP224" s="22"/>
      <c r="BB224" s="30" t="s">
        <v>683</v>
      </c>
      <c r="BC224" s="21" t="s">
        <v>127</v>
      </c>
      <c r="BD224" s="21" t="b">
        <v>0</v>
      </c>
      <c r="BE224" s="21">
        <f>M288</f>
        <v>0</v>
      </c>
      <c r="BF224" s="21" t="str">
        <f>""&amp;M288</f>
        <v/>
      </c>
      <c r="BG224" s="21" t="b">
        <v>1</v>
      </c>
      <c r="BH224" s="21" t="b">
        <v>0</v>
      </c>
      <c r="BI224" s="21" t="str">
        <f>BE223</f>
        <v>0</v>
      </c>
      <c r="BK224" s="21" t="str">
        <f ca="1">_xlfn.FORMULATEXT(BE224)</f>
        <v>=M288</v>
      </c>
      <c r="BL224" s="21" t="str">
        <f ca="1">_xlfn.FORMULATEXT(BE224)</f>
        <v>=M288</v>
      </c>
    </row>
    <row r="225" spans="1:64" ht="14.5">
      <c r="A225" s="64" t="s">
        <v>673</v>
      </c>
      <c r="B225" s="177" t="s">
        <v>684</v>
      </c>
      <c r="C225" s="223" t="s">
        <v>685</v>
      </c>
      <c r="D225" s="224"/>
      <c r="E225" s="224"/>
      <c r="F225" s="224"/>
      <c r="G225" s="224"/>
      <c r="H225" s="224"/>
      <c r="I225" s="224"/>
      <c r="J225" s="224"/>
      <c r="K225" s="224"/>
      <c r="L225" s="224"/>
      <c r="M225" s="224"/>
      <c r="N225" s="224"/>
      <c r="O225" s="225"/>
      <c r="P225" s="64"/>
      <c r="W225" s="22"/>
      <c r="X225" s="22"/>
      <c r="AA225" s="22"/>
      <c r="AB225" s="22"/>
      <c r="AC225" s="22"/>
      <c r="AD225" s="22">
        <f>ROW()</f>
        <v>225</v>
      </c>
      <c r="AE225" s="22"/>
      <c r="AF225" s="22"/>
      <c r="AG225" s="22"/>
      <c r="AH225" s="22"/>
      <c r="AI225" s="22"/>
      <c r="AJ225" s="22"/>
      <c r="AK225" s="22"/>
      <c r="AL225" s="22"/>
      <c r="AM225" s="22"/>
      <c r="AN225" s="22"/>
      <c r="AO225" s="22"/>
      <c r="AP225" s="22"/>
      <c r="BB225" s="30" t="s">
        <v>686</v>
      </c>
      <c r="BC225" s="21" t="s">
        <v>127</v>
      </c>
      <c r="BD225" s="21" t="b">
        <v>1</v>
      </c>
      <c r="BE225" s="21">
        <f>G290</f>
        <v>0</v>
      </c>
      <c r="BF225" s="21" t="str">
        <f>""&amp;G290</f>
        <v/>
      </c>
      <c r="BG225" s="21" t="b">
        <v>1</v>
      </c>
      <c r="BH225" s="21" t="b">
        <v>0</v>
      </c>
      <c r="BK225" s="21" t="str">
        <f ca="1">_xlfn.FORMULATEXT(BE225)</f>
        <v>=G290</v>
      </c>
      <c r="BL225" s="21" t="str">
        <f ca="1">_xlfn.FORMULATEXT(BE225)</f>
        <v>=G290</v>
      </c>
    </row>
    <row r="226" spans="1:64" ht="14.5">
      <c r="A226" s="64" t="s">
        <v>673</v>
      </c>
      <c r="B226" s="177">
        <v>1</v>
      </c>
      <c r="C226" s="223" t="s">
        <v>687</v>
      </c>
      <c r="D226" s="224"/>
      <c r="E226" s="224"/>
      <c r="F226" s="224"/>
      <c r="G226" s="224"/>
      <c r="H226" s="224"/>
      <c r="I226" s="224"/>
      <c r="J226" s="224"/>
      <c r="K226" s="224"/>
      <c r="L226" s="224"/>
      <c r="M226" s="224"/>
      <c r="N226" s="224"/>
      <c r="O226" s="225"/>
      <c r="P226" s="64"/>
      <c r="W226" s="22"/>
      <c r="X226" s="22"/>
      <c r="AA226" s="22"/>
      <c r="AB226" s="22"/>
      <c r="AC226" s="22"/>
      <c r="AD226" s="22">
        <f>ROW()</f>
        <v>226</v>
      </c>
      <c r="AE226" s="22"/>
      <c r="AF226" s="22"/>
      <c r="AG226" s="22"/>
      <c r="AH226" s="22"/>
      <c r="AI226" s="22"/>
      <c r="AJ226" s="22"/>
      <c r="AK226" s="22"/>
      <c r="AL226" s="22"/>
      <c r="AM226" s="22"/>
      <c r="AN226" s="22"/>
      <c r="AO226" s="22"/>
      <c r="AP226" s="22"/>
      <c r="BB226" s="30" t="s">
        <v>688</v>
      </c>
      <c r="BC226" s="21" t="s">
        <v>127</v>
      </c>
      <c r="BD226" s="21" t="b">
        <v>1</v>
      </c>
      <c r="BE226" s="21" t="str">
        <f>J290</f>
        <v>0</v>
      </c>
      <c r="BF226" s="21" t="str">
        <f>""&amp;J290</f>
        <v>0</v>
      </c>
      <c r="BG226" s="21" t="b">
        <v>1</v>
      </c>
      <c r="BH226" s="21" t="b">
        <v>0</v>
      </c>
      <c r="BI226" s="21" t="str">
        <f>BE226</f>
        <v>0</v>
      </c>
      <c r="BK226" s="21" t="str">
        <f ca="1">_xlfn.FORMULATEXT(BE226)</f>
        <v>=J290</v>
      </c>
      <c r="BL226" s="21" t="str">
        <f ca="1">_xlfn.FORMULATEXT(BE226)</f>
        <v>=J290</v>
      </c>
    </row>
    <row r="227" spans="1:64" ht="14.75" customHeight="1">
      <c r="A227" s="64" t="s">
        <v>673</v>
      </c>
      <c r="B227" s="184"/>
      <c r="C227" s="198" t="s">
        <v>689</v>
      </c>
      <c r="D227" s="199"/>
      <c r="E227" s="199"/>
      <c r="F227" s="199"/>
      <c r="G227" s="199"/>
      <c r="H227" s="199"/>
      <c r="I227" s="199"/>
      <c r="J227" s="199"/>
      <c r="K227" s="199"/>
      <c r="L227" s="199"/>
      <c r="M227" s="199"/>
      <c r="N227" s="199"/>
      <c r="O227" s="200"/>
      <c r="P227" s="64"/>
      <c r="W227" s="22"/>
      <c r="X227" s="22"/>
      <c r="AA227" s="22"/>
      <c r="AB227" s="22"/>
      <c r="AC227" s="22"/>
      <c r="AD227" s="22">
        <f>ROW()</f>
        <v>227</v>
      </c>
      <c r="AE227" s="22"/>
      <c r="AF227" s="22"/>
      <c r="AG227" s="22"/>
      <c r="AH227" s="22"/>
      <c r="AI227" s="22"/>
      <c r="AJ227" s="22"/>
      <c r="AK227" s="22"/>
      <c r="AL227" s="22"/>
      <c r="AM227" s="22"/>
      <c r="AN227" s="22"/>
      <c r="AO227" s="22"/>
      <c r="AP227" s="22"/>
      <c r="BB227" s="30" t="s">
        <v>690</v>
      </c>
      <c r="BC227" s="21" t="s">
        <v>127</v>
      </c>
      <c r="BD227" s="21" t="b">
        <v>0</v>
      </c>
      <c r="BE227" s="21">
        <f>M290</f>
        <v>0</v>
      </c>
      <c r="BF227" s="21" t="str">
        <f>""&amp;M290</f>
        <v/>
      </c>
      <c r="BG227" s="21" t="b">
        <v>1</v>
      </c>
      <c r="BH227" s="21" t="b">
        <v>0</v>
      </c>
      <c r="BI227" s="21" t="str">
        <f>BE226</f>
        <v>0</v>
      </c>
      <c r="BK227" s="21" t="str">
        <f ca="1">_xlfn.FORMULATEXT(BE227)</f>
        <v>=M290</v>
      </c>
      <c r="BL227" s="21" t="str">
        <f ca="1">_xlfn.FORMULATEXT(BE227)</f>
        <v>=M290</v>
      </c>
    </row>
    <row r="228" spans="1:64" ht="0.65" customHeight="1">
      <c r="A228" s="64" t="s">
        <v>673</v>
      </c>
      <c r="B228" s="194"/>
      <c r="C228" s="208"/>
      <c r="D228" s="209"/>
      <c r="E228" s="209"/>
      <c r="F228" s="209"/>
      <c r="G228" s="434"/>
      <c r="H228" s="434"/>
      <c r="I228" s="434"/>
      <c r="J228" s="434"/>
      <c r="K228" s="434"/>
      <c r="L228" s="434"/>
      <c r="M228" s="434"/>
      <c r="N228" s="434"/>
      <c r="O228" s="435"/>
      <c r="P228" s="64"/>
      <c r="W228" s="22"/>
      <c r="X228" s="22"/>
      <c r="AA228" s="22"/>
      <c r="AB228" s="22"/>
      <c r="AC228" s="22"/>
      <c r="AD228" s="22">
        <f>ROW()</f>
        <v>228</v>
      </c>
      <c r="AE228" s="22"/>
      <c r="AF228" s="22"/>
      <c r="AG228" s="22"/>
      <c r="AH228" s="22"/>
      <c r="AI228" s="22"/>
      <c r="AJ228" s="22"/>
      <c r="AK228" s="22"/>
      <c r="AL228" s="22"/>
      <c r="AM228" s="22"/>
      <c r="AN228" s="22"/>
      <c r="AO228" s="22"/>
      <c r="AP228" s="22"/>
      <c r="BB228" s="30" t="s">
        <v>691</v>
      </c>
      <c r="BC228" s="21" t="s">
        <v>127</v>
      </c>
      <c r="BD228" s="21" t="b">
        <v>1</v>
      </c>
      <c r="BE228" s="21" t="str">
        <f>G291</f>
        <v>0.00</v>
      </c>
      <c r="BF228" s="21" t="str">
        <f>""&amp;G291</f>
        <v>0.00</v>
      </c>
      <c r="BG228" s="21" t="b">
        <v>0</v>
      </c>
      <c r="BH228" s="21" t="b">
        <v>0</v>
      </c>
      <c r="BK228" s="21" t="str">
        <f ca="1">_xlfn.FORMULATEXT(BE228)</f>
        <v>=G291</v>
      </c>
      <c r="BL228" s="21" t="str">
        <f ca="1">_xlfn.FORMULATEXT(BE228)</f>
        <v>=G291</v>
      </c>
    </row>
    <row r="229" spans="1:64" ht="14" customHeight="1">
      <c r="A229" s="64" t="s">
        <v>673</v>
      </c>
      <c r="B229" s="194"/>
      <c r="C229" s="198" t="s">
        <v>692</v>
      </c>
      <c r="D229" s="199"/>
      <c r="E229" s="199"/>
      <c r="F229" s="200"/>
      <c r="G229" s="419"/>
      <c r="H229" s="417"/>
      <c r="I229" s="421"/>
      <c r="J229" s="419" t="s">
        <v>450</v>
      </c>
      <c r="K229" s="417"/>
      <c r="L229" s="421"/>
      <c r="M229" s="426"/>
      <c r="N229" s="424"/>
      <c r="O229" s="428"/>
      <c r="P229" s="64"/>
      <c r="W229" s="22"/>
      <c r="X229" s="22"/>
      <c r="AA229" s="22"/>
      <c r="AB229" s="22"/>
      <c r="AC229" s="22"/>
      <c r="AD229" s="22">
        <f>ROW()</f>
        <v>229</v>
      </c>
      <c r="AE229" s="22"/>
      <c r="AF229" s="22"/>
      <c r="AG229" s="22"/>
      <c r="AH229" s="22"/>
      <c r="AI229" s="22"/>
      <c r="AJ229" s="22"/>
      <c r="AK229" s="22"/>
      <c r="AL229" s="22"/>
      <c r="AM229" s="22"/>
      <c r="AN229" s="22"/>
      <c r="AO229" s="22"/>
      <c r="AP229" s="22"/>
      <c r="BB229" s="30" t="s">
        <v>693</v>
      </c>
      <c r="BC229" s="21" t="s">
        <v>127</v>
      </c>
      <c r="BD229" s="21" t="b">
        <v>1</v>
      </c>
      <c r="BE229" s="21" t="str">
        <f>J291</f>
        <v>0.00</v>
      </c>
      <c r="BF229" s="21" t="str">
        <f>""&amp;J291</f>
        <v>0.00</v>
      </c>
      <c r="BG229" s="21" t="b">
        <v>0</v>
      </c>
      <c r="BH229" s="21" t="b">
        <v>0</v>
      </c>
      <c r="BI229" s="21" t="str">
        <f>BE229</f>
        <v>0.00</v>
      </c>
      <c r="BK229" s="21" t="str">
        <f ca="1">_xlfn.FORMULATEXT(BE229)</f>
        <v>=J291</v>
      </c>
      <c r="BL229" s="21" t="str">
        <f ca="1">_xlfn.FORMULATEXT(BE229)</f>
        <v>=J291</v>
      </c>
    </row>
    <row r="230" spans="1:64" ht="1.25" customHeight="1" hidden="1">
      <c r="A230" s="64" t="s">
        <v>673</v>
      </c>
      <c r="B230" s="194"/>
      <c r="C230" s="208"/>
      <c r="D230" s="209"/>
      <c r="E230" s="209"/>
      <c r="F230" s="210"/>
      <c r="G230" s="420"/>
      <c r="H230" s="418"/>
      <c r="I230" s="422"/>
      <c r="J230" s="420"/>
      <c r="K230" s="418"/>
      <c r="L230" s="422"/>
      <c r="M230" s="427"/>
      <c r="N230" s="425"/>
      <c r="O230" s="429"/>
      <c r="P230" s="64"/>
      <c r="W230" s="22"/>
      <c r="X230" s="22"/>
      <c r="AA230" s="22"/>
      <c r="AB230" s="22"/>
      <c r="AC230" s="22"/>
      <c r="AD230" s="22">
        <f>ROW()</f>
        <v>230</v>
      </c>
      <c r="AE230" s="22"/>
      <c r="AF230" s="22"/>
      <c r="AG230" s="22"/>
      <c r="AH230" s="22"/>
      <c r="AI230" s="22"/>
      <c r="AJ230" s="22"/>
      <c r="AK230" s="22"/>
      <c r="AL230" s="22"/>
      <c r="AM230" s="22"/>
      <c r="AN230" s="22"/>
      <c r="AO230" s="22"/>
      <c r="AP230" s="22"/>
      <c r="BB230" s="30" t="s">
        <v>694</v>
      </c>
      <c r="BC230" s="21" t="s">
        <v>127</v>
      </c>
      <c r="BD230" s="21" t="b">
        <v>0</v>
      </c>
      <c r="BE230" s="21">
        <f>M291</f>
        <v>0</v>
      </c>
      <c r="BF230" s="21" t="str">
        <f>""&amp;M291</f>
        <v/>
      </c>
      <c r="BG230" s="21" t="b">
        <v>1</v>
      </c>
      <c r="BH230" s="21" t="b">
        <v>0</v>
      </c>
      <c r="BI230" s="21" t="str">
        <f>BE229</f>
        <v>0.00</v>
      </c>
      <c r="BK230" s="21" t="str">
        <f ca="1">_xlfn.FORMULATEXT(BE230)</f>
        <v>=M291</v>
      </c>
      <c r="BL230" s="21" t="str">
        <f ca="1">_xlfn.FORMULATEXT(BE230)</f>
        <v>=M291</v>
      </c>
    </row>
    <row r="231" spans="1:64" ht="14.5">
      <c r="A231" s="64" t="s">
        <v>673</v>
      </c>
      <c r="B231" s="194"/>
      <c r="C231" s="236" t="s">
        <v>695</v>
      </c>
      <c r="D231" s="237"/>
      <c r="E231" s="237"/>
      <c r="F231" s="238"/>
      <c r="G231" s="408"/>
      <c r="H231" s="407"/>
      <c r="I231" s="409"/>
      <c r="J231" s="408" t="s">
        <v>450</v>
      </c>
      <c r="K231" s="407"/>
      <c r="L231" s="409"/>
      <c r="M231" s="414"/>
      <c r="N231" s="413"/>
      <c r="O231" s="415"/>
      <c r="P231" s="64"/>
      <c r="W231" s="22"/>
      <c r="X231" s="22"/>
      <c r="AA231" s="22"/>
      <c r="AB231" s="22"/>
      <c r="AC231" s="22"/>
      <c r="AD231" s="22">
        <f>ROW()</f>
        <v>231</v>
      </c>
      <c r="AE231" s="22"/>
      <c r="AF231" s="22"/>
      <c r="AG231" s="22"/>
      <c r="AH231" s="22"/>
      <c r="AI231" s="22"/>
      <c r="AJ231" s="22"/>
      <c r="AK231" s="22"/>
      <c r="AL231" s="22"/>
      <c r="AM231" s="22"/>
      <c r="AN231" s="22"/>
      <c r="AO231" s="22"/>
      <c r="AP231" s="22"/>
      <c r="BB231" s="30" t="s">
        <v>696</v>
      </c>
      <c r="BC231" s="21" t="s">
        <v>127</v>
      </c>
      <c r="BD231" s="21" t="b">
        <v>1</v>
      </c>
      <c r="BE231" s="21">
        <f>G294</f>
        <v>0</v>
      </c>
      <c r="BF231" s="21" t="str">
        <f>""&amp;G294</f>
        <v/>
      </c>
      <c r="BG231" s="21" t="b">
        <v>1</v>
      </c>
      <c r="BH231" s="21" t="b">
        <v>0</v>
      </c>
      <c r="BK231" s="21" t="str">
        <f ca="1">_xlfn.FORMULATEXT(BE231)</f>
        <v>=G294</v>
      </c>
      <c r="BL231" s="21" t="str">
        <f ca="1">_xlfn.FORMULATEXT(BE231)</f>
        <v>=G294</v>
      </c>
    </row>
    <row r="232" spans="1:64" ht="14.5">
      <c r="A232" s="64" t="s">
        <v>673</v>
      </c>
      <c r="B232" s="194"/>
      <c r="C232" s="236" t="s">
        <v>697</v>
      </c>
      <c r="D232" s="237"/>
      <c r="E232" s="237"/>
      <c r="F232" s="238"/>
      <c r="G232" s="408"/>
      <c r="H232" s="407"/>
      <c r="I232" s="409"/>
      <c r="J232" s="408" t="s">
        <v>698</v>
      </c>
      <c r="K232" s="407"/>
      <c r="L232" s="409"/>
      <c r="M232" s="414"/>
      <c r="N232" s="413"/>
      <c r="O232" s="415"/>
      <c r="P232" s="64"/>
      <c r="W232" s="22"/>
      <c r="X232" s="22"/>
      <c r="AA232" s="22"/>
      <c r="AB232" s="22"/>
      <c r="AC232" s="22"/>
      <c r="AD232" s="22">
        <f>ROW()</f>
        <v>232</v>
      </c>
      <c r="AE232" s="22"/>
      <c r="AF232" s="22"/>
      <c r="AG232" s="22"/>
      <c r="AH232" s="22"/>
      <c r="AI232" s="22"/>
      <c r="AJ232" s="22"/>
      <c r="AK232" s="22"/>
      <c r="AL232" s="22"/>
      <c r="AM232" s="22"/>
      <c r="AN232" s="22"/>
      <c r="AO232" s="22"/>
      <c r="AP232" s="22"/>
      <c r="BB232" s="30" t="s">
        <v>699</v>
      </c>
      <c r="BC232" s="21" t="s">
        <v>127</v>
      </c>
      <c r="BD232" s="21" t="b">
        <v>1</v>
      </c>
      <c r="BE232" s="21" t="str">
        <f>J294</f>
        <v>0</v>
      </c>
      <c r="BF232" s="21" t="str">
        <f>""&amp;J294</f>
        <v>0</v>
      </c>
      <c r="BG232" s="21" t="b">
        <v>1</v>
      </c>
      <c r="BH232" s="21" t="b">
        <v>0</v>
      </c>
      <c r="BI232" s="21" t="str">
        <f>BE232</f>
        <v>0</v>
      </c>
      <c r="BK232" s="21" t="str">
        <f ca="1">_xlfn.FORMULATEXT(BE232)</f>
        <v>=J294</v>
      </c>
      <c r="BL232" s="21" t="str">
        <f ca="1">_xlfn.FORMULATEXT(BE232)</f>
        <v>=J294</v>
      </c>
    </row>
    <row r="233" spans="1:64" ht="14.5">
      <c r="A233" s="64" t="s">
        <v>673</v>
      </c>
      <c r="B233" s="194"/>
      <c r="C233" s="198" t="s">
        <v>700</v>
      </c>
      <c r="D233" s="199"/>
      <c r="E233" s="199"/>
      <c r="F233" s="200"/>
      <c r="G233" s="408"/>
      <c r="H233" s="407"/>
      <c r="I233" s="409"/>
      <c r="J233" s="408" t="s">
        <v>450</v>
      </c>
      <c r="K233" s="407"/>
      <c r="L233" s="409"/>
      <c r="M233" s="414"/>
      <c r="N233" s="413"/>
      <c r="O233" s="415"/>
      <c r="P233" s="64"/>
      <c r="W233" s="22"/>
      <c r="X233" s="22"/>
      <c r="AA233" s="22"/>
      <c r="AB233" s="22"/>
      <c r="AC233" s="22"/>
      <c r="AD233" s="22">
        <f>ROW()</f>
        <v>233</v>
      </c>
      <c r="AE233" s="22"/>
      <c r="AF233" s="22"/>
      <c r="AG233" s="22"/>
      <c r="AH233" s="22"/>
      <c r="AI233" s="22"/>
      <c r="AJ233" s="22"/>
      <c r="AK233" s="22"/>
      <c r="AL233" s="22"/>
      <c r="AM233" s="22"/>
      <c r="AN233" s="22"/>
      <c r="AO233" s="22"/>
      <c r="AP233" s="22"/>
      <c r="BB233" s="30" t="s">
        <v>701</v>
      </c>
      <c r="BC233" s="21" t="s">
        <v>127</v>
      </c>
      <c r="BD233" s="21" t="b">
        <v>0</v>
      </c>
      <c r="BE233" s="21">
        <f>M294</f>
        <v>0</v>
      </c>
      <c r="BF233" s="21" t="str">
        <f>""&amp;M294</f>
        <v/>
      </c>
      <c r="BG233" s="21" t="b">
        <v>1</v>
      </c>
      <c r="BH233" s="21" t="b">
        <v>0</v>
      </c>
      <c r="BI233" s="21" t="str">
        <f>BE232</f>
        <v>0</v>
      </c>
      <c r="BK233" s="21" t="str">
        <f ca="1">_xlfn.FORMULATEXT(BE233)</f>
        <v>=M294</v>
      </c>
      <c r="BL233" s="21" t="str">
        <f ca="1">_xlfn.FORMULATEXT(BE233)</f>
        <v>=M294</v>
      </c>
    </row>
    <row r="234" spans="1:64" ht="14.75" customHeight="1">
      <c r="A234" s="64" t="s">
        <v>673</v>
      </c>
      <c r="B234" s="194"/>
      <c r="C234" s="236" t="s">
        <v>702</v>
      </c>
      <c r="D234" s="237"/>
      <c r="E234" s="237"/>
      <c r="F234" s="238"/>
      <c r="G234" s="439"/>
      <c r="H234" s="438"/>
      <c r="I234" s="409"/>
      <c r="J234" s="439" t="s">
        <v>450</v>
      </c>
      <c r="K234" s="438"/>
      <c r="L234" s="409"/>
      <c r="M234" s="414"/>
      <c r="N234" s="413"/>
      <c r="O234" s="415"/>
      <c r="P234" s="64"/>
      <c r="W234" s="22"/>
      <c r="X234" s="22"/>
      <c r="AA234" s="22"/>
      <c r="AB234" s="22"/>
      <c r="AC234" s="22"/>
      <c r="AD234" s="22">
        <f>ROW()</f>
        <v>234</v>
      </c>
      <c r="AE234" s="22"/>
      <c r="AF234" s="22"/>
      <c r="AG234" s="22"/>
      <c r="AH234" s="22"/>
      <c r="AI234" s="22"/>
      <c r="AJ234" s="22"/>
      <c r="AK234" s="22"/>
      <c r="AL234" s="22"/>
      <c r="AM234" s="22"/>
      <c r="AN234" s="22"/>
      <c r="AO234" s="22"/>
      <c r="AP234" s="22"/>
      <c r="BB234" s="30" t="s">
        <v>703</v>
      </c>
      <c r="BC234" s="21" t="s">
        <v>127</v>
      </c>
      <c r="BD234" s="21" t="b">
        <v>1</v>
      </c>
      <c r="BE234" s="21">
        <f>G295</f>
        <v>0</v>
      </c>
      <c r="BF234" s="21" t="str">
        <f>""&amp;G295</f>
        <v/>
      </c>
      <c r="BG234" s="21" t="b">
        <v>1</v>
      </c>
      <c r="BH234" s="21" t="b">
        <v>0</v>
      </c>
      <c r="BK234" s="21" t="str">
        <f ca="1">_xlfn.FORMULATEXT(BE234)</f>
        <v>=G295</v>
      </c>
      <c r="BL234" s="21" t="str">
        <f ca="1">_xlfn.FORMULATEXT(BE234)</f>
        <v>=G295</v>
      </c>
    </row>
    <row r="235" spans="1:64" ht="14.5">
      <c r="A235" s="64" t="s">
        <v>673</v>
      </c>
      <c r="B235" s="194"/>
      <c r="C235" s="236" t="s">
        <v>704</v>
      </c>
      <c r="D235" s="237"/>
      <c r="E235" s="237"/>
      <c r="F235" s="238"/>
      <c r="G235" s="439"/>
      <c r="H235" s="438"/>
      <c r="I235" s="409"/>
      <c r="J235" s="439" t="s">
        <v>705</v>
      </c>
      <c r="K235" s="438"/>
      <c r="L235" s="409"/>
      <c r="M235" s="414"/>
      <c r="N235" s="413"/>
      <c r="O235" s="415"/>
      <c r="P235" s="64"/>
      <c r="W235" s="22"/>
      <c r="X235" s="22"/>
      <c r="AA235" s="22"/>
      <c r="AB235" s="22"/>
      <c r="AC235" s="22"/>
      <c r="AD235" s="22">
        <f>ROW()</f>
        <v>235</v>
      </c>
      <c r="AE235" s="22"/>
      <c r="AF235" s="22"/>
      <c r="AG235" s="22"/>
      <c r="AH235" s="22"/>
      <c r="AI235" s="22"/>
      <c r="AJ235" s="22"/>
      <c r="AK235" s="22"/>
      <c r="AL235" s="22"/>
      <c r="AM235" s="22"/>
      <c r="AN235" s="22"/>
      <c r="AO235" s="22"/>
      <c r="AP235" s="22"/>
      <c r="BB235" s="30" t="s">
        <v>706</v>
      </c>
      <c r="BC235" s="21" t="s">
        <v>127</v>
      </c>
      <c r="BD235" s="21" t="b">
        <v>1</v>
      </c>
      <c r="BE235" s="21" t="str">
        <f>J295</f>
        <v>0</v>
      </c>
      <c r="BF235" s="21" t="str">
        <f>""&amp;J295</f>
        <v>0</v>
      </c>
      <c r="BG235" s="21" t="b">
        <v>1</v>
      </c>
      <c r="BH235" s="21" t="b">
        <v>0</v>
      </c>
      <c r="BI235" s="21" t="str">
        <f>BE235</f>
        <v>0</v>
      </c>
      <c r="BK235" s="21" t="str">
        <f ca="1">_xlfn.FORMULATEXT(BE235)</f>
        <v>=J295</v>
      </c>
      <c r="BL235" s="21" t="str">
        <f ca="1">_xlfn.FORMULATEXT(BE235)</f>
        <v>=J295</v>
      </c>
    </row>
    <row r="236" spans="1:64" ht="14.5">
      <c r="A236" s="64" t="s">
        <v>673</v>
      </c>
      <c r="B236" s="194"/>
      <c r="C236" s="236" t="s">
        <v>707</v>
      </c>
      <c r="D236" s="237"/>
      <c r="E236" s="237"/>
      <c r="F236" s="238"/>
      <c r="G236" s="439"/>
      <c r="H236" s="438"/>
      <c r="I236" s="409"/>
      <c r="J236" s="439" t="s">
        <v>450</v>
      </c>
      <c r="K236" s="438"/>
      <c r="L236" s="409"/>
      <c r="M236" s="414"/>
      <c r="N236" s="413"/>
      <c r="O236" s="415"/>
      <c r="P236" s="64"/>
      <c r="W236" s="22"/>
      <c r="X236" s="22"/>
      <c r="AA236" s="22"/>
      <c r="AB236" s="22"/>
      <c r="AC236" s="22"/>
      <c r="AD236" s="22">
        <f>ROW()</f>
        <v>236</v>
      </c>
      <c r="AE236" s="22"/>
      <c r="AF236" s="22"/>
      <c r="AG236" s="22"/>
      <c r="AH236" s="22"/>
      <c r="AI236" s="22"/>
      <c r="AJ236" s="22"/>
      <c r="AK236" s="22"/>
      <c r="AL236" s="22"/>
      <c r="AM236" s="22"/>
      <c r="AN236" s="22"/>
      <c r="AO236" s="22"/>
      <c r="AP236" s="22"/>
      <c r="BB236" s="30" t="s">
        <v>708</v>
      </c>
      <c r="BC236" s="21" t="s">
        <v>127</v>
      </c>
      <c r="BD236" s="21" t="b">
        <v>0</v>
      </c>
      <c r="BE236" s="21">
        <f>M295</f>
        <v>0</v>
      </c>
      <c r="BF236" s="21" t="str">
        <f>""&amp;M295</f>
        <v/>
      </c>
      <c r="BG236" s="21" t="b">
        <v>1</v>
      </c>
      <c r="BH236" s="21" t="b">
        <v>0</v>
      </c>
      <c r="BI236" s="21" t="str">
        <f>BE235</f>
        <v>0</v>
      </c>
      <c r="BK236" s="21" t="str">
        <f ca="1">_xlfn.FORMULATEXT(BE236)</f>
        <v>=M295</v>
      </c>
      <c r="BL236" s="21" t="str">
        <f ca="1">_xlfn.FORMULATEXT(BE236)</f>
        <v>=M295</v>
      </c>
    </row>
    <row r="237" spans="1:64" ht="14.5">
      <c r="A237" s="64" t="s">
        <v>673</v>
      </c>
      <c r="B237" s="207"/>
      <c r="C237" s="236" t="s">
        <v>709</v>
      </c>
      <c r="D237" s="237"/>
      <c r="E237" s="237"/>
      <c r="F237" s="238"/>
      <c r="G237" s="439"/>
      <c r="H237" s="438"/>
      <c r="I237" s="409"/>
      <c r="J237" s="439" t="s">
        <v>450</v>
      </c>
      <c r="K237" s="438"/>
      <c r="L237" s="409"/>
      <c r="M237" s="414"/>
      <c r="N237" s="413"/>
      <c r="O237" s="415"/>
      <c r="P237" s="64"/>
      <c r="W237" s="22"/>
      <c r="X237" s="22"/>
      <c r="AA237" s="22"/>
      <c r="AB237" s="22"/>
      <c r="AC237" s="22"/>
      <c r="AD237" s="22">
        <f>ROW()</f>
        <v>237</v>
      </c>
      <c r="AE237" s="22"/>
      <c r="AF237" s="22"/>
      <c r="AG237" s="22"/>
      <c r="AH237" s="22"/>
      <c r="AI237" s="22"/>
      <c r="AJ237" s="22"/>
      <c r="AK237" s="22"/>
      <c r="AL237" s="22"/>
      <c r="AM237" s="22"/>
      <c r="AN237" s="22"/>
      <c r="AO237" s="22"/>
      <c r="AP237" s="22"/>
      <c r="BB237" s="30" t="s">
        <v>710</v>
      </c>
      <c r="BC237" s="21" t="s">
        <v>127</v>
      </c>
      <c r="BD237" s="21" t="b">
        <v>1</v>
      </c>
      <c r="BE237" s="21" t="str">
        <f>G296</f>
        <v>0.00</v>
      </c>
      <c r="BF237" s="21" t="str">
        <f>""&amp;G296</f>
        <v>0.00</v>
      </c>
      <c r="BG237" s="21" t="b">
        <v>0</v>
      </c>
      <c r="BH237" s="21" t="b">
        <v>0</v>
      </c>
      <c r="BK237" s="21" t="str">
        <f ca="1">_xlfn.FORMULATEXT(BE237)</f>
        <v>=G296</v>
      </c>
      <c r="BL237" s="21" t="str">
        <f ca="1">_xlfn.FORMULATEXT(BE237)</f>
        <v>=G296</v>
      </c>
    </row>
    <row r="238" spans="1:64" ht="14.5">
      <c r="A238" s="64" t="s">
        <v>673</v>
      </c>
      <c r="B238" s="177">
        <v>2</v>
      </c>
      <c r="C238" s="223" t="s">
        <v>711</v>
      </c>
      <c r="D238" s="224"/>
      <c r="E238" s="224"/>
      <c r="F238" s="224"/>
      <c r="G238" s="440"/>
      <c r="H238" s="440"/>
      <c r="I238" s="440"/>
      <c r="J238" s="440"/>
      <c r="K238" s="440"/>
      <c r="L238" s="440"/>
      <c r="M238" s="440"/>
      <c r="N238" s="440"/>
      <c r="O238" s="441"/>
      <c r="P238" s="64"/>
      <c r="W238" s="22"/>
      <c r="X238" s="22"/>
      <c r="AA238" s="22"/>
      <c r="AB238" s="22"/>
      <c r="AC238" s="22"/>
      <c r="AD238" s="22">
        <f>ROW()</f>
        <v>238</v>
      </c>
      <c r="AE238" s="22"/>
      <c r="AF238" s="22"/>
      <c r="AG238" s="22"/>
      <c r="AH238" s="22"/>
      <c r="AI238" s="22"/>
      <c r="AJ238" s="22"/>
      <c r="AK238" s="22"/>
      <c r="AL238" s="22"/>
      <c r="AM238" s="22"/>
      <c r="AN238" s="22"/>
      <c r="AO238" s="22"/>
      <c r="AP238" s="22"/>
      <c r="BB238" s="30" t="s">
        <v>712</v>
      </c>
      <c r="BC238" s="21" t="s">
        <v>127</v>
      </c>
      <c r="BD238" s="21" t="b">
        <v>1</v>
      </c>
      <c r="BE238" s="21" t="str">
        <f>J296</f>
        <v>0.00</v>
      </c>
      <c r="BF238" s="21" t="str">
        <f>""&amp;J296</f>
        <v>0.00</v>
      </c>
      <c r="BG238" s="21" t="b">
        <v>0</v>
      </c>
      <c r="BH238" s="21" t="b">
        <v>0</v>
      </c>
      <c r="BI238" s="21" t="str">
        <f>BE238</f>
        <v>0.00</v>
      </c>
      <c r="BK238" s="21" t="str">
        <f ca="1">_xlfn.FORMULATEXT(BE238)</f>
        <v>=J296</v>
      </c>
      <c r="BL238" s="21" t="str">
        <f ca="1">_xlfn.FORMULATEXT(BE238)</f>
        <v>=J296</v>
      </c>
    </row>
    <row r="239" spans="1:64" ht="14.5">
      <c r="A239" s="64" t="s">
        <v>673</v>
      </c>
      <c r="B239" s="184"/>
      <c r="C239" s="236" t="s">
        <v>713</v>
      </c>
      <c r="D239" s="237"/>
      <c r="E239" s="237"/>
      <c r="F239" s="238"/>
      <c r="G239" s="439"/>
      <c r="H239" s="438"/>
      <c r="I239" s="409"/>
      <c r="J239" s="439" t="s">
        <v>450</v>
      </c>
      <c r="K239" s="438"/>
      <c r="L239" s="409"/>
      <c r="M239" s="414"/>
      <c r="N239" s="413"/>
      <c r="O239" s="415"/>
      <c r="P239" s="64"/>
      <c r="W239" s="22"/>
      <c r="X239" s="22"/>
      <c r="AA239" s="22"/>
      <c r="AB239" s="22"/>
      <c r="AC239" s="22"/>
      <c r="AD239" s="22">
        <f>ROW()</f>
        <v>239</v>
      </c>
      <c r="AE239" s="22"/>
      <c r="AF239" s="22"/>
      <c r="AG239" s="22"/>
      <c r="AH239" s="22"/>
      <c r="AI239" s="22"/>
      <c r="AJ239" s="22"/>
      <c r="AK239" s="22"/>
      <c r="AL239" s="22"/>
      <c r="AM239" s="22"/>
      <c r="AN239" s="22"/>
      <c r="AO239" s="22"/>
      <c r="AP239" s="22"/>
      <c r="BB239" s="30" t="s">
        <v>714</v>
      </c>
      <c r="BC239" s="21" t="s">
        <v>127</v>
      </c>
      <c r="BD239" s="21" t="b">
        <v>0</v>
      </c>
      <c r="BE239" s="21">
        <f>M296</f>
        <v>0</v>
      </c>
      <c r="BF239" s="21" t="str">
        <f>""&amp;M296</f>
        <v/>
      </c>
      <c r="BG239" s="21" t="b">
        <v>1</v>
      </c>
      <c r="BH239" s="21" t="b">
        <v>0</v>
      </c>
      <c r="BI239" s="21" t="str">
        <f>BE238</f>
        <v>0.00</v>
      </c>
      <c r="BK239" s="21" t="str">
        <f ca="1">_xlfn.FORMULATEXT(BE239)</f>
        <v>=M296</v>
      </c>
      <c r="BL239" s="21" t="str">
        <f ca="1">_xlfn.FORMULATEXT(BE239)</f>
        <v>=M296</v>
      </c>
    </row>
    <row r="240" spans="1:64" ht="14.5">
      <c r="A240" s="64" t="s">
        <v>673</v>
      </c>
      <c r="B240" s="194"/>
      <c r="C240" s="236" t="s">
        <v>715</v>
      </c>
      <c r="D240" s="237"/>
      <c r="E240" s="237"/>
      <c r="F240" s="238"/>
      <c r="G240" s="439"/>
      <c r="H240" s="438"/>
      <c r="I240" s="409"/>
      <c r="J240" s="439" t="s">
        <v>450</v>
      </c>
      <c r="K240" s="438"/>
      <c r="L240" s="409"/>
      <c r="M240" s="414"/>
      <c r="N240" s="413"/>
      <c r="O240" s="415"/>
      <c r="P240" s="64"/>
      <c r="W240" s="22"/>
      <c r="X240" s="22"/>
      <c r="AA240" s="22"/>
      <c r="AB240" s="22"/>
      <c r="AC240" s="22"/>
      <c r="AD240" s="22">
        <f>ROW()</f>
        <v>240</v>
      </c>
      <c r="AE240" s="22"/>
      <c r="AF240" s="22"/>
      <c r="AG240" s="22"/>
      <c r="AH240" s="22"/>
      <c r="AI240" s="22"/>
      <c r="AJ240" s="22"/>
      <c r="AK240" s="22"/>
      <c r="AL240" s="22"/>
      <c r="AM240" s="22"/>
      <c r="AN240" s="22"/>
      <c r="AO240" s="22"/>
      <c r="AP240" s="22"/>
      <c r="BB240" s="30" t="s">
        <v>716</v>
      </c>
      <c r="BC240" s="21" t="s">
        <v>127</v>
      </c>
      <c r="BD240" s="21" t="b">
        <v>1</v>
      </c>
      <c r="BE240" s="21">
        <f>G298</f>
        <v>0</v>
      </c>
      <c r="BF240" s="21" t="str">
        <f>""&amp;G298</f>
        <v/>
      </c>
      <c r="BG240" s="21" t="b">
        <v>1</v>
      </c>
      <c r="BH240" s="21" t="b">
        <v>0</v>
      </c>
      <c r="BK240" s="21" t="str">
        <f ca="1">_xlfn.FORMULATEXT(BE240)</f>
        <v>=G298</v>
      </c>
      <c r="BL240" s="21" t="str">
        <f ca="1">_xlfn.FORMULATEXT(BE240)</f>
        <v>=G298</v>
      </c>
    </row>
    <row r="241" spans="1:64" ht="14.5">
      <c r="A241" s="64" t="s">
        <v>673</v>
      </c>
      <c r="B241" s="194"/>
      <c r="C241" s="236" t="s">
        <v>717</v>
      </c>
      <c r="D241" s="237"/>
      <c r="E241" s="237"/>
      <c r="F241" s="238"/>
      <c r="G241" s="439"/>
      <c r="H241" s="438"/>
      <c r="I241" s="409"/>
      <c r="J241" s="439" t="s">
        <v>450</v>
      </c>
      <c r="K241" s="438"/>
      <c r="L241" s="409"/>
      <c r="M241" s="414"/>
      <c r="N241" s="413"/>
      <c r="O241" s="415"/>
      <c r="P241" s="64"/>
      <c r="W241" s="22"/>
      <c r="X241" s="22"/>
      <c r="AA241" s="22"/>
      <c r="AB241" s="22"/>
      <c r="AC241" s="22"/>
      <c r="AD241" s="22">
        <f>ROW()</f>
        <v>241</v>
      </c>
      <c r="AE241" s="22"/>
      <c r="AF241" s="22"/>
      <c r="AG241" s="22"/>
      <c r="AH241" s="22"/>
      <c r="AI241" s="22"/>
      <c r="AJ241" s="22"/>
      <c r="AK241" s="22"/>
      <c r="AL241" s="22"/>
      <c r="AM241" s="22"/>
      <c r="AN241" s="22"/>
      <c r="AO241" s="22"/>
      <c r="AP241" s="22"/>
      <c r="BB241" s="30" t="s">
        <v>718</v>
      </c>
      <c r="BC241" s="21" t="s">
        <v>127</v>
      </c>
      <c r="BD241" s="21" t="b">
        <v>1</v>
      </c>
      <c r="BE241" s="21" t="str">
        <f>J298</f>
        <v>0</v>
      </c>
      <c r="BF241" s="21" t="str">
        <f>""&amp;J298</f>
        <v>0</v>
      </c>
      <c r="BG241" s="21" t="b">
        <v>1</v>
      </c>
      <c r="BH241" s="21" t="b">
        <v>0</v>
      </c>
      <c r="BI241" s="21" t="str">
        <f>BE241</f>
        <v>0</v>
      </c>
      <c r="BK241" s="21" t="str">
        <f ca="1">_xlfn.FORMULATEXT(BE241)</f>
        <v>=J298</v>
      </c>
      <c r="BL241" s="21" t="str">
        <f ca="1">_xlfn.FORMULATEXT(BE241)</f>
        <v>=J298</v>
      </c>
    </row>
    <row r="242" spans="1:64" ht="14.5">
      <c r="A242" s="64" t="s">
        <v>673</v>
      </c>
      <c r="B242" s="194"/>
      <c r="C242" s="236" t="s">
        <v>719</v>
      </c>
      <c r="D242" s="237"/>
      <c r="E242" s="237"/>
      <c r="F242" s="238"/>
      <c r="G242" s="439"/>
      <c r="H242" s="438"/>
      <c r="I242" s="409"/>
      <c r="J242" s="439" t="s">
        <v>720</v>
      </c>
      <c r="K242" s="438"/>
      <c r="L242" s="409"/>
      <c r="M242" s="414"/>
      <c r="N242" s="413"/>
      <c r="O242" s="415"/>
      <c r="P242" s="64"/>
      <c r="W242" s="22"/>
      <c r="X242" s="22"/>
      <c r="AA242" s="22"/>
      <c r="AB242" s="22"/>
      <c r="AC242" s="22"/>
      <c r="AD242" s="22">
        <f>ROW()</f>
        <v>242</v>
      </c>
      <c r="AE242" s="22"/>
      <c r="AF242" s="22"/>
      <c r="AG242" s="22"/>
      <c r="AH242" s="22"/>
      <c r="AI242" s="22"/>
      <c r="AJ242" s="22"/>
      <c r="AK242" s="22"/>
      <c r="AL242" s="22"/>
      <c r="AM242" s="22"/>
      <c r="AN242" s="22"/>
      <c r="AO242" s="22"/>
      <c r="AP242" s="22"/>
      <c r="BB242" s="30" t="s">
        <v>721</v>
      </c>
      <c r="BC242" s="21" t="s">
        <v>127</v>
      </c>
      <c r="BD242" s="21" t="b">
        <v>0</v>
      </c>
      <c r="BE242" s="21">
        <f>M298</f>
        <v>0</v>
      </c>
      <c r="BF242" s="21" t="str">
        <f>""&amp;M298</f>
        <v/>
      </c>
      <c r="BG242" s="21" t="b">
        <v>1</v>
      </c>
      <c r="BH242" s="21" t="b">
        <v>0</v>
      </c>
      <c r="BI242" s="21" t="str">
        <f>BE241</f>
        <v>0</v>
      </c>
      <c r="BK242" s="21" t="str">
        <f ca="1">_xlfn.FORMULATEXT(BE242)</f>
        <v>=M298</v>
      </c>
      <c r="BL242" s="21" t="str">
        <f ca="1">_xlfn.FORMULATEXT(BE242)</f>
        <v>=M298</v>
      </c>
    </row>
    <row r="243" spans="1:64" ht="14.5">
      <c r="A243" s="64" t="s">
        <v>673</v>
      </c>
      <c r="B243" s="194"/>
      <c r="C243" s="236" t="s">
        <v>722</v>
      </c>
      <c r="D243" s="237"/>
      <c r="E243" s="237"/>
      <c r="F243" s="238"/>
      <c r="G243" s="439"/>
      <c r="H243" s="438"/>
      <c r="I243" s="409"/>
      <c r="J243" s="439" t="s">
        <v>450</v>
      </c>
      <c r="K243" s="438"/>
      <c r="L243" s="409"/>
      <c r="M243" s="414"/>
      <c r="N243" s="413"/>
      <c r="O243" s="415"/>
      <c r="P243" s="64"/>
      <c r="W243" s="22"/>
      <c r="X243" s="22"/>
      <c r="AA243" s="22"/>
      <c r="AB243" s="22"/>
      <c r="AC243" s="22"/>
      <c r="AD243" s="22">
        <f>ROW()</f>
        <v>243</v>
      </c>
      <c r="AE243" s="22"/>
      <c r="AF243" s="22"/>
      <c r="AG243" s="22"/>
      <c r="AH243" s="22"/>
      <c r="AI243" s="22"/>
      <c r="AJ243" s="22"/>
      <c r="AK243" s="22"/>
      <c r="AL243" s="22"/>
      <c r="AM243" s="22"/>
      <c r="AN243" s="22"/>
      <c r="AO243" s="22"/>
      <c r="AP243" s="22"/>
      <c r="BB243" s="30" t="s">
        <v>723</v>
      </c>
      <c r="BC243" s="21" t="s">
        <v>123</v>
      </c>
      <c r="BD243" s="21" t="b">
        <v>0</v>
      </c>
      <c r="BE243" s="21" t="s">
        <v>666</v>
      </c>
      <c r="BF243" s="21" t="s">
        <v>666</v>
      </c>
      <c r="BG243" s="21" t="b">
        <v>0</v>
      </c>
      <c r="BH243" s="21" t="b">
        <v>0</v>
      </c>
      <c r="BK243" s="21" t="s">
        <v>125</v>
      </c>
      <c r="BL243" s="21" t="s">
        <v>125</v>
      </c>
    </row>
    <row r="244" spans="1:64" ht="14.5">
      <c r="A244" s="64" t="s">
        <v>673</v>
      </c>
      <c r="B244" s="207"/>
      <c r="C244" s="236" t="s">
        <v>724</v>
      </c>
      <c r="D244" s="237"/>
      <c r="E244" s="237"/>
      <c r="F244" s="238"/>
      <c r="G244" s="439"/>
      <c r="H244" s="438"/>
      <c r="I244" s="409"/>
      <c r="J244" s="439" t="s">
        <v>725</v>
      </c>
      <c r="K244" s="438"/>
      <c r="L244" s="409"/>
      <c r="M244" s="414"/>
      <c r="N244" s="413"/>
      <c r="O244" s="415"/>
      <c r="P244" s="64"/>
      <c r="W244" s="22"/>
      <c r="X244" s="22"/>
      <c r="AA244" s="22"/>
      <c r="AB244" s="22"/>
      <c r="AC244" s="22"/>
      <c r="AD244" s="22">
        <f>ROW()</f>
        <v>244</v>
      </c>
      <c r="AE244" s="22"/>
      <c r="AF244" s="22"/>
      <c r="AG244" s="22"/>
      <c r="AH244" s="22"/>
      <c r="AI244" s="22"/>
      <c r="AJ244" s="22"/>
      <c r="AK244" s="22"/>
      <c r="AL244" s="22"/>
      <c r="AM244" s="22"/>
      <c r="AN244" s="22"/>
      <c r="AO244" s="22"/>
      <c r="AP244" s="22"/>
      <c r="BB244" s="30" t="s">
        <v>726</v>
      </c>
      <c r="BC244" s="21" t="s">
        <v>123</v>
      </c>
      <c r="BD244" s="21" t="b">
        <v>0</v>
      </c>
      <c r="BE244" s="21" t="s">
        <v>727</v>
      </c>
      <c r="BF244" s="21" t="s">
        <v>727</v>
      </c>
      <c r="BG244" s="21" t="b">
        <v>1</v>
      </c>
      <c r="BH244" s="21" t="b">
        <v>0</v>
      </c>
      <c r="BK244" s="21" t="s">
        <v>125</v>
      </c>
      <c r="BL244" s="21" t="s">
        <v>125</v>
      </c>
    </row>
    <row r="245" spans="1:64" ht="14.4" customHeight="1">
      <c r="A245" s="64" t="s">
        <v>673</v>
      </c>
      <c r="B245" s="173"/>
      <c r="C245" s="233" t="s">
        <v>682</v>
      </c>
      <c r="D245" s="234"/>
      <c r="E245" s="234"/>
      <c r="F245" s="235"/>
      <c r="G245" s="628" t="str" cm="1">
        <f t="array" ref="G245">TEXT(SUM(_xlfn.NUMBERVALUE(G239:I244),_xlfn.NUMBERVALUE(G227:I237)),"0.00")</f>
        <v>0.00</v>
      </c>
      <c r="H245" s="627"/>
      <c r="I245" s="624"/>
      <c r="J245" s="628" t="str" cm="1">
        <f t="array" ref="J245">TEXT(SUM(_xlfn.NUMBERVALUE(J239:L244),_xlfn.NUMBERVALUE(J227:L237)),"0.00")</f>
        <v>808797.00</v>
      </c>
      <c r="K245" s="627"/>
      <c r="L245" s="624"/>
      <c r="M245" s="445"/>
      <c r="N245" s="444"/>
      <c r="O245" s="415"/>
      <c r="P245" s="64"/>
      <c r="W245" s="22"/>
      <c r="X245" s="22"/>
      <c r="AA245" s="22"/>
      <c r="AB245" s="22"/>
      <c r="AC245" s="22"/>
      <c r="AD245" s="22">
        <f>ROW()</f>
        <v>245</v>
      </c>
      <c r="AE245" s="22"/>
      <c r="AF245" s="22"/>
      <c r="AG245" s="22"/>
      <c r="AH245" s="22"/>
      <c r="AI245" s="22"/>
      <c r="AJ245" s="22"/>
      <c r="AK245" s="22"/>
      <c r="AL245" s="22"/>
      <c r="AM245" s="22"/>
      <c r="AN245" s="22"/>
      <c r="AO245" s="22"/>
      <c r="AP245" s="22"/>
      <c r="BB245" s="30" t="s">
        <v>728</v>
      </c>
      <c r="BC245" s="21" t="s">
        <v>127</v>
      </c>
      <c r="BD245" s="21" t="b">
        <v>1</v>
      </c>
      <c r="BE245" s="21">
        <f>G304</f>
        <v>0</v>
      </c>
      <c r="BF245" s="21" t="str">
        <f>""&amp;G304</f>
        <v/>
      </c>
      <c r="BG245" s="21" t="b">
        <v>1</v>
      </c>
      <c r="BH245" s="21" t="b">
        <v>0</v>
      </c>
      <c r="BK245" s="21" t="str">
        <f ca="1">_xlfn.FORMULATEXT(BE245)</f>
        <v>=G304</v>
      </c>
      <c r="BL245" s="21" t="str">
        <f ca="1">_xlfn.FORMULATEXT(BE245)</f>
        <v>=G304</v>
      </c>
    </row>
    <row r="246" spans="1:64" ht="14.5">
      <c r="A246" s="64" t="s">
        <v>673</v>
      </c>
      <c r="B246" s="64"/>
      <c r="C246" s="64"/>
      <c r="D246" s="64"/>
      <c r="E246" s="64"/>
      <c r="F246" s="64"/>
      <c r="G246" s="64"/>
      <c r="H246" s="64"/>
      <c r="I246" s="64"/>
      <c r="J246" s="64"/>
      <c r="K246" s="64"/>
      <c r="L246" s="64"/>
      <c r="M246" s="64"/>
      <c r="N246" s="64"/>
      <c r="O246" s="93"/>
      <c r="P246" s="64"/>
      <c r="W246" s="22"/>
      <c r="X246" s="22"/>
      <c r="AA246" s="22"/>
      <c r="AB246" s="22"/>
      <c r="AC246" s="22"/>
      <c r="AD246" s="22">
        <f>ROW()</f>
        <v>246</v>
      </c>
      <c r="AE246" s="22"/>
      <c r="AF246" s="22"/>
      <c r="AG246" s="22"/>
      <c r="AH246" s="22"/>
      <c r="AI246" s="22"/>
      <c r="AJ246" s="22"/>
      <c r="AK246" s="22"/>
      <c r="AL246" s="22"/>
      <c r="AM246" s="22"/>
      <c r="AN246" s="22"/>
      <c r="AO246" s="22"/>
      <c r="AP246" s="22"/>
      <c r="BB246" s="30" t="s">
        <v>729</v>
      </c>
      <c r="BC246" s="21" t="s">
        <v>127</v>
      </c>
      <c r="BD246" s="21" t="b">
        <v>1</v>
      </c>
      <c r="BE246" s="21" t="str">
        <f>J304</f>
        <v>0</v>
      </c>
      <c r="BF246" s="21" t="str">
        <f>""&amp;J304</f>
        <v>0</v>
      </c>
      <c r="BG246" s="21" t="b">
        <v>1</v>
      </c>
      <c r="BH246" s="21" t="b">
        <v>0</v>
      </c>
      <c r="BI246" s="21" t="str">
        <f>BE246</f>
        <v>0</v>
      </c>
      <c r="BK246" s="21" t="str">
        <f ca="1">_xlfn.FORMULATEXT(BE246)</f>
        <v>=J304</v>
      </c>
      <c r="BL246" s="21" t="str">
        <f ca="1">_xlfn.FORMULATEXT(BE246)</f>
        <v>=J304</v>
      </c>
    </row>
    <row r="247" spans="1:64" ht="14.75" customHeight="1">
      <c r="A247" s="64" t="s">
        <v>673</v>
      </c>
      <c r="B247" s="158" t="s">
        <v>730</v>
      </c>
      <c r="C247" s="89"/>
      <c r="D247" s="89"/>
      <c r="E247" s="89"/>
      <c r="F247" s="89"/>
      <c r="G247" s="89"/>
      <c r="H247" s="89"/>
      <c r="I247" s="89"/>
      <c r="J247" s="64"/>
      <c r="K247" s="64"/>
      <c r="L247" s="64"/>
      <c r="M247" s="64"/>
      <c r="N247" s="64"/>
      <c r="O247" s="93"/>
      <c r="P247" s="64"/>
      <c r="W247" s="22"/>
      <c r="X247" s="22"/>
      <c r="AA247" s="22"/>
      <c r="AB247" s="22"/>
      <c r="AC247" s="22"/>
      <c r="AD247" s="22">
        <f>ROW()</f>
        <v>247</v>
      </c>
      <c r="AE247" s="22"/>
      <c r="AF247" s="22"/>
      <c r="AG247" s="22"/>
      <c r="AH247" s="22"/>
      <c r="AI247" s="22"/>
      <c r="AJ247" s="22"/>
      <c r="AK247" s="22"/>
      <c r="AL247" s="22"/>
      <c r="AM247" s="22"/>
      <c r="AN247" s="22"/>
      <c r="AO247" s="22"/>
      <c r="AP247" s="22"/>
      <c r="BB247" s="30" t="s">
        <v>731</v>
      </c>
      <c r="BC247" s="21" t="s">
        <v>127</v>
      </c>
      <c r="BD247" s="21" t="b">
        <v>0</v>
      </c>
      <c r="BE247" s="21">
        <f>M304</f>
        <v>0</v>
      </c>
      <c r="BF247" s="21" t="str">
        <f>""&amp;M304</f>
        <v/>
      </c>
      <c r="BG247" s="21" t="b">
        <v>1</v>
      </c>
      <c r="BH247" s="21" t="b">
        <v>0</v>
      </c>
      <c r="BI247" s="21" t="str">
        <f>BE246</f>
        <v>0</v>
      </c>
      <c r="BK247" s="21" t="str">
        <f ca="1">_xlfn.FORMULATEXT(BE247)</f>
        <v>=M304</v>
      </c>
      <c r="BL247" s="21" t="str">
        <f ca="1">_xlfn.FORMULATEXT(BE247)</f>
        <v>=M304</v>
      </c>
    </row>
    <row r="248" spans="1:64" ht="14.5">
      <c r="A248" s="64" t="s">
        <v>673</v>
      </c>
      <c r="B248" s="64"/>
      <c r="C248" s="64"/>
      <c r="D248" s="64"/>
      <c r="E248" s="64"/>
      <c r="F248" s="64"/>
      <c r="G248" s="64"/>
      <c r="H248" s="64"/>
      <c r="I248" s="64"/>
      <c r="J248" s="64"/>
      <c r="K248" s="64"/>
      <c r="L248" s="64"/>
      <c r="M248" s="64"/>
      <c r="N248" s="64"/>
      <c r="O248" s="93"/>
      <c r="P248" s="64"/>
      <c r="W248" s="22"/>
      <c r="X248" s="22"/>
      <c r="AA248" s="22"/>
      <c r="AB248" s="22"/>
      <c r="AC248" s="22"/>
      <c r="AD248" s="22">
        <f>ROW()</f>
        <v>248</v>
      </c>
      <c r="AE248" s="22"/>
      <c r="AF248" s="22"/>
      <c r="AG248" s="22"/>
      <c r="AH248" s="22"/>
      <c r="AI248" s="22"/>
      <c r="AJ248" s="22"/>
      <c r="AK248" s="22"/>
      <c r="AL248" s="22"/>
      <c r="AM248" s="22"/>
      <c r="AN248" s="22"/>
      <c r="AO248" s="22"/>
      <c r="AP248" s="22"/>
      <c r="BB248" s="30" t="s">
        <v>732</v>
      </c>
      <c r="BC248" s="21" t="s">
        <v>127</v>
      </c>
      <c r="BD248" s="21" t="b">
        <v>1</v>
      </c>
      <c r="BE248" s="21">
        <f>G305</f>
        <v>0</v>
      </c>
      <c r="BF248" s="21" t="str">
        <f>""&amp;G305</f>
        <v/>
      </c>
      <c r="BG248" s="21" t="b">
        <v>1</v>
      </c>
      <c r="BH248" s="21" t="b">
        <v>0</v>
      </c>
      <c r="BK248" s="21" t="str">
        <f ca="1">_xlfn.FORMULATEXT(BE248)</f>
        <v>=G305</v>
      </c>
      <c r="BL248" s="21" t="str">
        <f ca="1">_xlfn.FORMULATEXT(BE248)</f>
        <v>=G305</v>
      </c>
    </row>
    <row r="249" spans="1:64" ht="14.75" customHeight="1">
      <c r="A249" s="64" t="s">
        <v>673</v>
      </c>
      <c r="B249" s="158" t="s">
        <v>733</v>
      </c>
      <c r="C249" s="89"/>
      <c r="D249" s="89"/>
      <c r="E249" s="89"/>
      <c r="F249" s="89"/>
      <c r="G249" s="89"/>
      <c r="H249" s="64"/>
      <c r="I249" s="64"/>
      <c r="J249" s="64"/>
      <c r="K249" s="64"/>
      <c r="L249" s="64"/>
      <c r="M249" s="64"/>
      <c r="N249" s="64"/>
      <c r="O249" s="93"/>
      <c r="P249" s="64"/>
      <c r="W249" s="22"/>
      <c r="X249" s="22"/>
      <c r="AA249" s="22"/>
      <c r="AB249" s="22"/>
      <c r="AC249" s="22"/>
      <c r="AD249" s="22">
        <f>ROW()</f>
        <v>249</v>
      </c>
      <c r="AE249" s="22"/>
      <c r="AF249" s="22"/>
      <c r="AG249" s="22"/>
      <c r="AH249" s="22"/>
      <c r="AI249" s="22"/>
      <c r="AJ249" s="22"/>
      <c r="AK249" s="22"/>
      <c r="AL249" s="22"/>
      <c r="AM249" s="22"/>
      <c r="AN249" s="22"/>
      <c r="AO249" s="22"/>
      <c r="AP249" s="22"/>
      <c r="BB249" s="30" t="s">
        <v>734</v>
      </c>
      <c r="BC249" s="21" t="s">
        <v>127</v>
      </c>
      <c r="BD249" s="21" t="b">
        <v>1</v>
      </c>
      <c r="BE249" s="21" t="str">
        <f>J305</f>
        <v>0</v>
      </c>
      <c r="BF249" s="21" t="str">
        <f>""&amp;J305</f>
        <v>0</v>
      </c>
      <c r="BG249" s="21" t="b">
        <v>1</v>
      </c>
      <c r="BH249" s="21" t="b">
        <v>0</v>
      </c>
      <c r="BI249" s="21" t="str">
        <f>BE249</f>
        <v>0</v>
      </c>
      <c r="BK249" s="21" t="str">
        <f ca="1">_xlfn.FORMULATEXT(BE249)</f>
        <v>=J305</v>
      </c>
      <c r="BL249" s="21" t="str">
        <f ca="1">_xlfn.FORMULATEXT(BE249)</f>
        <v>=J305</v>
      </c>
    </row>
    <row r="250" spans="1:64" ht="14.5">
      <c r="A250" s="64" t="s">
        <v>673</v>
      </c>
      <c r="B250" s="241"/>
      <c r="C250" s="242" t="s">
        <v>735</v>
      </c>
      <c r="D250" s="242"/>
      <c r="E250" s="242"/>
      <c r="F250" s="242"/>
      <c r="G250" s="243" t="s">
        <v>736</v>
      </c>
      <c r="H250" s="243"/>
      <c r="I250" s="243"/>
      <c r="J250" s="242" t="s">
        <v>737</v>
      </c>
      <c r="K250" s="242"/>
      <c r="L250" s="242"/>
      <c r="M250" s="243" t="s">
        <v>628</v>
      </c>
      <c r="N250" s="243"/>
      <c r="O250" s="243"/>
      <c r="P250" s="64"/>
      <c r="W250" s="22"/>
      <c r="X250" s="22"/>
      <c r="AA250" s="22"/>
      <c r="AB250" s="22"/>
      <c r="AC250" s="22"/>
      <c r="AD250" s="22">
        <f>ROW()</f>
        <v>250</v>
      </c>
      <c r="AE250" s="22"/>
      <c r="AF250" s="22"/>
      <c r="AG250" s="22"/>
      <c r="AH250" s="22"/>
      <c r="AI250" s="22"/>
      <c r="AJ250" s="22"/>
      <c r="AK250" s="22"/>
      <c r="AL250" s="22"/>
      <c r="AM250" s="22"/>
      <c r="AN250" s="22"/>
      <c r="AO250" s="22"/>
      <c r="AP250" s="22"/>
      <c r="BB250" s="30" t="s">
        <v>738</v>
      </c>
      <c r="BC250" s="21" t="s">
        <v>127</v>
      </c>
      <c r="BD250" s="21" t="b">
        <v>0</v>
      </c>
      <c r="BE250" s="21">
        <f>M305</f>
        <v>0</v>
      </c>
      <c r="BF250" s="21" t="str">
        <f>""&amp;M305</f>
        <v/>
      </c>
      <c r="BG250" s="21" t="b">
        <v>1</v>
      </c>
      <c r="BH250" s="21" t="b">
        <v>0</v>
      </c>
      <c r="BI250" s="21" t="str">
        <f>BE249</f>
        <v>0</v>
      </c>
      <c r="BK250" s="21" t="str">
        <f ca="1">_xlfn.FORMULATEXT(BE250)</f>
        <v>=M305</v>
      </c>
      <c r="BL250" s="21" t="str">
        <f ca="1">_xlfn.FORMULATEXT(BE250)</f>
        <v>=M305</v>
      </c>
    </row>
    <row r="251" spans="1:64" ht="14.5">
      <c r="A251" s="64" t="s">
        <v>673</v>
      </c>
      <c r="B251" s="241"/>
      <c r="C251" s="242"/>
      <c r="D251" s="242"/>
      <c r="E251" s="242"/>
      <c r="F251" s="242"/>
      <c r="G251" s="446"/>
      <c r="H251" s="446"/>
      <c r="I251" s="446"/>
      <c r="J251" s="447"/>
      <c r="K251" s="447"/>
      <c r="L251" s="447"/>
      <c r="M251" s="446"/>
      <c r="N251" s="446"/>
      <c r="O251" s="446"/>
      <c r="P251" s="64"/>
      <c r="W251" s="22"/>
      <c r="X251" s="22"/>
      <c r="AA251" s="22"/>
      <c r="AB251" s="22"/>
      <c r="AC251" s="22"/>
      <c r="AD251" s="22">
        <f>ROW()</f>
        <v>251</v>
      </c>
      <c r="AE251" s="22"/>
      <c r="AF251" s="22"/>
      <c r="AG251" s="22"/>
      <c r="AH251" s="22"/>
      <c r="AI251" s="22"/>
      <c r="AJ251" s="22"/>
      <c r="AK251" s="22"/>
      <c r="AL251" s="22"/>
      <c r="AM251" s="22"/>
      <c r="AN251" s="22"/>
      <c r="AO251" s="22"/>
      <c r="AP251" s="22"/>
      <c r="BB251" s="30" t="s">
        <v>739</v>
      </c>
      <c r="BC251" s="21" t="s">
        <v>127</v>
      </c>
      <c r="BD251" s="21" t="b">
        <v>1</v>
      </c>
      <c r="BE251" s="21">
        <f>G307</f>
        <v>0</v>
      </c>
      <c r="BF251" s="21" t="str">
        <f>""&amp;G307</f>
        <v/>
      </c>
      <c r="BG251" s="21" t="b">
        <v>1</v>
      </c>
      <c r="BH251" s="21" t="b">
        <v>0</v>
      </c>
      <c r="BK251" s="21" t="str">
        <f ca="1">_xlfn.FORMULATEXT(BE251)</f>
        <v>=G307</v>
      </c>
      <c r="BL251" s="21" t="str">
        <f ca="1">_xlfn.FORMULATEXT(BE251)</f>
        <v>=G307</v>
      </c>
    </row>
    <row r="252" spans="1:64" ht="14.75" customHeight="1">
      <c r="A252" s="64" t="s">
        <v>673</v>
      </c>
      <c r="B252" s="239">
        <v>1</v>
      </c>
      <c r="C252" s="244" t="s">
        <v>740</v>
      </c>
      <c r="D252" s="244"/>
      <c r="E252" s="244"/>
      <c r="F252" s="244"/>
      <c r="G252" s="408"/>
      <c r="H252" s="407"/>
      <c r="I252" s="409"/>
      <c r="J252" s="408" t="s">
        <v>450</v>
      </c>
      <c r="K252" s="407"/>
      <c r="L252" s="409"/>
      <c r="M252" s="414"/>
      <c r="N252" s="413"/>
      <c r="O252" s="415"/>
      <c r="P252" s="64"/>
      <c r="W252" s="22"/>
      <c r="X252" s="22"/>
      <c r="AA252" s="22"/>
      <c r="AB252" s="22"/>
      <c r="AC252" s="22"/>
      <c r="AD252" s="22">
        <f>ROW()</f>
        <v>252</v>
      </c>
      <c r="AE252" s="22"/>
      <c r="AF252" s="22"/>
      <c r="AG252" s="22"/>
      <c r="AH252" s="22"/>
      <c r="AI252" s="22"/>
      <c r="AJ252" s="22"/>
      <c r="AK252" s="22"/>
      <c r="AL252" s="22"/>
      <c r="AM252" s="22"/>
      <c r="AN252" s="22"/>
      <c r="AO252" s="22"/>
      <c r="AP252" s="22"/>
      <c r="BB252" s="30" t="s">
        <v>741</v>
      </c>
      <c r="BC252" s="21" t="s">
        <v>127</v>
      </c>
      <c r="BD252" s="21" t="b">
        <v>1</v>
      </c>
      <c r="BE252" s="21" t="str">
        <f>J307</f>
        <v>0</v>
      </c>
      <c r="BF252" s="21" t="str">
        <f>""&amp;J307</f>
        <v>0</v>
      </c>
      <c r="BG252" s="21" t="b">
        <v>1</v>
      </c>
      <c r="BH252" s="21" t="b">
        <v>0</v>
      </c>
      <c r="BI252" s="21" t="str">
        <f>BE252</f>
        <v>0</v>
      </c>
      <c r="BK252" s="21" t="str">
        <f ca="1">_xlfn.FORMULATEXT(BE252)</f>
        <v>=J307</v>
      </c>
      <c r="BL252" s="21" t="str">
        <f ca="1">_xlfn.FORMULATEXT(BE252)</f>
        <v>=J307</v>
      </c>
    </row>
    <row r="253" spans="1:64" ht="14.75" customHeight="1">
      <c r="A253" s="64" t="s">
        <v>673</v>
      </c>
      <c r="B253" s="239">
        <v>2</v>
      </c>
      <c r="C253" s="244" t="s">
        <v>742</v>
      </c>
      <c r="D253" s="244"/>
      <c r="E253" s="244"/>
      <c r="F253" s="244"/>
      <c r="G253" s="448"/>
      <c r="H253" s="448"/>
      <c r="I253" s="448"/>
      <c r="J253" s="448"/>
      <c r="K253" s="448"/>
      <c r="L253" s="448"/>
      <c r="M253" s="448"/>
      <c r="N253" s="448"/>
      <c r="O253" s="448"/>
      <c r="P253" s="64"/>
      <c r="W253" s="22"/>
      <c r="X253" s="22"/>
      <c r="AA253" s="22"/>
      <c r="AB253" s="22"/>
      <c r="AC253" s="22"/>
      <c r="AD253" s="22">
        <f>ROW()</f>
        <v>253</v>
      </c>
      <c r="AE253" s="22"/>
      <c r="AF253" s="22"/>
      <c r="AG253" s="22"/>
      <c r="AH253" s="22"/>
      <c r="AI253" s="22"/>
      <c r="AJ253" s="22"/>
      <c r="AK253" s="22"/>
      <c r="AL253" s="22"/>
      <c r="AM253" s="22"/>
      <c r="AN253" s="22"/>
      <c r="AO253" s="22"/>
      <c r="AP253" s="22"/>
      <c r="BB253" s="30" t="s">
        <v>743</v>
      </c>
      <c r="BC253" s="21" t="s">
        <v>127</v>
      </c>
      <c r="BD253" s="21" t="b">
        <v>0</v>
      </c>
      <c r="BE253" s="21">
        <f>M307</f>
        <v>0</v>
      </c>
      <c r="BF253" s="21" t="str">
        <f>""&amp;M307</f>
        <v/>
      </c>
      <c r="BG253" s="21" t="b">
        <v>1</v>
      </c>
      <c r="BH253" s="21" t="b">
        <v>0</v>
      </c>
      <c r="BI253" s="21" t="str">
        <f>BE252</f>
        <v>0</v>
      </c>
      <c r="BK253" s="21" t="str">
        <f ca="1">_xlfn.FORMULATEXT(BE253)</f>
        <v>=M307</v>
      </c>
      <c r="BL253" s="21" t="str">
        <f ca="1">_xlfn.FORMULATEXT(BE253)</f>
        <v>=M307</v>
      </c>
    </row>
    <row r="254" spans="1:64" ht="14.75" customHeight="1">
      <c r="A254" s="64" t="s">
        <v>673</v>
      </c>
      <c r="B254" s="245"/>
      <c r="C254" s="244" t="s">
        <v>744</v>
      </c>
      <c r="D254" s="244"/>
      <c r="E254" s="244"/>
      <c r="F254" s="244"/>
      <c r="G254" s="439"/>
      <c r="H254" s="438"/>
      <c r="I254" s="409"/>
      <c r="J254" s="439" t="s">
        <v>450</v>
      </c>
      <c r="K254" s="438"/>
      <c r="L254" s="409"/>
      <c r="M254" s="414"/>
      <c r="N254" s="413"/>
      <c r="O254" s="415"/>
      <c r="P254" s="64"/>
      <c r="W254" s="22"/>
      <c r="X254" s="22"/>
      <c r="AA254" s="22"/>
      <c r="AB254" s="22"/>
      <c r="AC254" s="22"/>
      <c r="AD254" s="22">
        <f>ROW()</f>
        <v>254</v>
      </c>
      <c r="AE254" s="22"/>
      <c r="AF254" s="22"/>
      <c r="AG254" s="22"/>
      <c r="AH254" s="22"/>
      <c r="AI254" s="22"/>
      <c r="AJ254" s="22"/>
      <c r="AK254" s="22"/>
      <c r="AL254" s="22"/>
      <c r="AM254" s="22"/>
      <c r="AN254" s="22"/>
      <c r="AO254" s="22"/>
      <c r="AP254" s="22"/>
      <c r="BB254" s="30" t="s">
        <v>745</v>
      </c>
      <c r="BC254" s="21" t="s">
        <v>127</v>
      </c>
      <c r="BD254" s="21" t="b">
        <v>1</v>
      </c>
      <c r="BE254" s="21" t="str">
        <f>G308</f>
        <v>0.00</v>
      </c>
      <c r="BF254" s="21" t="str">
        <f>""&amp;G308</f>
        <v>0.00</v>
      </c>
      <c r="BG254" s="21" t="b">
        <v>0</v>
      </c>
      <c r="BH254" s="21" t="b">
        <v>0</v>
      </c>
      <c r="BK254" s="21" t="str">
        <f ca="1">_xlfn.FORMULATEXT(BE254)</f>
        <v>=G308</v>
      </c>
      <c r="BL254" s="21" t="str">
        <f ca="1">_xlfn.FORMULATEXT(BE254)</f>
        <v>=G308</v>
      </c>
    </row>
    <row r="255" spans="1:64" ht="14.5">
      <c r="A255" s="64" t="s">
        <v>673</v>
      </c>
      <c r="B255" s="246"/>
      <c r="C255" s="244" t="s">
        <v>746</v>
      </c>
      <c r="D255" s="244"/>
      <c r="E255" s="244"/>
      <c r="F255" s="244"/>
      <c r="G255" s="439"/>
      <c r="H255" s="438"/>
      <c r="I255" s="409"/>
      <c r="J255" s="439" t="s">
        <v>450</v>
      </c>
      <c r="K255" s="438"/>
      <c r="L255" s="409"/>
      <c r="M255" s="414"/>
      <c r="N255" s="413"/>
      <c r="O255" s="415"/>
      <c r="P255" s="64"/>
      <c r="W255" s="22"/>
      <c r="X255" s="22"/>
      <c r="AA255" s="22"/>
      <c r="AB255" s="22"/>
      <c r="AC255" s="22"/>
      <c r="AD255" s="22">
        <f>ROW()</f>
        <v>255</v>
      </c>
      <c r="AE255" s="22"/>
      <c r="AF255" s="22"/>
      <c r="AG255" s="22"/>
      <c r="AH255" s="22"/>
      <c r="AI255" s="22"/>
      <c r="AJ255" s="22"/>
      <c r="AK255" s="22"/>
      <c r="AL255" s="22"/>
      <c r="AM255" s="22"/>
      <c r="AN255" s="22"/>
      <c r="AO255" s="22"/>
      <c r="AP255" s="22"/>
      <c r="BB255" s="30" t="s">
        <v>747</v>
      </c>
      <c r="BC255" s="21" t="s">
        <v>127</v>
      </c>
      <c r="BD255" s="21" t="b">
        <v>1</v>
      </c>
      <c r="BE255" s="21" t="str">
        <f>J308</f>
        <v>0.00</v>
      </c>
      <c r="BF255" s="21" t="str">
        <f>""&amp;J308</f>
        <v>0.00</v>
      </c>
      <c r="BG255" s="21" t="b">
        <v>0</v>
      </c>
      <c r="BH255" s="21" t="b">
        <v>0</v>
      </c>
      <c r="BI255" s="21" t="str">
        <f>BE255</f>
        <v>0.00</v>
      </c>
      <c r="BK255" s="21" t="str">
        <f ca="1">_xlfn.FORMULATEXT(BE255)</f>
        <v>=J308</v>
      </c>
      <c r="BL255" s="21" t="str">
        <f ca="1">_xlfn.FORMULATEXT(BE255)</f>
        <v>=J308</v>
      </c>
    </row>
    <row r="256" spans="1:64" ht="14.5">
      <c r="A256" s="64" t="s">
        <v>673</v>
      </c>
      <c r="B256" s="239">
        <v>3</v>
      </c>
      <c r="C256" s="244" t="s">
        <v>748</v>
      </c>
      <c r="D256" s="244"/>
      <c r="E256" s="244"/>
      <c r="F256" s="244"/>
      <c r="G256" s="439"/>
      <c r="H256" s="438"/>
      <c r="I256" s="409"/>
      <c r="J256" s="439" t="s">
        <v>450</v>
      </c>
      <c r="K256" s="438"/>
      <c r="L256" s="409"/>
      <c r="M256" s="414"/>
      <c r="N256" s="413"/>
      <c r="O256" s="415"/>
      <c r="P256" s="64"/>
      <c r="W256" s="22"/>
      <c r="X256" s="22"/>
      <c r="AA256" s="22"/>
      <c r="AB256" s="22"/>
      <c r="AC256" s="22"/>
      <c r="AD256" s="22">
        <f>ROW()</f>
        <v>256</v>
      </c>
      <c r="AE256" s="22"/>
      <c r="AF256" s="22"/>
      <c r="AG256" s="22"/>
      <c r="AH256" s="22"/>
      <c r="AI256" s="22"/>
      <c r="AJ256" s="22"/>
      <c r="AK256" s="22"/>
      <c r="AL256" s="22"/>
      <c r="AM256" s="22"/>
      <c r="AN256" s="22"/>
      <c r="AO256" s="22"/>
      <c r="AP256" s="22"/>
      <c r="BB256" s="30" t="s">
        <v>749</v>
      </c>
      <c r="BC256" s="21" t="s">
        <v>127</v>
      </c>
      <c r="BD256" s="21" t="b">
        <v>0</v>
      </c>
      <c r="BE256" s="21">
        <f>M308</f>
        <v>0</v>
      </c>
      <c r="BF256" s="21" t="str">
        <f>""&amp;M308</f>
        <v/>
      </c>
      <c r="BG256" s="21" t="b">
        <v>1</v>
      </c>
      <c r="BH256" s="21" t="b">
        <v>0</v>
      </c>
      <c r="BI256" s="21" t="str">
        <f>BE255</f>
        <v>0.00</v>
      </c>
      <c r="BK256" s="21" t="str">
        <f ca="1">_xlfn.FORMULATEXT(BE256)</f>
        <v>=M308</v>
      </c>
      <c r="BL256" s="21" t="str">
        <f ca="1">_xlfn.FORMULATEXT(BE256)</f>
        <v>=M308</v>
      </c>
    </row>
    <row r="257" spans="1:64" ht="14.5">
      <c r="A257" s="64" t="s">
        <v>673</v>
      </c>
      <c r="B257" s="239">
        <v>4</v>
      </c>
      <c r="C257" s="244" t="s">
        <v>750</v>
      </c>
      <c r="D257" s="244"/>
      <c r="E257" s="244"/>
      <c r="F257" s="244"/>
      <c r="G257" s="439"/>
      <c r="H257" s="438"/>
      <c r="I257" s="409"/>
      <c r="J257" s="439" t="s">
        <v>450</v>
      </c>
      <c r="K257" s="438"/>
      <c r="L257" s="409"/>
      <c r="M257" s="414"/>
      <c r="N257" s="413"/>
      <c r="O257" s="415"/>
      <c r="P257" s="64"/>
      <c r="W257" s="22"/>
      <c r="X257" s="22"/>
      <c r="AA257" s="22"/>
      <c r="AB257" s="22"/>
      <c r="AC257" s="22"/>
      <c r="AD257" s="22">
        <f>ROW()</f>
        <v>257</v>
      </c>
      <c r="AE257" s="22"/>
      <c r="AF257" s="22"/>
      <c r="AG257" s="22"/>
      <c r="AH257" s="22"/>
      <c r="AI257" s="22"/>
      <c r="AJ257" s="22"/>
      <c r="AK257" s="22"/>
      <c r="AL257" s="22"/>
      <c r="AM257" s="22"/>
      <c r="AN257" s="22"/>
      <c r="AO257" s="22"/>
      <c r="AP257" s="22"/>
      <c r="BB257" s="30" t="s">
        <v>751</v>
      </c>
      <c r="BC257" s="21" t="s">
        <v>127</v>
      </c>
      <c r="BD257" s="21" t="b">
        <v>1</v>
      </c>
      <c r="BE257" s="21">
        <f>G311</f>
        <v>0</v>
      </c>
      <c r="BF257" s="21" t="str">
        <f>""&amp;G311</f>
        <v/>
      </c>
      <c r="BG257" s="21" t="b">
        <v>1</v>
      </c>
      <c r="BH257" s="21" t="b">
        <v>0</v>
      </c>
      <c r="BK257" s="21" t="str">
        <f ca="1">_xlfn.FORMULATEXT(BE257)</f>
        <v>=G311</v>
      </c>
      <c r="BL257" s="21" t="str">
        <f ca="1">_xlfn.FORMULATEXT(BE257)</f>
        <v>=G311</v>
      </c>
    </row>
    <row r="258" spans="1:64" ht="14.5">
      <c r="A258" s="64" t="s">
        <v>673</v>
      </c>
      <c r="B258" s="245">
        <v>5</v>
      </c>
      <c r="C258" s="247" t="s">
        <v>752</v>
      </c>
      <c r="D258" s="247"/>
      <c r="E258" s="247"/>
      <c r="F258" s="247"/>
      <c r="G258" s="450"/>
      <c r="H258" s="437"/>
      <c r="I258" s="452"/>
      <c r="J258" s="450" t="s">
        <v>654</v>
      </c>
      <c r="K258" s="437"/>
      <c r="L258" s="452"/>
      <c r="M258" s="454"/>
      <c r="N258" s="443"/>
      <c r="O258" s="456"/>
      <c r="P258" s="64"/>
      <c r="W258" s="22"/>
      <c r="X258" s="22"/>
      <c r="AA258" s="22"/>
      <c r="AB258" s="22"/>
      <c r="AC258" s="22"/>
      <c r="AD258" s="22">
        <f>ROW()</f>
        <v>258</v>
      </c>
      <c r="AE258" s="22"/>
      <c r="AF258" s="22"/>
      <c r="AG258" s="22"/>
      <c r="AH258" s="22"/>
      <c r="AI258" s="22"/>
      <c r="AJ258" s="22"/>
      <c r="AK258" s="22"/>
      <c r="AL258" s="22"/>
      <c r="AM258" s="22"/>
      <c r="AN258" s="22"/>
      <c r="AO258" s="22"/>
      <c r="AP258" s="22"/>
      <c r="BB258" s="30" t="s">
        <v>753</v>
      </c>
      <c r="BC258" s="21" t="s">
        <v>127</v>
      </c>
      <c r="BD258" s="21" t="b">
        <v>1</v>
      </c>
      <c r="BE258" s="21" t="str">
        <f>J311</f>
        <v>0</v>
      </c>
      <c r="BF258" s="21" t="str">
        <f>""&amp;J311</f>
        <v>0</v>
      </c>
      <c r="BG258" s="21" t="b">
        <v>1</v>
      </c>
      <c r="BH258" s="21" t="b">
        <v>0</v>
      </c>
      <c r="BI258" s="21" t="str">
        <f>BE258</f>
        <v>0</v>
      </c>
      <c r="BK258" s="21" t="str">
        <f ca="1">_xlfn.FORMULATEXT(BE258)</f>
        <v>=J311</v>
      </c>
      <c r="BL258" s="21" t="str">
        <f ca="1">_xlfn.FORMULATEXT(BE258)</f>
        <v>=J311</v>
      </c>
    </row>
    <row r="259" spans="1:64" ht="14.5" hidden="1">
      <c r="A259" s="64" t="s">
        <v>673</v>
      </c>
      <c r="B259" s="246"/>
      <c r="C259" s="247"/>
      <c r="D259" s="247"/>
      <c r="E259" s="247"/>
      <c r="F259" s="247"/>
      <c r="G259" s="451"/>
      <c r="H259" s="449"/>
      <c r="I259" s="422"/>
      <c r="J259" s="451"/>
      <c r="K259" s="449"/>
      <c r="L259" s="422"/>
      <c r="M259" s="455"/>
      <c r="N259" s="453"/>
      <c r="O259" s="429"/>
      <c r="P259" s="64"/>
      <c r="W259" s="22"/>
      <c r="X259" s="22"/>
      <c r="AA259" s="22"/>
      <c r="AB259" s="22"/>
      <c r="AC259" s="22"/>
      <c r="AD259" s="22">
        <f>ROW()</f>
        <v>259</v>
      </c>
      <c r="AE259" s="22"/>
      <c r="AF259" s="22"/>
      <c r="AG259" s="22"/>
      <c r="AH259" s="22"/>
      <c r="AI259" s="22"/>
      <c r="AJ259" s="22"/>
      <c r="AK259" s="22"/>
      <c r="AL259" s="22"/>
      <c r="AM259" s="22"/>
      <c r="AN259" s="22"/>
      <c r="AO259" s="22"/>
      <c r="AP259" s="22"/>
      <c r="BB259" s="30" t="s">
        <v>754</v>
      </c>
      <c r="BC259" s="21" t="s">
        <v>127</v>
      </c>
      <c r="BD259" s="21" t="b">
        <v>0</v>
      </c>
      <c r="BE259" s="21">
        <f>M311</f>
        <v>0</v>
      </c>
      <c r="BF259" s="21" t="str">
        <f>""&amp;M311</f>
        <v/>
      </c>
      <c r="BG259" s="21" t="b">
        <v>1</v>
      </c>
      <c r="BH259" s="21" t="b">
        <v>0</v>
      </c>
      <c r="BI259" s="21" t="str">
        <f>BE258</f>
        <v>0</v>
      </c>
      <c r="BK259" s="21" t="str">
        <f ca="1">_xlfn.FORMULATEXT(BE259)</f>
        <v>=M311</v>
      </c>
      <c r="BL259" s="21" t="str">
        <f ca="1">_xlfn.FORMULATEXT(BE259)</f>
        <v>=M311</v>
      </c>
    </row>
    <row r="260" spans="1:64" ht="14" customHeight="1">
      <c r="A260" s="64" t="s">
        <v>673</v>
      </c>
      <c r="B260" s="245">
        <v>6</v>
      </c>
      <c r="C260" s="247" t="s">
        <v>755</v>
      </c>
      <c r="D260" s="247"/>
      <c r="E260" s="247"/>
      <c r="F260" s="247"/>
      <c r="G260" s="450"/>
      <c r="H260" s="437"/>
      <c r="I260" s="452"/>
      <c r="J260" s="450" t="s">
        <v>450</v>
      </c>
      <c r="K260" s="437"/>
      <c r="L260" s="452"/>
      <c r="M260" s="454"/>
      <c r="N260" s="443"/>
      <c r="O260" s="456"/>
      <c r="P260" s="64"/>
      <c r="W260" s="22"/>
      <c r="X260" s="22"/>
      <c r="AA260" s="22"/>
      <c r="AB260" s="22"/>
      <c r="AC260" s="22"/>
      <c r="AD260" s="22">
        <f>ROW()</f>
        <v>260</v>
      </c>
      <c r="AE260" s="22"/>
      <c r="AF260" s="22"/>
      <c r="AG260" s="22"/>
      <c r="AH260" s="22"/>
      <c r="AI260" s="22"/>
      <c r="AJ260" s="22"/>
      <c r="AK260" s="22"/>
      <c r="AL260" s="22"/>
      <c r="AM260" s="22"/>
      <c r="AN260" s="22"/>
      <c r="AO260" s="22"/>
      <c r="AP260" s="22"/>
      <c r="BB260" s="30" t="s">
        <v>756</v>
      </c>
      <c r="BC260" s="21" t="s">
        <v>127</v>
      </c>
      <c r="BD260" s="21" t="b">
        <v>1</v>
      </c>
      <c r="BE260" s="21">
        <f>G312</f>
        <v>0</v>
      </c>
      <c r="BF260" s="21" t="str">
        <f>""&amp;G312</f>
        <v/>
      </c>
      <c r="BG260" s="21" t="b">
        <v>1</v>
      </c>
      <c r="BH260" s="21" t="b">
        <v>0</v>
      </c>
      <c r="BK260" s="21" t="str">
        <f ca="1">_xlfn.FORMULATEXT(BE260)</f>
        <v>=G312</v>
      </c>
      <c r="BL260" s="21" t="str">
        <f ca="1">_xlfn.FORMULATEXT(BE260)</f>
        <v>=G312</v>
      </c>
    </row>
    <row r="261" spans="1:64" ht="2.75" customHeight="1">
      <c r="A261" s="64" t="s">
        <v>673</v>
      </c>
      <c r="B261" s="246"/>
      <c r="C261" s="247"/>
      <c r="D261" s="247"/>
      <c r="E261" s="247"/>
      <c r="F261" s="247"/>
      <c r="G261" s="451"/>
      <c r="H261" s="449"/>
      <c r="I261" s="422"/>
      <c r="J261" s="451"/>
      <c r="K261" s="449"/>
      <c r="L261" s="422"/>
      <c r="M261" s="455"/>
      <c r="N261" s="453"/>
      <c r="O261" s="429"/>
      <c r="P261" s="64"/>
      <c r="W261" s="22"/>
      <c r="X261" s="22"/>
      <c r="AA261" s="22"/>
      <c r="AB261" s="22"/>
      <c r="AC261" s="22"/>
      <c r="AD261" s="22">
        <f>ROW()</f>
        <v>261</v>
      </c>
      <c r="AE261" s="22"/>
      <c r="AF261" s="22"/>
      <c r="AG261" s="22"/>
      <c r="AH261" s="22"/>
      <c r="AI261" s="22"/>
      <c r="AJ261" s="22"/>
      <c r="AK261" s="22"/>
      <c r="AL261" s="22"/>
      <c r="AM261" s="22"/>
      <c r="AN261" s="22"/>
      <c r="AO261" s="22"/>
      <c r="AP261" s="22"/>
      <c r="BB261" s="30" t="s">
        <v>757</v>
      </c>
      <c r="BC261" s="21" t="s">
        <v>127</v>
      </c>
      <c r="BD261" s="21" t="b">
        <v>1</v>
      </c>
      <c r="BE261" s="21" t="str">
        <f>J312</f>
        <v>0</v>
      </c>
      <c r="BF261" s="21" t="str">
        <f>""&amp;J312</f>
        <v>0</v>
      </c>
      <c r="BG261" s="21" t="b">
        <v>1</v>
      </c>
      <c r="BH261" s="21" t="b">
        <v>0</v>
      </c>
      <c r="BI261" s="21" t="str">
        <f>BE261</f>
        <v>0</v>
      </c>
      <c r="BK261" s="21" t="str">
        <f ca="1">_xlfn.FORMULATEXT(BE261)</f>
        <v>=J312</v>
      </c>
      <c r="BL261" s="21" t="str">
        <f ca="1">_xlfn.FORMULATEXT(BE261)</f>
        <v>=J312</v>
      </c>
    </row>
    <row r="262" spans="1:64" ht="14.5">
      <c r="A262" s="64" t="s">
        <v>673</v>
      </c>
      <c r="B262" s="239">
        <v>7</v>
      </c>
      <c r="C262" s="240" t="s">
        <v>758</v>
      </c>
      <c r="D262" s="240"/>
      <c r="E262" s="240"/>
      <c r="F262" s="240"/>
      <c r="G262" s="439"/>
      <c r="H262" s="438"/>
      <c r="I262" s="409"/>
      <c r="J262" s="439" t="s">
        <v>450</v>
      </c>
      <c r="K262" s="438"/>
      <c r="L262" s="409"/>
      <c r="M262" s="414"/>
      <c r="N262" s="413"/>
      <c r="O262" s="415"/>
      <c r="P262" s="64"/>
      <c r="W262" s="22"/>
      <c r="X262" s="22"/>
      <c r="AA262" s="22"/>
      <c r="AB262" s="22"/>
      <c r="AC262" s="22"/>
      <c r="AD262" s="22">
        <f>ROW()</f>
        <v>262</v>
      </c>
      <c r="AE262" s="22"/>
      <c r="AF262" s="22"/>
      <c r="AG262" s="22"/>
      <c r="AH262" s="22"/>
      <c r="AI262" s="22"/>
      <c r="AJ262" s="22"/>
      <c r="AK262" s="22"/>
      <c r="AL262" s="22"/>
      <c r="AM262" s="22"/>
      <c r="AN262" s="22"/>
      <c r="AO262" s="22"/>
      <c r="AP262" s="22"/>
      <c r="BB262" s="30" t="s">
        <v>759</v>
      </c>
      <c r="BC262" s="21" t="s">
        <v>127</v>
      </c>
      <c r="BD262" s="21" t="b">
        <v>0</v>
      </c>
      <c r="BE262" s="21">
        <f>M312</f>
        <v>0</v>
      </c>
      <c r="BF262" s="21" t="str">
        <f>""&amp;M312</f>
        <v/>
      </c>
      <c r="BG262" s="21" t="b">
        <v>1</v>
      </c>
      <c r="BH262" s="21" t="b">
        <v>0</v>
      </c>
      <c r="BI262" s="21" t="str">
        <f>BE261</f>
        <v>0</v>
      </c>
      <c r="BK262" s="21" t="str">
        <f ca="1">_xlfn.FORMULATEXT(BE262)</f>
        <v>=M312</v>
      </c>
      <c r="BL262" s="21" t="str">
        <f ca="1">_xlfn.FORMULATEXT(BE262)</f>
        <v>=M312</v>
      </c>
    </row>
    <row r="263" spans="1:64" ht="14" customHeight="1">
      <c r="A263" s="64" t="s">
        <v>673</v>
      </c>
      <c r="B263" s="245"/>
      <c r="C263" s="247" t="s">
        <v>760</v>
      </c>
      <c r="D263" s="247"/>
      <c r="E263" s="247"/>
      <c r="F263" s="247"/>
      <c r="G263" s="630" t="str" cm="1">
        <f t="array" ref="G263">TEXT(SUM(_xlfn.NUMBERVALUE(G254:I262),_xlfn.NUMBERVALUE(G252)),"0.00")</f>
        <v>0.00</v>
      </c>
      <c r="H263" s="626"/>
      <c r="I263" s="632"/>
      <c r="J263" s="630" t="str" cm="1">
        <f t="array" ref="J263">TEXT(SUM(_xlfn.NUMBERVALUE(J254:L262),_xlfn.NUMBERVALUE(J252)),"0.00")</f>
        <v>815620.00</v>
      </c>
      <c r="K263" s="626"/>
      <c r="L263" s="632"/>
      <c r="M263" s="454"/>
      <c r="N263" s="443"/>
      <c r="O263" s="456"/>
      <c r="P263" s="64"/>
      <c r="W263" s="22"/>
      <c r="X263" s="22"/>
      <c r="AA263" s="22"/>
      <c r="AB263" s="22"/>
      <c r="AC263" s="22"/>
      <c r="AD263" s="22">
        <f>ROW()</f>
        <v>263</v>
      </c>
      <c r="AE263" s="22"/>
      <c r="AF263" s="22"/>
      <c r="AG263" s="22"/>
      <c r="AH263" s="22"/>
      <c r="AI263" s="22"/>
      <c r="AJ263" s="22"/>
      <c r="AK263" s="22"/>
      <c r="AL263" s="22"/>
      <c r="AM263" s="22"/>
      <c r="AN263" s="22"/>
      <c r="AO263" s="22"/>
      <c r="AP263" s="22"/>
      <c r="BB263" s="30" t="s">
        <v>761</v>
      </c>
      <c r="BC263" s="21" t="s">
        <v>127</v>
      </c>
      <c r="BD263" s="21" t="b">
        <v>1</v>
      </c>
      <c r="BE263" s="21" t="str">
        <f>G313</f>
        <v>0.00</v>
      </c>
      <c r="BF263" s="21" t="str">
        <f>""&amp;G313</f>
        <v>0.00</v>
      </c>
      <c r="BG263" s="21" t="b">
        <v>0</v>
      </c>
      <c r="BH263" s="21" t="b">
        <v>0</v>
      </c>
      <c r="BK263" s="21" t="str">
        <f ca="1">_xlfn.FORMULATEXT(BE263)</f>
        <v>=G313</v>
      </c>
      <c r="BL263" s="21" t="str">
        <f ca="1">_xlfn.FORMULATEXT(BE263)</f>
        <v>=G313</v>
      </c>
    </row>
    <row r="264" spans="1:64" ht="14.5" hidden="1">
      <c r="A264" s="64" t="s">
        <v>673</v>
      </c>
      <c r="B264" s="246"/>
      <c r="C264" s="247"/>
      <c r="D264" s="247"/>
      <c r="E264" s="247"/>
      <c r="F264" s="247"/>
      <c r="G264" s="631"/>
      <c r="H264" s="629"/>
      <c r="I264" s="633"/>
      <c r="J264" s="631"/>
      <c r="K264" s="629"/>
      <c r="L264" s="633"/>
      <c r="M264" s="455"/>
      <c r="N264" s="453"/>
      <c r="O264" s="429"/>
      <c r="P264" s="64"/>
      <c r="W264" s="22"/>
      <c r="X264" s="22"/>
      <c r="AA264" s="22"/>
      <c r="AB264" s="22"/>
      <c r="AC264" s="22"/>
      <c r="AD264" s="22">
        <f>ROW()</f>
        <v>264</v>
      </c>
      <c r="AE264" s="22"/>
      <c r="AF264" s="22"/>
      <c r="AG264" s="22"/>
      <c r="AH264" s="22"/>
      <c r="AI264" s="22"/>
      <c r="AJ264" s="22"/>
      <c r="AK264" s="22"/>
      <c r="AL264" s="22"/>
      <c r="AM264" s="22"/>
      <c r="AN264" s="22"/>
      <c r="AO264" s="22"/>
      <c r="AP264" s="22"/>
      <c r="BB264" s="30" t="s">
        <v>762</v>
      </c>
      <c r="BC264" s="21" t="s">
        <v>127</v>
      </c>
      <c r="BD264" s="21" t="b">
        <v>0</v>
      </c>
      <c r="BE264" s="21" t="str">
        <f>J313</f>
        <v>0.00</v>
      </c>
      <c r="BF264" s="21" t="str">
        <f>""&amp;J313</f>
        <v>0.00</v>
      </c>
      <c r="BG264" s="21" t="b">
        <v>0</v>
      </c>
      <c r="BH264" s="21" t="b">
        <v>0</v>
      </c>
      <c r="BI264" s="21" t="str">
        <f>BE264</f>
        <v>0.00</v>
      </c>
      <c r="BK264" s="21" t="str">
        <f ca="1">_xlfn.FORMULATEXT(BE264)</f>
        <v>=J313</v>
      </c>
      <c r="BL264" s="21" t="str">
        <f ca="1">_xlfn.FORMULATEXT(BE264)</f>
        <v>=J313</v>
      </c>
    </row>
    <row r="265" spans="1:64" ht="14.5">
      <c r="A265" s="64" t="s">
        <v>673</v>
      </c>
      <c r="B265" s="239">
        <v>8</v>
      </c>
      <c r="C265" s="247" t="s">
        <v>763</v>
      </c>
      <c r="D265" s="247"/>
      <c r="E265" s="247"/>
      <c r="F265" s="247"/>
      <c r="G265" s="450"/>
      <c r="H265" s="437"/>
      <c r="I265" s="452"/>
      <c r="J265" s="450" t="s">
        <v>450</v>
      </c>
      <c r="K265" s="437"/>
      <c r="L265" s="452"/>
      <c r="M265" s="454"/>
      <c r="N265" s="443"/>
      <c r="O265" s="456"/>
      <c r="P265" s="64"/>
      <c r="W265" s="22"/>
      <c r="X265" s="22"/>
      <c r="AA265" s="22"/>
      <c r="AB265" s="22"/>
      <c r="AC265" s="22"/>
      <c r="AD265" s="22">
        <f>ROW()</f>
        <v>265</v>
      </c>
      <c r="AE265" s="22"/>
      <c r="AF265" s="22"/>
      <c r="AG265" s="22"/>
      <c r="AH265" s="22"/>
      <c r="AI265" s="22"/>
      <c r="AJ265" s="22"/>
      <c r="AK265" s="22"/>
      <c r="AL265" s="22"/>
      <c r="AM265" s="22"/>
      <c r="AN265" s="22"/>
      <c r="AO265" s="22"/>
      <c r="AP265" s="22"/>
      <c r="BB265" s="30" t="s">
        <v>764</v>
      </c>
      <c r="BC265" s="21" t="s">
        <v>127</v>
      </c>
      <c r="BD265" s="21" t="b">
        <v>0</v>
      </c>
      <c r="BE265" s="21">
        <f>M313</f>
        <v>0</v>
      </c>
      <c r="BF265" s="21" t="str">
        <f>""&amp;M313</f>
        <v/>
      </c>
      <c r="BG265" s="21" t="b">
        <v>1</v>
      </c>
      <c r="BH265" s="21" t="b">
        <v>0</v>
      </c>
      <c r="BI265" s="21" t="str">
        <f>BE264</f>
        <v>0.00</v>
      </c>
      <c r="BK265" s="21" t="str">
        <f ca="1">_xlfn.FORMULATEXT(BE265)</f>
        <v>=M313</v>
      </c>
      <c r="BL265" s="21" t="str">
        <f ca="1">_xlfn.FORMULATEXT(BE265)</f>
        <v>=M313</v>
      </c>
    </row>
    <row r="266" spans="1:64" ht="14.5">
      <c r="A266" s="64" t="s">
        <v>673</v>
      </c>
      <c r="B266" s="239"/>
      <c r="C266" s="247"/>
      <c r="D266" s="247"/>
      <c r="E266" s="247"/>
      <c r="F266" s="247"/>
      <c r="G266" s="451"/>
      <c r="H266" s="449"/>
      <c r="I266" s="422"/>
      <c r="J266" s="451"/>
      <c r="K266" s="449"/>
      <c r="L266" s="422"/>
      <c r="M266" s="455"/>
      <c r="N266" s="453"/>
      <c r="O266" s="429"/>
      <c r="P266" s="64"/>
      <c r="W266" s="22"/>
      <c r="X266" s="22"/>
      <c r="AA266" s="22"/>
      <c r="AB266" s="22"/>
      <c r="AC266" s="22"/>
      <c r="AD266" s="22">
        <f>ROW()</f>
        <v>266</v>
      </c>
      <c r="AE266" s="22"/>
      <c r="AF266" s="22"/>
      <c r="AG266" s="22"/>
      <c r="AH266" s="22"/>
      <c r="AI266" s="22"/>
      <c r="AJ266" s="22"/>
      <c r="AK266" s="22"/>
      <c r="AL266" s="22"/>
      <c r="AM266" s="22"/>
      <c r="AN266" s="22"/>
      <c r="AO266" s="22"/>
      <c r="AP266" s="22"/>
      <c r="BB266" s="30" t="s">
        <v>765</v>
      </c>
      <c r="BC266" s="21" t="s">
        <v>127</v>
      </c>
      <c r="BD266" s="21" t="b">
        <v>1</v>
      </c>
      <c r="BE266" s="21">
        <f>G315</f>
        <v>0</v>
      </c>
      <c r="BF266" s="21" t="str">
        <f>""&amp;G315</f>
        <v/>
      </c>
      <c r="BG266" s="21" t="b">
        <v>1</v>
      </c>
      <c r="BH266" s="21" t="b">
        <v>0</v>
      </c>
      <c r="BK266" s="21" t="str">
        <f ca="1">_xlfn.FORMULATEXT(BE266)</f>
        <v>=G315</v>
      </c>
      <c r="BL266" s="21" t="str">
        <f ca="1">_xlfn.FORMULATEXT(BE266)</f>
        <v>=G315</v>
      </c>
    </row>
    <row r="267" spans="1:64" ht="14.75" customHeight="1">
      <c r="A267" s="64" t="s">
        <v>673</v>
      </c>
      <c r="B267" s="64"/>
      <c r="C267" s="64"/>
      <c r="D267" s="64"/>
      <c r="E267" s="64"/>
      <c r="F267" s="64"/>
      <c r="G267" s="64"/>
      <c r="H267" s="64"/>
      <c r="I267" s="64"/>
      <c r="J267" s="64"/>
      <c r="K267" s="64"/>
      <c r="L267" s="64"/>
      <c r="M267" s="64"/>
      <c r="N267" s="64"/>
      <c r="O267" s="93"/>
      <c r="P267" s="64"/>
      <c r="W267" s="22"/>
      <c r="X267" s="22"/>
      <c r="AA267" s="22"/>
      <c r="AB267" s="22"/>
      <c r="AC267" s="22"/>
      <c r="AD267" s="22">
        <f>ROW()</f>
        <v>267</v>
      </c>
      <c r="AE267" s="22"/>
      <c r="AF267" s="22"/>
      <c r="AG267" s="22"/>
      <c r="AH267" s="22"/>
      <c r="AI267" s="22"/>
      <c r="AJ267" s="22"/>
      <c r="AK267" s="22"/>
      <c r="AL267" s="22"/>
      <c r="AM267" s="22"/>
      <c r="AN267" s="22"/>
      <c r="AO267" s="22"/>
      <c r="AP267" s="22"/>
      <c r="BB267" s="30" t="s">
        <v>766</v>
      </c>
      <c r="BC267" s="21" t="s">
        <v>127</v>
      </c>
      <c r="BD267" s="21" t="b">
        <v>1</v>
      </c>
      <c r="BE267" s="21" t="str">
        <f>J315</f>
        <v>0</v>
      </c>
      <c r="BF267" s="21" t="str">
        <f>""&amp;J315</f>
        <v>0</v>
      </c>
      <c r="BG267" s="21" t="b">
        <v>1</v>
      </c>
      <c r="BH267" s="21" t="b">
        <v>0</v>
      </c>
      <c r="BI267" s="21" t="str">
        <f>BE267</f>
        <v>0</v>
      </c>
      <c r="BK267" s="21" t="str">
        <f ca="1">_xlfn.FORMULATEXT(BE267)</f>
        <v>=J315</v>
      </c>
      <c r="BL267" s="21" t="str">
        <f ca="1">_xlfn.FORMULATEXT(BE267)</f>
        <v>=J315</v>
      </c>
    </row>
    <row r="268" spans="1:64" ht="14.5">
      <c r="A268" s="64" t="s">
        <v>673</v>
      </c>
      <c r="B268" s="89" t="s">
        <v>767</v>
      </c>
      <c r="C268" s="89"/>
      <c r="D268" s="89"/>
      <c r="E268" s="89"/>
      <c r="F268" s="89"/>
      <c r="G268" s="89"/>
      <c r="H268" s="89"/>
      <c r="I268" s="64"/>
      <c r="J268" s="64"/>
      <c r="K268" s="64"/>
      <c r="L268" s="64"/>
      <c r="M268" s="64"/>
      <c r="N268" s="64"/>
      <c r="O268" s="93"/>
      <c r="P268" s="64"/>
      <c r="W268" s="22"/>
      <c r="X268" s="22"/>
      <c r="AA268" s="22"/>
      <c r="AB268" s="22"/>
      <c r="AC268" s="22"/>
      <c r="AD268" s="22">
        <f>ROW()</f>
        <v>268</v>
      </c>
      <c r="AE268" s="22"/>
      <c r="AF268" s="22"/>
      <c r="AG268" s="22"/>
      <c r="AH268" s="22"/>
      <c r="AI268" s="22"/>
      <c r="AJ268" s="22"/>
      <c r="AK268" s="22"/>
      <c r="AL268" s="22"/>
      <c r="AM268" s="22"/>
      <c r="AN268" s="22"/>
      <c r="AO268" s="22"/>
      <c r="AP268" s="22"/>
      <c r="BB268" s="30" t="s">
        <v>768</v>
      </c>
      <c r="BC268" s="21" t="s">
        <v>127</v>
      </c>
      <c r="BD268" s="21" t="b">
        <v>0</v>
      </c>
      <c r="BE268" s="21">
        <f>M315</f>
        <v>0</v>
      </c>
      <c r="BF268" s="21" t="str">
        <f>""&amp;M315</f>
        <v/>
      </c>
      <c r="BG268" s="21" t="b">
        <v>1</v>
      </c>
      <c r="BH268" s="21" t="b">
        <v>0</v>
      </c>
      <c r="BI268" s="21" t="str">
        <f>BE267</f>
        <v>0</v>
      </c>
      <c r="BK268" s="21" t="str">
        <f ca="1">_xlfn.FORMULATEXT(BE268)</f>
        <v>=M315</v>
      </c>
      <c r="BL268" s="21" t="str">
        <f ca="1">_xlfn.FORMULATEXT(BE268)</f>
        <v>=M315</v>
      </c>
    </row>
    <row r="269" spans="1:64" ht="14.75" customHeight="1">
      <c r="A269" s="64" t="s">
        <v>673</v>
      </c>
      <c r="B269" s="241"/>
      <c r="C269" s="242" t="s">
        <v>735</v>
      </c>
      <c r="D269" s="242"/>
      <c r="E269" s="242"/>
      <c r="F269" s="242"/>
      <c r="G269" s="243" t="s">
        <v>736</v>
      </c>
      <c r="H269" s="243"/>
      <c r="I269" s="243"/>
      <c r="J269" s="242" t="s">
        <v>737</v>
      </c>
      <c r="K269" s="242"/>
      <c r="L269" s="242"/>
      <c r="M269" s="243" t="s">
        <v>628</v>
      </c>
      <c r="N269" s="243"/>
      <c r="O269" s="243"/>
      <c r="P269" s="64"/>
      <c r="W269" s="22"/>
      <c r="X269" s="22"/>
      <c r="AA269" s="22"/>
      <c r="AB269" s="22"/>
      <c r="AC269" s="22"/>
      <c r="AD269" s="22">
        <f>ROW()</f>
        <v>269</v>
      </c>
      <c r="AE269" s="22"/>
      <c r="AF269" s="22"/>
      <c r="AG269" s="22"/>
      <c r="AH269" s="22"/>
      <c r="AI269" s="22"/>
      <c r="AJ269" s="22"/>
      <c r="AK269" s="22"/>
      <c r="AL269" s="22"/>
      <c r="AM269" s="22"/>
      <c r="AN269" s="22"/>
      <c r="AO269" s="22"/>
      <c r="AP269" s="22"/>
      <c r="BB269" s="30" t="s">
        <v>769</v>
      </c>
      <c r="BC269" s="21" t="s">
        <v>123</v>
      </c>
      <c r="BD269" s="21" t="b">
        <v>0</v>
      </c>
      <c r="BE269" s="21" t="s">
        <v>770</v>
      </c>
      <c r="BF269" s="21" t="s">
        <v>770</v>
      </c>
      <c r="BG269" s="21" t="b">
        <v>0</v>
      </c>
      <c r="BH269" s="21" t="b">
        <v>0</v>
      </c>
      <c r="BK269" s="21" t="s">
        <v>125</v>
      </c>
      <c r="BL269" s="21" t="s">
        <v>125</v>
      </c>
    </row>
    <row r="270" spans="1:64" ht="14.5">
      <c r="A270" s="64" t="s">
        <v>673</v>
      </c>
      <c r="B270" s="241"/>
      <c r="C270" s="242"/>
      <c r="D270" s="242"/>
      <c r="E270" s="242"/>
      <c r="F270" s="242"/>
      <c r="G270" s="243"/>
      <c r="H270" s="243"/>
      <c r="I270" s="243"/>
      <c r="J270" s="242"/>
      <c r="K270" s="242"/>
      <c r="L270" s="242"/>
      <c r="M270" s="243"/>
      <c r="N270" s="243"/>
      <c r="O270" s="243"/>
      <c r="P270" s="64"/>
      <c r="W270" s="22"/>
      <c r="X270" s="22"/>
      <c r="AA270" s="22"/>
      <c r="AB270" s="22"/>
      <c r="AC270" s="22"/>
      <c r="AD270" s="22">
        <f>ROW()</f>
        <v>270</v>
      </c>
      <c r="AE270" s="22"/>
      <c r="AF270" s="22"/>
      <c r="AG270" s="22"/>
      <c r="AH270" s="22"/>
      <c r="AI270" s="22"/>
      <c r="AJ270" s="22"/>
      <c r="AK270" s="22"/>
      <c r="AL270" s="22"/>
      <c r="AM270" s="22"/>
      <c r="AN270" s="22"/>
      <c r="AO270" s="22"/>
      <c r="AP270" s="22"/>
      <c r="BB270" s="30" t="s">
        <v>771</v>
      </c>
      <c r="BC270" s="21" t="s">
        <v>127</v>
      </c>
      <c r="BD270" s="21" t="b">
        <v>1</v>
      </c>
      <c r="BE270" s="64">
        <f>G321</f>
        <v>0</v>
      </c>
      <c r="BF270" s="21" t="str">
        <f>""&amp;G321</f>
        <v/>
      </c>
      <c r="BG270" s="21" t="b">
        <v>1</v>
      </c>
      <c r="BH270" s="21" t="b">
        <v>0</v>
      </c>
      <c r="BK270" s="21" t="str">
        <f ca="1">_xlfn.FORMULATEXT(BE270)</f>
        <v>=G321</v>
      </c>
      <c r="BL270" s="21" t="str">
        <f ca="1">_xlfn.FORMULATEXT(BE270)</f>
        <v>=G321</v>
      </c>
    </row>
    <row r="271" spans="1:64" ht="14.5">
      <c r="A271" s="64" t="s">
        <v>673</v>
      </c>
      <c r="B271" s="239">
        <v>1</v>
      </c>
      <c r="C271" s="248" t="s">
        <v>772</v>
      </c>
      <c r="D271" s="248"/>
      <c r="E271" s="248"/>
      <c r="F271" s="248"/>
      <c r="G271" s="458"/>
      <c r="H271" s="458"/>
      <c r="I271" s="458"/>
      <c r="J271" s="458"/>
      <c r="K271" s="458"/>
      <c r="L271" s="458"/>
      <c r="M271" s="458"/>
      <c r="N271" s="458"/>
      <c r="O271" s="458"/>
      <c r="P271" s="64"/>
      <c r="W271" s="22"/>
      <c r="X271" s="22"/>
      <c r="AA271" s="22"/>
      <c r="AB271" s="22"/>
      <c r="AC271" s="22"/>
      <c r="AD271" s="22">
        <f>ROW()</f>
        <v>271</v>
      </c>
      <c r="AE271" s="22"/>
      <c r="AF271" s="22"/>
      <c r="AG271" s="22"/>
      <c r="AH271" s="22"/>
      <c r="AI271" s="22"/>
      <c r="AJ271" s="22"/>
      <c r="AK271" s="22"/>
      <c r="AL271" s="22"/>
      <c r="AM271" s="22"/>
      <c r="AN271" s="22"/>
      <c r="AO271" s="22"/>
      <c r="AP271" s="22"/>
      <c r="BB271" s="30" t="s">
        <v>773</v>
      </c>
      <c r="BC271" s="21" t="s">
        <v>127</v>
      </c>
      <c r="BD271" s="21" t="b">
        <v>1</v>
      </c>
      <c r="BE271" s="21" t="str">
        <f>J321</f>
        <v>0</v>
      </c>
      <c r="BF271" s="21" t="str">
        <f>""&amp;J321</f>
        <v>0</v>
      </c>
      <c r="BG271" s="21" t="b">
        <v>1</v>
      </c>
      <c r="BH271" s="21" t="b">
        <v>0</v>
      </c>
      <c r="BI271" s="64" t="str">
        <f>BE271</f>
        <v>0</v>
      </c>
      <c r="BK271" s="21" t="str">
        <f ca="1">_xlfn.FORMULATEXT(BE271)</f>
        <v>=J321</v>
      </c>
      <c r="BL271" s="21" t="str">
        <f ca="1">_xlfn.FORMULATEXT(BE271)</f>
        <v>=J321</v>
      </c>
    </row>
    <row r="272" spans="1:64" ht="14.5">
      <c r="A272" s="64" t="s">
        <v>673</v>
      </c>
      <c r="B272" s="184"/>
      <c r="C272" s="244" t="s">
        <v>774</v>
      </c>
      <c r="D272" s="244"/>
      <c r="E272" s="244"/>
      <c r="F272" s="244"/>
      <c r="G272" s="408"/>
      <c r="H272" s="407"/>
      <c r="I272" s="409"/>
      <c r="J272" s="408" t="s">
        <v>450</v>
      </c>
      <c r="K272" s="407"/>
      <c r="L272" s="409"/>
      <c r="M272" s="414"/>
      <c r="N272" s="413"/>
      <c r="O272" s="415"/>
      <c r="P272" s="64"/>
      <c r="W272" s="22"/>
      <c r="X272" s="22"/>
      <c r="AA272" s="22"/>
      <c r="AB272" s="22"/>
      <c r="AC272" s="22"/>
      <c r="AD272" s="22">
        <f>ROW()</f>
        <v>272</v>
      </c>
      <c r="AE272" s="22"/>
      <c r="AF272" s="22"/>
      <c r="AG272" s="22"/>
      <c r="AH272" s="22"/>
      <c r="AI272" s="22"/>
      <c r="AJ272" s="22"/>
      <c r="AK272" s="22"/>
      <c r="AL272" s="22"/>
      <c r="AM272" s="22"/>
      <c r="AN272" s="22"/>
      <c r="AO272" s="22"/>
      <c r="AP272" s="22"/>
      <c r="BB272" s="30" t="s">
        <v>775</v>
      </c>
      <c r="BC272" s="21" t="s">
        <v>127</v>
      </c>
      <c r="BD272" s="21" t="b">
        <v>0</v>
      </c>
      <c r="BE272" s="21">
        <f>M321</f>
        <v>0</v>
      </c>
      <c r="BF272" s="21" t="str">
        <f>""&amp;M321</f>
        <v/>
      </c>
      <c r="BG272" s="21" t="b">
        <v>1</v>
      </c>
      <c r="BH272" s="21" t="b">
        <v>0</v>
      </c>
      <c r="BI272" s="64" t="str">
        <f>BE271</f>
        <v>0</v>
      </c>
      <c r="BK272" s="21" t="str">
        <f ca="1">_xlfn.FORMULATEXT(BE272)</f>
        <v>=M321</v>
      </c>
      <c r="BL272" s="21" t="str">
        <f ca="1">_xlfn.FORMULATEXT(BE272)</f>
        <v>=M321</v>
      </c>
    </row>
    <row r="273" spans="1:64" ht="14.5">
      <c r="A273" s="64" t="s">
        <v>673</v>
      </c>
      <c r="B273" s="207"/>
      <c r="C273" s="244" t="s">
        <v>776</v>
      </c>
      <c r="D273" s="244"/>
      <c r="E273" s="244"/>
      <c r="F273" s="244"/>
      <c r="G273" s="408"/>
      <c r="H273" s="407"/>
      <c r="I273" s="409"/>
      <c r="J273" s="408" t="s">
        <v>450</v>
      </c>
      <c r="K273" s="407"/>
      <c r="L273" s="409"/>
      <c r="M273" s="414"/>
      <c r="N273" s="413"/>
      <c r="O273" s="415"/>
      <c r="P273" s="64"/>
      <c r="W273" s="22"/>
      <c r="X273" s="22"/>
      <c r="AA273" s="22"/>
      <c r="AB273" s="22"/>
      <c r="AC273" s="22"/>
      <c r="AD273" s="22">
        <f>ROW()</f>
        <v>273</v>
      </c>
      <c r="AE273" s="22"/>
      <c r="AF273" s="22"/>
      <c r="AG273" s="22"/>
      <c r="AH273" s="22"/>
      <c r="AI273" s="22"/>
      <c r="AJ273" s="22"/>
      <c r="AK273" s="22"/>
      <c r="AL273" s="22"/>
      <c r="AM273" s="22"/>
      <c r="AN273" s="22"/>
      <c r="AO273" s="22"/>
      <c r="AP273" s="22"/>
      <c r="BB273" s="30" t="s">
        <v>777</v>
      </c>
      <c r="BC273" s="21" t="s">
        <v>127</v>
      </c>
      <c r="BD273" s="21" t="b">
        <v>1</v>
      </c>
      <c r="BE273" s="21">
        <f>G322</f>
        <v>0</v>
      </c>
      <c r="BF273" s="21" t="str">
        <f>""&amp;G322</f>
        <v/>
      </c>
      <c r="BG273" s="21" t="b">
        <v>1</v>
      </c>
      <c r="BH273" s="21" t="b">
        <v>0</v>
      </c>
      <c r="BK273" s="21" t="str">
        <f ca="1">_xlfn.FORMULATEXT(BE273)</f>
        <v>=G322</v>
      </c>
      <c r="BL273" s="21" t="str">
        <f ca="1">_xlfn.FORMULATEXT(BE273)</f>
        <v>=G322</v>
      </c>
    </row>
    <row r="274" spans="1:64" ht="14.5">
      <c r="A274" s="64" t="s">
        <v>673</v>
      </c>
      <c r="B274" s="239">
        <v>2</v>
      </c>
      <c r="C274" s="247" t="s">
        <v>752</v>
      </c>
      <c r="D274" s="247"/>
      <c r="E274" s="247"/>
      <c r="F274" s="247"/>
      <c r="G274" s="450"/>
      <c r="H274" s="437"/>
      <c r="I274" s="452"/>
      <c r="J274" s="450" t="s">
        <v>450</v>
      </c>
      <c r="K274" s="437"/>
      <c r="L274" s="452"/>
      <c r="M274" s="454"/>
      <c r="N274" s="443"/>
      <c r="O274" s="456"/>
      <c r="P274" s="64"/>
      <c r="W274" s="22"/>
      <c r="X274" s="22"/>
      <c r="AA274" s="22"/>
      <c r="AB274" s="22"/>
      <c r="AC274" s="22"/>
      <c r="AD274" s="22">
        <f>ROW()</f>
        <v>274</v>
      </c>
      <c r="AE274" s="22"/>
      <c r="AF274" s="22"/>
      <c r="AG274" s="22"/>
      <c r="AH274" s="22"/>
      <c r="AI274" s="22"/>
      <c r="AJ274" s="22"/>
      <c r="AK274" s="22"/>
      <c r="AL274" s="22"/>
      <c r="AM274" s="22"/>
      <c r="AN274" s="22"/>
      <c r="AO274" s="22"/>
      <c r="AP274" s="22"/>
      <c r="BB274" s="30" t="s">
        <v>778</v>
      </c>
      <c r="BC274" s="21" t="s">
        <v>127</v>
      </c>
      <c r="BD274" s="21" t="b">
        <v>1</v>
      </c>
      <c r="BE274" s="21" t="str">
        <f>J322</f>
        <v>0</v>
      </c>
      <c r="BF274" s="21" t="str">
        <f>""&amp;J322</f>
        <v>0</v>
      </c>
      <c r="BG274" s="21" t="b">
        <v>1</v>
      </c>
      <c r="BH274" s="21" t="b">
        <v>0</v>
      </c>
      <c r="BI274" s="64" t="str">
        <f>BE274</f>
        <v>0</v>
      </c>
      <c r="BK274" s="21" t="str">
        <f ca="1">_xlfn.FORMULATEXT(BE274)</f>
        <v>=J322</v>
      </c>
      <c r="BL274" s="21" t="str">
        <f ca="1">_xlfn.FORMULATEXT(BE274)</f>
        <v>=J322</v>
      </c>
    </row>
    <row r="275" spans="1:64" ht="0.65" customHeight="1">
      <c r="A275" s="64" t="s">
        <v>673</v>
      </c>
      <c r="B275" s="239"/>
      <c r="C275" s="247"/>
      <c r="D275" s="247"/>
      <c r="E275" s="247"/>
      <c r="F275" s="247"/>
      <c r="G275" s="451"/>
      <c r="H275" s="449"/>
      <c r="I275" s="422"/>
      <c r="J275" s="451"/>
      <c r="K275" s="449"/>
      <c r="L275" s="422"/>
      <c r="M275" s="455"/>
      <c r="N275" s="453"/>
      <c r="O275" s="429"/>
      <c r="P275" s="64"/>
      <c r="W275" s="22"/>
      <c r="X275" s="22"/>
      <c r="AA275" s="22"/>
      <c r="AB275" s="22"/>
      <c r="AC275" s="22"/>
      <c r="AD275" s="22">
        <f>ROW()</f>
        <v>275</v>
      </c>
      <c r="AE275" s="22"/>
      <c r="AF275" s="22"/>
      <c r="AG275" s="22"/>
      <c r="AH275" s="22"/>
      <c r="AI275" s="22"/>
      <c r="AJ275" s="22"/>
      <c r="AK275" s="22"/>
      <c r="AL275" s="22"/>
      <c r="AM275" s="22"/>
      <c r="AN275" s="22"/>
      <c r="AO275" s="22"/>
      <c r="AP275" s="22"/>
      <c r="BB275" s="30" t="s">
        <v>779</v>
      </c>
      <c r="BC275" s="21" t="s">
        <v>127</v>
      </c>
      <c r="BD275" s="21" t="b">
        <v>1</v>
      </c>
      <c r="BE275" s="21">
        <f>M322</f>
        <v>0</v>
      </c>
      <c r="BF275" s="21" t="str">
        <f>""&amp;M322</f>
        <v/>
      </c>
      <c r="BG275" s="21" t="b">
        <v>1</v>
      </c>
      <c r="BH275" s="21" t="b">
        <v>0</v>
      </c>
      <c r="BI275" s="64" t="str">
        <f>BE274</f>
        <v>0</v>
      </c>
      <c r="BK275" s="21" t="str">
        <f ca="1">_xlfn.FORMULATEXT(BE275)</f>
        <v>=M322</v>
      </c>
      <c r="BL275" s="21" t="str">
        <f ca="1">_xlfn.FORMULATEXT(BE275)</f>
        <v>=M322</v>
      </c>
    </row>
    <row r="276" spans="1:64" ht="14.5">
      <c r="A276" s="64" t="s">
        <v>673</v>
      </c>
      <c r="B276" s="239">
        <v>3</v>
      </c>
      <c r="C276" s="244" t="s">
        <v>780</v>
      </c>
      <c r="D276" s="244"/>
      <c r="E276" s="244"/>
      <c r="F276" s="244"/>
      <c r="G276" s="408"/>
      <c r="H276" s="407"/>
      <c r="I276" s="409"/>
      <c r="J276" s="408" t="s">
        <v>450</v>
      </c>
      <c r="K276" s="407"/>
      <c r="L276" s="409"/>
      <c r="M276" s="414"/>
      <c r="N276" s="413"/>
      <c r="O276" s="415"/>
      <c r="P276" s="64"/>
      <c r="W276" s="22"/>
      <c r="X276" s="22"/>
      <c r="AA276" s="22"/>
      <c r="AB276" s="22"/>
      <c r="AC276" s="22"/>
      <c r="AD276" s="22">
        <f>ROW()</f>
        <v>276</v>
      </c>
      <c r="AE276" s="22"/>
      <c r="AF276" s="22"/>
      <c r="AG276" s="22"/>
      <c r="AH276" s="22"/>
      <c r="AI276" s="22"/>
      <c r="AJ276" s="22"/>
      <c r="AK276" s="22"/>
      <c r="AL276" s="22"/>
      <c r="AM276" s="22"/>
      <c r="AN276" s="22"/>
      <c r="AO276" s="22"/>
      <c r="AP276" s="22"/>
      <c r="BB276" s="30" t="s">
        <v>781</v>
      </c>
      <c r="BC276" s="21" t="s">
        <v>127</v>
      </c>
      <c r="BD276" s="21" t="b">
        <v>1</v>
      </c>
      <c r="BE276" s="21">
        <f>G323</f>
        <v>0</v>
      </c>
      <c r="BF276" s="21" t="str">
        <f>""&amp;G323</f>
        <v/>
      </c>
      <c r="BG276" s="21" t="b">
        <v>1</v>
      </c>
      <c r="BH276" s="21" t="b">
        <v>0</v>
      </c>
      <c r="BK276" s="21" t="str">
        <f ca="1">_xlfn.FORMULATEXT(BE276)</f>
        <v>=G323</v>
      </c>
      <c r="BL276" s="21" t="str">
        <f ca="1">_xlfn.FORMULATEXT(BE276)</f>
        <v>=G323</v>
      </c>
    </row>
    <row r="277" spans="1:64" ht="14.5">
      <c r="A277" s="64" t="s">
        <v>673</v>
      </c>
      <c r="B277" s="239">
        <v>4</v>
      </c>
      <c r="C277" s="244" t="s">
        <v>782</v>
      </c>
      <c r="D277" s="244"/>
      <c r="E277" s="244"/>
      <c r="F277" s="244"/>
      <c r="G277" s="408"/>
      <c r="H277" s="407"/>
      <c r="I277" s="409"/>
      <c r="J277" s="408" t="s">
        <v>450</v>
      </c>
      <c r="K277" s="407"/>
      <c r="L277" s="409"/>
      <c r="M277" s="414"/>
      <c r="N277" s="413"/>
      <c r="O277" s="415"/>
      <c r="P277" s="64"/>
      <c r="W277" s="22"/>
      <c r="X277" s="22"/>
      <c r="AA277" s="22"/>
      <c r="AB277" s="22"/>
      <c r="AC277" s="22"/>
      <c r="AD277" s="22">
        <f>ROW()</f>
        <v>277</v>
      </c>
      <c r="AE277" s="22"/>
      <c r="AF277" s="22"/>
      <c r="AG277" s="22"/>
      <c r="AH277" s="22"/>
      <c r="AI277" s="22"/>
      <c r="AJ277" s="22"/>
      <c r="AK277" s="22"/>
      <c r="AL277" s="22"/>
      <c r="AM277" s="22"/>
      <c r="AN277" s="22"/>
      <c r="AO277" s="22"/>
      <c r="AP277" s="22"/>
      <c r="BB277" s="30" t="s">
        <v>783</v>
      </c>
      <c r="BC277" s="21" t="s">
        <v>127</v>
      </c>
      <c r="BD277" s="21" t="b">
        <v>1</v>
      </c>
      <c r="BE277" s="21" t="str">
        <f>J323</f>
        <v>0</v>
      </c>
      <c r="BF277" s="21" t="str">
        <f>""&amp;J323</f>
        <v>0</v>
      </c>
      <c r="BG277" s="21" t="b">
        <v>1</v>
      </c>
      <c r="BH277" s="21" t="b">
        <v>0</v>
      </c>
      <c r="BI277" s="64" t="str">
        <f>BE277</f>
        <v>0</v>
      </c>
      <c r="BK277" s="21" t="str">
        <f ca="1">_xlfn.FORMULATEXT(BE277)</f>
        <v>=J323</v>
      </c>
      <c r="BL277" s="21" t="str">
        <f ca="1">_xlfn.FORMULATEXT(BE277)</f>
        <v>=J323</v>
      </c>
    </row>
    <row r="278" spans="1:64" ht="14" customHeight="1">
      <c r="A278" s="64" t="s">
        <v>673</v>
      </c>
      <c r="B278" s="184"/>
      <c r="C278" s="247" t="s">
        <v>784</v>
      </c>
      <c r="D278" s="247"/>
      <c r="E278" s="247"/>
      <c r="F278" s="247"/>
      <c r="G278" s="630" t="str" cm="1">
        <f t="array" ref="G278">TEXT(SUM(_xlfn.NUMBERVALUE(G272:I277)),"0.00")</f>
        <v>0.00</v>
      </c>
      <c r="H278" s="626"/>
      <c r="I278" s="632"/>
      <c r="J278" s="630" t="str" cm="1">
        <f t="array" ref="J278">TEXT(SUM(_xlfn.NUMBERVALUE(J272:L277)),"0.00")</f>
        <v>0.00</v>
      </c>
      <c r="K278" s="626"/>
      <c r="L278" s="632"/>
      <c r="M278" s="454"/>
      <c r="N278" s="443"/>
      <c r="O278" s="456"/>
      <c r="P278" s="64"/>
      <c r="W278" s="22"/>
      <c r="X278" s="22"/>
      <c r="AA278" s="22"/>
      <c r="AB278" s="22"/>
      <c r="AC278" s="22"/>
      <c r="AD278" s="22">
        <f>ROW()</f>
        <v>278</v>
      </c>
      <c r="AE278" s="22"/>
      <c r="AF278" s="22"/>
      <c r="AG278" s="22"/>
      <c r="AH278" s="22"/>
      <c r="AI278" s="22"/>
      <c r="AJ278" s="22"/>
      <c r="AK278" s="22"/>
      <c r="AL278" s="22"/>
      <c r="AM278" s="22"/>
      <c r="AN278" s="22"/>
      <c r="AO278" s="22"/>
      <c r="AP278" s="22"/>
      <c r="BB278" s="30" t="s">
        <v>785</v>
      </c>
      <c r="BC278" s="21" t="s">
        <v>127</v>
      </c>
      <c r="BD278" s="21" t="b">
        <v>0</v>
      </c>
      <c r="BE278" s="21">
        <f>M323</f>
        <v>0</v>
      </c>
      <c r="BF278" s="21" t="str">
        <f>""&amp;M323</f>
        <v/>
      </c>
      <c r="BG278" s="21" t="b">
        <v>1</v>
      </c>
      <c r="BH278" s="21" t="b">
        <v>0</v>
      </c>
      <c r="BI278" s="64" t="str">
        <f>BE277</f>
        <v>0</v>
      </c>
      <c r="BK278" s="21" t="str">
        <f ca="1">_xlfn.FORMULATEXT(BE278)</f>
        <v>=M323</v>
      </c>
      <c r="BL278" s="21" t="str">
        <f ca="1">_xlfn.FORMULATEXT(BE278)</f>
        <v>=M323</v>
      </c>
    </row>
    <row r="279" spans="1:64" ht="14.5" hidden="1">
      <c r="A279" s="64" t="s">
        <v>673</v>
      </c>
      <c r="B279" s="207"/>
      <c r="C279" s="247"/>
      <c r="D279" s="247"/>
      <c r="E279" s="247"/>
      <c r="F279" s="247"/>
      <c r="G279" s="631"/>
      <c r="H279" s="629"/>
      <c r="I279" s="633"/>
      <c r="J279" s="631"/>
      <c r="K279" s="629"/>
      <c r="L279" s="633"/>
      <c r="M279" s="455"/>
      <c r="N279" s="453"/>
      <c r="O279" s="429"/>
      <c r="P279" s="64"/>
      <c r="W279" s="22"/>
      <c r="X279" s="22"/>
      <c r="AA279" s="22"/>
      <c r="AB279" s="22"/>
      <c r="AC279" s="22"/>
      <c r="AD279" s="22">
        <f>ROW()</f>
        <v>279</v>
      </c>
      <c r="AE279" s="22"/>
      <c r="AF279" s="22"/>
      <c r="AG279" s="22"/>
      <c r="AH279" s="22"/>
      <c r="AI279" s="22"/>
      <c r="AJ279" s="22"/>
      <c r="AK279" s="22"/>
      <c r="AL279" s="22"/>
      <c r="AM279" s="22"/>
      <c r="AN279" s="22"/>
      <c r="AO279" s="22"/>
      <c r="AP279" s="22"/>
      <c r="BB279" s="30" t="s">
        <v>786</v>
      </c>
      <c r="BC279" s="21" t="s">
        <v>127</v>
      </c>
      <c r="BD279" s="21" t="b">
        <v>0</v>
      </c>
      <c r="BE279" s="21" t="str">
        <f>G324</f>
        <v>0.00</v>
      </c>
      <c r="BF279" s="21" t="str">
        <f>""&amp;G324</f>
        <v>0.00</v>
      </c>
      <c r="BG279" s="21" t="b">
        <v>0</v>
      </c>
      <c r="BH279" s="21" t="b">
        <v>0</v>
      </c>
      <c r="BK279" s="21" t="str">
        <f ca="1">_xlfn.FORMULATEXT(BE279)</f>
        <v>=G324</v>
      </c>
      <c r="BL279" s="21" t="str">
        <f ca="1">_xlfn.FORMULATEXT(BE279)</f>
        <v>=G324</v>
      </c>
    </row>
    <row r="280" spans="1:64" ht="14.5">
      <c r="A280" s="64" t="s">
        <v>673</v>
      </c>
      <c r="B280" s="239">
        <v>5</v>
      </c>
      <c r="C280" s="247" t="s">
        <v>787</v>
      </c>
      <c r="D280" s="247"/>
      <c r="E280" s="247"/>
      <c r="F280" s="247"/>
      <c r="G280" s="450"/>
      <c r="H280" s="437"/>
      <c r="I280" s="452"/>
      <c r="J280" s="450" t="s">
        <v>450</v>
      </c>
      <c r="K280" s="437"/>
      <c r="L280" s="452"/>
      <c r="M280" s="454"/>
      <c r="N280" s="443"/>
      <c r="O280" s="456"/>
      <c r="P280" s="64"/>
      <c r="W280" s="22"/>
      <c r="X280" s="22"/>
      <c r="AA280" s="22"/>
      <c r="AB280" s="22"/>
      <c r="AC280" s="22"/>
      <c r="AD280" s="22">
        <f>ROW()</f>
        <v>280</v>
      </c>
      <c r="AE280" s="22"/>
      <c r="AF280" s="22"/>
      <c r="AG280" s="22"/>
      <c r="AH280" s="22"/>
      <c r="AI280" s="22"/>
      <c r="AJ280" s="22"/>
      <c r="AK280" s="22"/>
      <c r="AL280" s="22"/>
      <c r="AM280" s="22"/>
      <c r="AN280" s="22"/>
      <c r="AO280" s="22"/>
      <c r="AP280" s="22"/>
      <c r="BB280" s="30" t="s">
        <v>788</v>
      </c>
      <c r="BC280" s="21" t="s">
        <v>127</v>
      </c>
      <c r="BD280" s="21" t="b">
        <v>1</v>
      </c>
      <c r="BE280" s="21" t="str">
        <f>J324</f>
        <v>0.00</v>
      </c>
      <c r="BF280" s="21" t="str">
        <f>""&amp;J324</f>
        <v>0.00</v>
      </c>
      <c r="BG280" s="21" t="b">
        <v>0</v>
      </c>
      <c r="BH280" s="21" t="b">
        <v>0</v>
      </c>
      <c r="BI280" s="64" t="str">
        <f>BE280</f>
        <v>0.00</v>
      </c>
      <c r="BK280" s="21" t="str">
        <f ca="1">_xlfn.FORMULATEXT(BE280)</f>
        <v>=J324</v>
      </c>
      <c r="BL280" s="21" t="str">
        <f ca="1">_xlfn.FORMULATEXT(BE280)</f>
        <v>=J324</v>
      </c>
    </row>
    <row r="281" spans="1:64" ht="14.75" customHeight="1">
      <c r="A281" s="64" t="s">
        <v>673</v>
      </c>
      <c r="B281" s="239"/>
      <c r="C281" s="247"/>
      <c r="D281" s="247"/>
      <c r="E281" s="247"/>
      <c r="F281" s="247"/>
      <c r="G281" s="451"/>
      <c r="H281" s="449"/>
      <c r="I281" s="422"/>
      <c r="J281" s="451"/>
      <c r="K281" s="449"/>
      <c r="L281" s="422"/>
      <c r="M281" s="455"/>
      <c r="N281" s="453"/>
      <c r="O281" s="429"/>
      <c r="P281" s="64"/>
      <c r="W281" s="22"/>
      <c r="X281" s="22"/>
      <c r="AA281" s="22"/>
      <c r="AB281" s="22"/>
      <c r="AC281" s="22"/>
      <c r="AD281" s="22">
        <f>ROW()</f>
        <v>281</v>
      </c>
      <c r="AE281" s="22"/>
      <c r="AF281" s="22"/>
      <c r="AG281" s="22"/>
      <c r="AH281" s="22"/>
      <c r="AI281" s="22"/>
      <c r="AJ281" s="22"/>
      <c r="AK281" s="22"/>
      <c r="AL281" s="22"/>
      <c r="AM281" s="22"/>
      <c r="AN281" s="22"/>
      <c r="AO281" s="22"/>
      <c r="AP281" s="22"/>
      <c r="BB281" s="30" t="s">
        <v>789</v>
      </c>
      <c r="BC281" s="21" t="s">
        <v>127</v>
      </c>
      <c r="BD281" s="21" t="b">
        <v>0</v>
      </c>
      <c r="BE281" s="21">
        <f>M324</f>
        <v>0</v>
      </c>
      <c r="BF281" s="21" t="str">
        <f>""&amp;M324</f>
        <v/>
      </c>
      <c r="BG281" s="21" t="b">
        <v>1</v>
      </c>
      <c r="BH281" s="21" t="b">
        <v>0</v>
      </c>
      <c r="BI281" s="64" t="str">
        <f>BE280</f>
        <v>0.00</v>
      </c>
      <c r="BK281" s="21" t="str">
        <f ca="1">_xlfn.FORMULATEXT(BE281)</f>
        <v>=M324</v>
      </c>
      <c r="BL281" s="21" t="str">
        <f ca="1">_xlfn.FORMULATEXT(BE281)</f>
        <v>=M324</v>
      </c>
    </row>
    <row r="282" spans="1:64" ht="14.5">
      <c r="A282" s="64" t="s">
        <v>673</v>
      </c>
      <c r="B282" s="64"/>
      <c r="C282" s="64"/>
      <c r="D282" s="64"/>
      <c r="E282" s="64"/>
      <c r="F282" s="64"/>
      <c r="G282" s="64"/>
      <c r="H282" s="64"/>
      <c r="I282" s="64"/>
      <c r="J282" s="64"/>
      <c r="K282" s="64"/>
      <c r="L282" s="64"/>
      <c r="M282" s="64"/>
      <c r="N282" s="64"/>
      <c r="O282" s="93"/>
      <c r="P282" s="64"/>
      <c r="W282" s="22"/>
      <c r="X282" s="22"/>
      <c r="AA282" s="22"/>
      <c r="AB282" s="22"/>
      <c r="AC282" s="22"/>
      <c r="AD282" s="22">
        <f>ROW()</f>
        <v>282</v>
      </c>
      <c r="AE282" s="22"/>
      <c r="AF282" s="22"/>
      <c r="AG282" s="22"/>
      <c r="AH282" s="22"/>
      <c r="AI282" s="22"/>
      <c r="AJ282" s="22"/>
      <c r="AK282" s="22"/>
      <c r="AL282" s="22"/>
      <c r="AM282" s="22"/>
      <c r="AN282" s="22"/>
      <c r="AO282" s="22"/>
      <c r="AP282" s="22"/>
      <c r="BB282" s="30" t="s">
        <v>790</v>
      </c>
      <c r="BC282" s="21" t="s">
        <v>127</v>
      </c>
      <c r="BD282" s="21" t="b">
        <v>1</v>
      </c>
      <c r="BE282" s="21">
        <f>G325</f>
        <v>0</v>
      </c>
      <c r="BF282" s="21" t="str">
        <f>""&amp;G325</f>
        <v/>
      </c>
      <c r="BG282" s="21" t="b">
        <v>1</v>
      </c>
      <c r="BH282" s="21" t="b">
        <v>0</v>
      </c>
      <c r="BK282" s="21" t="str">
        <f ca="1">_xlfn.FORMULATEXT(BE282)</f>
        <v>=G325</v>
      </c>
      <c r="BL282" s="21" t="str">
        <f ca="1">_xlfn.FORMULATEXT(BE282)</f>
        <v>=G325</v>
      </c>
    </row>
    <row r="283" spans="1:64" ht="14.5">
      <c r="A283" s="64" t="s">
        <v>673</v>
      </c>
      <c r="B283" s="64"/>
      <c r="C283" s="64"/>
      <c r="D283" s="64"/>
      <c r="E283" s="64"/>
      <c r="F283" s="64"/>
      <c r="G283" s="64"/>
      <c r="H283" s="64"/>
      <c r="I283" s="64"/>
      <c r="J283" s="64"/>
      <c r="K283" s="64"/>
      <c r="L283" s="64"/>
      <c r="M283" s="64"/>
      <c r="N283" s="64"/>
      <c r="O283" s="93"/>
      <c r="P283" s="64"/>
      <c r="W283" s="22"/>
      <c r="X283" s="22"/>
      <c r="AA283" s="22"/>
      <c r="AB283" s="22"/>
      <c r="AC283" s="22"/>
      <c r="AD283" s="22">
        <f>ROW()</f>
        <v>283</v>
      </c>
      <c r="AE283" s="22"/>
      <c r="AF283" s="22"/>
      <c r="AG283" s="22"/>
      <c r="AH283" s="22"/>
      <c r="AI283" s="22"/>
      <c r="AJ283" s="22"/>
      <c r="AK283" s="22"/>
      <c r="AL283" s="22"/>
      <c r="AM283" s="22"/>
      <c r="AN283" s="22"/>
      <c r="AO283" s="22"/>
      <c r="AP283" s="22"/>
      <c r="BB283" s="30" t="s">
        <v>791</v>
      </c>
      <c r="BC283" s="21" t="s">
        <v>127</v>
      </c>
      <c r="BD283" s="21" t="b">
        <v>1</v>
      </c>
      <c r="BE283" s="21" t="str">
        <f>J325</f>
        <v>0</v>
      </c>
      <c r="BF283" s="21" t="str">
        <f>""&amp;J325</f>
        <v>0</v>
      </c>
      <c r="BG283" s="21" t="b">
        <v>1</v>
      </c>
      <c r="BH283" s="21" t="b">
        <v>0</v>
      </c>
      <c r="BI283" s="64" t="str">
        <f>BE283</f>
        <v>0</v>
      </c>
      <c r="BK283" s="21" t="str">
        <f ca="1">_xlfn.FORMULATEXT(BE283)</f>
        <v>=J325</v>
      </c>
      <c r="BL283" s="21" t="str">
        <f ca="1">_xlfn.FORMULATEXT(BE283)</f>
        <v>=J325</v>
      </c>
    </row>
    <row r="284" spans="1:64" ht="14.5">
      <c r="A284" s="64" t="s">
        <v>673</v>
      </c>
      <c r="B284" s="158" t="s">
        <v>792</v>
      </c>
      <c r="C284" s="89"/>
      <c r="D284" s="89"/>
      <c r="E284" s="89"/>
      <c r="F284" s="89"/>
      <c r="G284" s="89"/>
      <c r="H284" s="89"/>
      <c r="I284" s="89"/>
      <c r="J284" s="89"/>
      <c r="K284" s="64"/>
      <c r="L284" s="64"/>
      <c r="M284" s="64"/>
      <c r="N284" s="64"/>
      <c r="O284" s="93"/>
      <c r="P284" s="64"/>
      <c r="W284" s="22"/>
      <c r="X284" s="22"/>
      <c r="AA284" s="22"/>
      <c r="AB284" s="22"/>
      <c r="AC284" s="22"/>
      <c r="AD284" s="22">
        <f>ROW()</f>
        <v>284</v>
      </c>
      <c r="AE284" s="22"/>
      <c r="AF284" s="22"/>
      <c r="AG284" s="22"/>
      <c r="AH284" s="22"/>
      <c r="AI284" s="22"/>
      <c r="AJ284" s="22"/>
      <c r="AK284" s="22"/>
      <c r="AL284" s="22"/>
      <c r="AM284" s="22"/>
      <c r="AN284" s="22"/>
      <c r="AO284" s="22"/>
      <c r="AP284" s="22"/>
      <c r="BB284" s="30" t="s">
        <v>793</v>
      </c>
      <c r="BC284" s="21" t="s">
        <v>127</v>
      </c>
      <c r="BD284" s="21" t="b">
        <v>0</v>
      </c>
      <c r="BE284" s="21">
        <f>M325</f>
        <v>0</v>
      </c>
      <c r="BF284" s="21" t="str">
        <f>""&amp;M325</f>
        <v/>
      </c>
      <c r="BG284" s="21" t="b">
        <v>1</v>
      </c>
      <c r="BH284" s="21" t="b">
        <v>0</v>
      </c>
      <c r="BI284" s="64" t="str">
        <f>BE283</f>
        <v>0</v>
      </c>
      <c r="BK284" s="21" t="str">
        <f ca="1">_xlfn.FORMULATEXT(BE284)</f>
        <v>=M325</v>
      </c>
      <c r="BL284" s="21" t="str">
        <f ca="1">_xlfn.FORMULATEXT(BE284)</f>
        <v>=M325</v>
      </c>
    </row>
    <row r="285" spans="1:64" ht="14.5">
      <c r="A285" s="64" t="s">
        <v>673</v>
      </c>
      <c r="B285" s="241"/>
      <c r="C285" s="242" t="s">
        <v>735</v>
      </c>
      <c r="D285" s="242"/>
      <c r="E285" s="242"/>
      <c r="F285" s="242"/>
      <c r="G285" s="243" t="s">
        <v>736</v>
      </c>
      <c r="H285" s="243"/>
      <c r="I285" s="243"/>
      <c r="J285" s="242" t="s">
        <v>737</v>
      </c>
      <c r="K285" s="242"/>
      <c r="L285" s="242"/>
      <c r="M285" s="243" t="s">
        <v>628</v>
      </c>
      <c r="N285" s="243"/>
      <c r="O285" s="243"/>
      <c r="P285" s="64"/>
      <c r="W285" s="22"/>
      <c r="X285" s="22"/>
      <c r="AA285" s="22"/>
      <c r="AB285" s="22"/>
      <c r="AC285" s="22"/>
      <c r="AD285" s="22">
        <f>ROW()</f>
        <v>285</v>
      </c>
      <c r="AE285" s="22"/>
      <c r="AF285" s="22"/>
      <c r="AG285" s="22"/>
      <c r="AH285" s="22"/>
      <c r="AI285" s="22"/>
      <c r="AJ285" s="22"/>
      <c r="AK285" s="22"/>
      <c r="AL285" s="22"/>
      <c r="AM285" s="22"/>
      <c r="AN285" s="22"/>
      <c r="AO285" s="22"/>
      <c r="AP285" s="22"/>
      <c r="BB285" s="30" t="s">
        <v>794</v>
      </c>
      <c r="BC285" s="21" t="s">
        <v>127</v>
      </c>
      <c r="BD285" s="21" t="b">
        <v>1</v>
      </c>
      <c r="BE285" s="21" t="str">
        <f>G326</f>
        <v>0.00</v>
      </c>
      <c r="BF285" s="21" t="str">
        <f>""&amp;G326</f>
        <v>0.00</v>
      </c>
      <c r="BG285" s="21" t="b">
        <v>0</v>
      </c>
      <c r="BH285" s="21" t="b">
        <v>0</v>
      </c>
      <c r="BK285" s="21" t="str">
        <f ca="1">_xlfn.FORMULATEXT(BE285)</f>
        <v>=G326</v>
      </c>
      <c r="BL285" s="21" t="str">
        <f ca="1">_xlfn.FORMULATEXT(BE285)</f>
        <v>=G326</v>
      </c>
    </row>
    <row r="286" spans="1:64" ht="14.75" customHeight="1">
      <c r="A286" s="64" t="s">
        <v>673</v>
      </c>
      <c r="B286" s="241"/>
      <c r="C286" s="242"/>
      <c r="D286" s="242"/>
      <c r="E286" s="242"/>
      <c r="F286" s="242"/>
      <c r="G286" s="446"/>
      <c r="H286" s="446"/>
      <c r="I286" s="446"/>
      <c r="J286" s="447"/>
      <c r="K286" s="447"/>
      <c r="L286" s="447"/>
      <c r="M286" s="446"/>
      <c r="N286" s="446"/>
      <c r="O286" s="446"/>
      <c r="P286" s="64"/>
      <c r="W286" s="22"/>
      <c r="X286" s="22"/>
      <c r="AA286" s="22"/>
      <c r="AB286" s="22"/>
      <c r="AC286" s="22"/>
      <c r="AD286" s="22">
        <f>ROW()</f>
        <v>286</v>
      </c>
      <c r="AE286" s="22"/>
      <c r="AF286" s="22"/>
      <c r="AG286" s="22"/>
      <c r="AH286" s="22"/>
      <c r="AI286" s="22"/>
      <c r="AJ286" s="22"/>
      <c r="AK286" s="22"/>
      <c r="AL286" s="22"/>
      <c r="AM286" s="22"/>
      <c r="AN286" s="22"/>
      <c r="AO286" s="22"/>
      <c r="AP286" s="22"/>
      <c r="BB286" s="30" t="s">
        <v>795</v>
      </c>
      <c r="BC286" s="21" t="s">
        <v>127</v>
      </c>
      <c r="BD286" s="21" t="b">
        <v>1</v>
      </c>
      <c r="BE286" s="21" t="str">
        <f>J326</f>
        <v>0.00</v>
      </c>
      <c r="BF286" s="21" t="str">
        <f>""&amp;J326</f>
        <v>0.00</v>
      </c>
      <c r="BG286" s="21" t="b">
        <v>0</v>
      </c>
      <c r="BH286" s="21" t="b">
        <v>0</v>
      </c>
      <c r="BI286" s="64" t="str">
        <f>BE286</f>
        <v>0.00</v>
      </c>
      <c r="BK286" s="21" t="str">
        <f ca="1">_xlfn.FORMULATEXT(BE286)</f>
        <v>=J326</v>
      </c>
      <c r="BL286" s="21" t="str">
        <f ca="1">_xlfn.FORMULATEXT(BE286)</f>
        <v>=J326</v>
      </c>
    </row>
    <row r="287" spans="1:64" ht="14.5">
      <c r="A287" s="64" t="s">
        <v>673</v>
      </c>
      <c r="B287" s="239">
        <v>1</v>
      </c>
      <c r="C287" s="244" t="s">
        <v>796</v>
      </c>
      <c r="D287" s="244"/>
      <c r="E287" s="244"/>
      <c r="F287" s="244"/>
      <c r="G287" s="439"/>
      <c r="H287" s="438"/>
      <c r="I287" s="409"/>
      <c r="J287" s="439" t="s">
        <v>450</v>
      </c>
      <c r="K287" s="438"/>
      <c r="L287" s="409"/>
      <c r="M287" s="445"/>
      <c r="N287" s="444"/>
      <c r="O287" s="415"/>
      <c r="P287" s="64"/>
      <c r="W287" s="22"/>
      <c r="X287" s="22"/>
      <c r="AA287" s="22"/>
      <c r="AB287" s="22"/>
      <c r="AC287" s="22"/>
      <c r="AD287" s="22">
        <f>ROW()</f>
        <v>287</v>
      </c>
      <c r="AE287" s="22"/>
      <c r="AF287" s="22"/>
      <c r="AG287" s="22"/>
      <c r="AH287" s="22"/>
      <c r="AI287" s="22"/>
      <c r="AJ287" s="22"/>
      <c r="AK287" s="22"/>
      <c r="AL287" s="22"/>
      <c r="AM287" s="22"/>
      <c r="AN287" s="22"/>
      <c r="AO287" s="22"/>
      <c r="AP287" s="22"/>
      <c r="BB287" s="30" t="s">
        <v>797</v>
      </c>
      <c r="BC287" s="21" t="s">
        <v>127</v>
      </c>
      <c r="BD287" s="21" t="b">
        <v>0</v>
      </c>
      <c r="BE287" s="21">
        <f>M326</f>
        <v>0</v>
      </c>
      <c r="BF287" s="21" t="str">
        <f>""&amp;M326</f>
        <v/>
      </c>
      <c r="BG287" s="21" t="b">
        <v>1</v>
      </c>
      <c r="BH287" s="21" t="b">
        <v>0</v>
      </c>
      <c r="BI287" s="64" t="str">
        <f>BE286</f>
        <v>0.00</v>
      </c>
      <c r="BK287" s="21" t="str">
        <f ca="1">_xlfn.FORMULATEXT(BE287)</f>
        <v>=M326</v>
      </c>
      <c r="BL287" s="21" t="str">
        <f ca="1">_xlfn.FORMULATEXT(BE287)</f>
        <v>=M326</v>
      </c>
    </row>
    <row r="288" spans="1:64" ht="14.5">
      <c r="A288" s="64" t="s">
        <v>673</v>
      </c>
      <c r="B288" s="245">
        <v>2</v>
      </c>
      <c r="C288" s="198" t="s">
        <v>798</v>
      </c>
      <c r="D288" s="199"/>
      <c r="E288" s="199"/>
      <c r="F288" s="200"/>
      <c r="G288" s="419"/>
      <c r="H288" s="417"/>
      <c r="I288" s="421"/>
      <c r="J288" s="419" t="s">
        <v>450</v>
      </c>
      <c r="K288" s="417"/>
      <c r="L288" s="421"/>
      <c r="M288" s="426"/>
      <c r="N288" s="424"/>
      <c r="O288" s="428"/>
      <c r="P288" s="64"/>
      <c r="W288" s="22"/>
      <c r="X288" s="22"/>
      <c r="AA288" s="22"/>
      <c r="AB288" s="22"/>
      <c r="AC288" s="22"/>
      <c r="AD288" s="22">
        <f>ROW()</f>
        <v>288</v>
      </c>
      <c r="AE288" s="22"/>
      <c r="AF288" s="22"/>
      <c r="AG288" s="22"/>
      <c r="AH288" s="22"/>
      <c r="AI288" s="22"/>
      <c r="AJ288" s="22"/>
      <c r="AK288" s="22"/>
      <c r="AL288" s="22"/>
      <c r="AM288" s="22"/>
      <c r="AN288" s="22"/>
      <c r="AO288" s="22"/>
      <c r="AP288" s="22"/>
      <c r="BB288" s="30" t="s">
        <v>799</v>
      </c>
      <c r="BC288" s="21" t="s">
        <v>127</v>
      </c>
      <c r="BD288" s="21" t="b">
        <v>1</v>
      </c>
      <c r="BE288" s="21">
        <f>G327</f>
        <v>0</v>
      </c>
      <c r="BF288" s="21" t="str">
        <f>""&amp;G327</f>
        <v/>
      </c>
      <c r="BG288" s="21" t="b">
        <v>1</v>
      </c>
      <c r="BH288" s="21" t="b">
        <v>0</v>
      </c>
      <c r="BK288" s="21" t="str">
        <f ca="1">_xlfn.FORMULATEXT(BE288)</f>
        <v>=G327</v>
      </c>
      <c r="BL288" s="21" t="str">
        <f ca="1">_xlfn.FORMULATEXT(BE288)</f>
        <v>=G327</v>
      </c>
    </row>
    <row r="289" spans="1:64" ht="2.75" customHeight="1">
      <c r="A289" s="64" t="s">
        <v>673</v>
      </c>
      <c r="B289" s="246"/>
      <c r="C289" s="208"/>
      <c r="D289" s="209"/>
      <c r="E289" s="209"/>
      <c r="F289" s="210"/>
      <c r="G289" s="420"/>
      <c r="H289" s="418"/>
      <c r="I289" s="422"/>
      <c r="J289" s="420"/>
      <c r="K289" s="418"/>
      <c r="L289" s="422"/>
      <c r="M289" s="427"/>
      <c r="N289" s="425"/>
      <c r="O289" s="429"/>
      <c r="P289" s="64"/>
      <c r="W289" s="22"/>
      <c r="X289" s="22"/>
      <c r="AA289" s="22"/>
      <c r="AB289" s="22"/>
      <c r="AC289" s="22"/>
      <c r="AD289" s="22">
        <f>ROW()</f>
        <v>289</v>
      </c>
      <c r="AE289" s="22"/>
      <c r="AF289" s="22"/>
      <c r="AG289" s="22"/>
      <c r="AH289" s="22"/>
      <c r="AI289" s="22"/>
      <c r="AJ289" s="22"/>
      <c r="AK289" s="22"/>
      <c r="AL289" s="22"/>
      <c r="AM289" s="22"/>
      <c r="AN289" s="22"/>
      <c r="AO289" s="22"/>
      <c r="AP289" s="22"/>
      <c r="BB289" s="30" t="s">
        <v>800</v>
      </c>
      <c r="BC289" s="21" t="s">
        <v>127</v>
      </c>
      <c r="BD289" s="21" t="b">
        <v>1</v>
      </c>
      <c r="BE289" s="21" t="str">
        <f>J327</f>
        <v>0</v>
      </c>
      <c r="BF289" s="21" t="str">
        <f>""&amp;J327</f>
        <v>0</v>
      </c>
      <c r="BG289" s="21" t="b">
        <v>1</v>
      </c>
      <c r="BH289" s="21" t="b">
        <v>0</v>
      </c>
      <c r="BI289" s="64" t="str">
        <f>BE289</f>
        <v>0</v>
      </c>
      <c r="BK289" s="21" t="str">
        <f ca="1">_xlfn.FORMULATEXT(BE289)</f>
        <v>=J327</v>
      </c>
      <c r="BL289" s="21" t="str">
        <f ca="1">_xlfn.FORMULATEXT(BE289)</f>
        <v>=J327</v>
      </c>
    </row>
    <row r="290" spans="1:64" ht="14.5">
      <c r="A290" s="64" t="s">
        <v>673</v>
      </c>
      <c r="B290" s="239">
        <v>3</v>
      </c>
      <c r="C290" s="240" t="s">
        <v>801</v>
      </c>
      <c r="D290" s="240"/>
      <c r="E290" s="240"/>
      <c r="F290" s="240"/>
      <c r="G290" s="439"/>
      <c r="H290" s="438"/>
      <c r="I290" s="409"/>
      <c r="J290" s="439" t="s">
        <v>450</v>
      </c>
      <c r="K290" s="438"/>
      <c r="L290" s="409"/>
      <c r="M290" s="445"/>
      <c r="N290" s="444"/>
      <c r="O290" s="415"/>
      <c r="P290" s="64"/>
      <c r="W290" s="22"/>
      <c r="X290" s="22"/>
      <c r="AA290" s="22"/>
      <c r="AB290" s="22"/>
      <c r="AC290" s="22"/>
      <c r="AD290" s="22">
        <f>ROW()</f>
        <v>290</v>
      </c>
      <c r="AE290" s="22"/>
      <c r="AF290" s="22"/>
      <c r="AG290" s="22"/>
      <c r="AH290" s="22"/>
      <c r="AI290" s="22"/>
      <c r="AJ290" s="22"/>
      <c r="AK290" s="22"/>
      <c r="AL290" s="22"/>
      <c r="AM290" s="22"/>
      <c r="AN290" s="22"/>
      <c r="AO290" s="22"/>
      <c r="AP290" s="22"/>
      <c r="BB290" s="30" t="s">
        <v>802</v>
      </c>
      <c r="BC290" s="21" t="s">
        <v>127</v>
      </c>
      <c r="BD290" s="21" t="b">
        <v>0</v>
      </c>
      <c r="BE290" s="21">
        <f>M327</f>
        <v>0</v>
      </c>
      <c r="BF290" s="21" t="str">
        <f>""&amp;M327</f>
        <v/>
      </c>
      <c r="BG290" s="21" t="b">
        <v>1</v>
      </c>
      <c r="BH290" s="21" t="b">
        <v>0</v>
      </c>
      <c r="BI290" s="64" t="str">
        <f>BE289</f>
        <v>0</v>
      </c>
      <c r="BK290" s="21" t="str">
        <f ca="1">_xlfn.FORMULATEXT(BE290)</f>
        <v>=M327</v>
      </c>
      <c r="BL290" s="21" t="str">
        <f ca="1">_xlfn.FORMULATEXT(BE290)</f>
        <v>=M327</v>
      </c>
    </row>
    <row r="291" spans="1:64" ht="14.5">
      <c r="A291" s="64" t="s">
        <v>673</v>
      </c>
      <c r="B291" s="245"/>
      <c r="C291" s="247" t="s">
        <v>803</v>
      </c>
      <c r="D291" s="247"/>
      <c r="E291" s="247"/>
      <c r="F291" s="247"/>
      <c r="G291" s="630" t="str" cm="1">
        <f t="array" ref="G291">TEXT(SUM(_xlfn.NUMBERVALUE(G287:I290)),"0.00")</f>
        <v>0.00</v>
      </c>
      <c r="H291" s="626"/>
      <c r="I291" s="632"/>
      <c r="J291" s="630" t="str" cm="1">
        <f t="array" ref="J291">TEXT(SUM(_xlfn.NUMBERVALUE(J287:L290)),"0.00")</f>
        <v>0.00</v>
      </c>
      <c r="K291" s="626"/>
      <c r="L291" s="632"/>
      <c r="M291" s="454"/>
      <c r="N291" s="443"/>
      <c r="O291" s="456"/>
      <c r="P291" s="64"/>
      <c r="W291" s="22"/>
      <c r="X291" s="22"/>
      <c r="AA291" s="22"/>
      <c r="AB291" s="22"/>
      <c r="AC291" s="22"/>
      <c r="AD291" s="22">
        <f>ROW()</f>
        <v>291</v>
      </c>
      <c r="AE291" s="22"/>
      <c r="AF291" s="22"/>
      <c r="AG291" s="22"/>
      <c r="AH291" s="22"/>
      <c r="AI291" s="22"/>
      <c r="AJ291" s="22"/>
      <c r="AK291" s="22"/>
      <c r="AL291" s="22"/>
      <c r="AM291" s="22"/>
      <c r="AN291" s="22"/>
      <c r="AO291" s="22"/>
      <c r="AP291" s="22"/>
      <c r="BB291" s="30" t="s">
        <v>804</v>
      </c>
      <c r="BC291" s="21" t="s">
        <v>123</v>
      </c>
      <c r="BD291" s="21" t="b">
        <v>0</v>
      </c>
      <c r="BE291" s="21" t="s">
        <v>805</v>
      </c>
      <c r="BF291" s="21" t="str">
        <f>""&amp;BE291</f>
        <v>AOC4 Financial Parameters BS</v>
      </c>
      <c r="BG291" s="21" t="b">
        <v>0</v>
      </c>
      <c r="BH291" s="21" t="b">
        <v>0</v>
      </c>
      <c r="BK291" s="21" t="s">
        <v>125</v>
      </c>
      <c r="BL291" s="21" t="s">
        <v>125</v>
      </c>
    </row>
    <row r="292" spans="1:64" ht="14.5">
      <c r="A292" s="64" t="s">
        <v>673</v>
      </c>
      <c r="B292" s="246"/>
      <c r="C292" s="247"/>
      <c r="D292" s="247"/>
      <c r="E292" s="247"/>
      <c r="F292" s="247"/>
      <c r="G292" s="631"/>
      <c r="H292" s="629"/>
      <c r="I292" s="633"/>
      <c r="J292" s="631"/>
      <c r="K292" s="629"/>
      <c r="L292" s="633"/>
      <c r="M292" s="455"/>
      <c r="N292" s="453"/>
      <c r="O292" s="429"/>
      <c r="P292" s="64"/>
      <c r="W292" s="22"/>
      <c r="X292" s="22"/>
      <c r="AA292" s="22"/>
      <c r="AB292" s="22"/>
      <c r="AC292" s="22"/>
      <c r="AD292" s="22">
        <f>ROW()</f>
        <v>292</v>
      </c>
      <c r="AE292" s="22"/>
      <c r="AF292" s="22"/>
      <c r="AG292" s="22"/>
      <c r="AH292" s="22"/>
      <c r="AI292" s="22"/>
      <c r="AJ292" s="22"/>
      <c r="AK292" s="22"/>
      <c r="AL292" s="22"/>
      <c r="AM292" s="22"/>
      <c r="AN292" s="22"/>
      <c r="AO292" s="22"/>
      <c r="AP292" s="22"/>
      <c r="BB292" s="30" t="s">
        <v>806</v>
      </c>
      <c r="BC292" s="21" t="s">
        <v>127</v>
      </c>
      <c r="BD292" s="21" t="b">
        <v>1</v>
      </c>
      <c r="BE292" s="21">
        <f>M330</f>
        <v>0</v>
      </c>
      <c r="BF292" s="21" t="str">
        <f>""&amp;M330</f>
        <v/>
      </c>
      <c r="BG292" s="21" t="b">
        <v>1</v>
      </c>
      <c r="BH292" s="21" t="b">
        <v>0</v>
      </c>
      <c r="BK292" s="21" t="str">
        <f ca="1">_xlfn.FORMULATEXT(BE292)</f>
        <v>=M330</v>
      </c>
      <c r="BL292" s="21" t="str">
        <f ca="1">_xlfn.FORMULATEXT(BE292)</f>
        <v>=M330</v>
      </c>
    </row>
    <row r="293" spans="1:64" ht="14.5">
      <c r="A293" s="64" t="s">
        <v>673</v>
      </c>
      <c r="B293" s="239">
        <v>4</v>
      </c>
      <c r="C293" s="244" t="s">
        <v>807</v>
      </c>
      <c r="D293" s="244"/>
      <c r="E293" s="244"/>
      <c r="F293" s="244"/>
      <c r="G293" s="448"/>
      <c r="H293" s="448"/>
      <c r="I293" s="448"/>
      <c r="J293" s="448"/>
      <c r="K293" s="448"/>
      <c r="L293" s="448"/>
      <c r="M293" s="448"/>
      <c r="N293" s="448"/>
      <c r="O293" s="448"/>
      <c r="P293" s="64"/>
      <c r="W293" s="22"/>
      <c r="X293" s="22"/>
      <c r="AA293" s="22"/>
      <c r="AB293" s="22"/>
      <c r="AC293" s="22"/>
      <c r="AD293" s="22">
        <f>ROW()</f>
        <v>293</v>
      </c>
      <c r="AE293" s="22"/>
      <c r="AF293" s="22"/>
      <c r="AG293" s="22"/>
      <c r="AH293" s="22"/>
      <c r="AI293" s="22"/>
      <c r="AJ293" s="22"/>
      <c r="AK293" s="22"/>
      <c r="AL293" s="22"/>
      <c r="AM293" s="22"/>
      <c r="AN293" s="22"/>
      <c r="AO293" s="22"/>
      <c r="AP293" s="22"/>
      <c r="BB293" s="30" t="s">
        <v>808</v>
      </c>
      <c r="BC293" s="21" t="s">
        <v>127</v>
      </c>
      <c r="BD293" s="21" t="b">
        <v>1</v>
      </c>
      <c r="BE293" s="21">
        <f>M331</f>
        <v>0</v>
      </c>
      <c r="BF293" s="21" t="str">
        <f>""&amp;M331</f>
        <v/>
      </c>
      <c r="BG293" s="21" t="b">
        <v>1</v>
      </c>
      <c r="BH293" s="21" t="b">
        <v>0</v>
      </c>
      <c r="BK293" s="21" t="str">
        <f ca="1">_xlfn.FORMULATEXT(BE293)</f>
        <v>=M331</v>
      </c>
      <c r="BL293" s="21" t="str">
        <f ca="1">_xlfn.FORMULATEXT(BE293)</f>
        <v>=M331</v>
      </c>
    </row>
    <row r="294" spans="1:64" ht="14.75" customHeight="1">
      <c r="A294" s="64" t="s">
        <v>673</v>
      </c>
      <c r="B294" s="245"/>
      <c r="C294" s="191" t="s">
        <v>809</v>
      </c>
      <c r="D294" s="192"/>
      <c r="E294" s="192"/>
      <c r="F294" s="193"/>
      <c r="G294" s="408"/>
      <c r="H294" s="407"/>
      <c r="I294" s="409"/>
      <c r="J294" s="408" t="s">
        <v>450</v>
      </c>
      <c r="K294" s="407"/>
      <c r="L294" s="409"/>
      <c r="M294" s="445"/>
      <c r="N294" s="444"/>
      <c r="O294" s="415"/>
      <c r="P294" s="64"/>
      <c r="W294" s="22"/>
      <c r="X294" s="22"/>
      <c r="AA294" s="22"/>
      <c r="AB294" s="22"/>
      <c r="AC294" s="22"/>
      <c r="AD294" s="22">
        <f>ROW()</f>
        <v>294</v>
      </c>
      <c r="AE294" s="22"/>
      <c r="AF294" s="22"/>
      <c r="AG294" s="22"/>
      <c r="AH294" s="22"/>
      <c r="AI294" s="22"/>
      <c r="AJ294" s="22"/>
      <c r="AK294" s="22"/>
      <c r="AL294" s="22"/>
      <c r="AM294" s="22"/>
      <c r="AN294" s="22"/>
      <c r="AO294" s="22"/>
      <c r="AP294" s="22"/>
      <c r="BB294" s="30" t="s">
        <v>810</v>
      </c>
      <c r="BC294" s="21" t="s">
        <v>127</v>
      </c>
      <c r="BD294" s="21" t="b">
        <v>1</v>
      </c>
      <c r="BE294" s="21">
        <f>M332</f>
        <v>0</v>
      </c>
      <c r="BF294" s="21" t="str">
        <f>""&amp;M332</f>
        <v/>
      </c>
      <c r="BG294" s="21" t="b">
        <v>1</v>
      </c>
      <c r="BH294" s="21" t="b">
        <v>0</v>
      </c>
      <c r="BK294" s="21" t="str">
        <f ca="1">_xlfn.FORMULATEXT(BE294)</f>
        <v>=M332</v>
      </c>
      <c r="BL294" s="21" t="str">
        <f ca="1">_xlfn.FORMULATEXT(BE294)</f>
        <v>=M332</v>
      </c>
    </row>
    <row r="295" spans="1:64" ht="14.5">
      <c r="A295" s="64" t="s">
        <v>673</v>
      </c>
      <c r="B295" s="249"/>
      <c r="C295" s="250" t="s">
        <v>811</v>
      </c>
      <c r="D295" s="251"/>
      <c r="E295" s="251"/>
      <c r="F295" s="252"/>
      <c r="G295" s="408"/>
      <c r="H295" s="407"/>
      <c r="I295" s="409"/>
      <c r="J295" s="408" t="s">
        <v>450</v>
      </c>
      <c r="K295" s="407"/>
      <c r="L295" s="409"/>
      <c r="M295" s="445"/>
      <c r="N295" s="444"/>
      <c r="O295" s="415"/>
      <c r="P295" s="64"/>
      <c r="W295" s="22"/>
      <c r="X295" s="22"/>
      <c r="AA295" s="22"/>
      <c r="AB295" s="22"/>
      <c r="AC295" s="22"/>
      <c r="AD295" s="22">
        <f>ROW()</f>
        <v>295</v>
      </c>
      <c r="AE295" s="22"/>
      <c r="AF295" s="22"/>
      <c r="AG295" s="22"/>
      <c r="AH295" s="22"/>
      <c r="AI295" s="22"/>
      <c r="AJ295" s="22"/>
      <c r="AK295" s="22"/>
      <c r="AL295" s="22"/>
      <c r="AM295" s="22"/>
      <c r="AN295" s="22"/>
      <c r="AO295" s="22"/>
      <c r="AP295" s="22"/>
      <c r="BB295" s="30" t="s">
        <v>812</v>
      </c>
      <c r="BC295" s="21" t="s">
        <v>127</v>
      </c>
      <c r="BD295" s="21" t="b">
        <v>1</v>
      </c>
      <c r="BE295" s="21">
        <f>M333</f>
        <v>0</v>
      </c>
      <c r="BF295" s="21" t="str">
        <f>""&amp;M333</f>
        <v/>
      </c>
      <c r="BG295" s="21" t="b">
        <v>1</v>
      </c>
      <c r="BH295" s="21" t="b">
        <v>0</v>
      </c>
      <c r="BK295" s="21" t="str">
        <f ca="1">_xlfn.FORMULATEXT(BE295)</f>
        <v>=M333</v>
      </c>
      <c r="BL295" s="21" t="str">
        <f ca="1">_xlfn.FORMULATEXT(BE295)</f>
        <v>=M333</v>
      </c>
    </row>
    <row r="296" spans="1:64" ht="14.75" customHeight="1">
      <c r="A296" s="64" t="s">
        <v>673</v>
      </c>
      <c r="B296" s="239">
        <v>5</v>
      </c>
      <c r="C296" s="247" t="s">
        <v>813</v>
      </c>
      <c r="D296" s="247"/>
      <c r="E296" s="247"/>
      <c r="F296" s="247"/>
      <c r="G296" s="635" t="str">
        <f>TEXT(G291-(_xlfn.NUMBERVALUE(G294)+_xlfn.NUMBERVALUE(G295)),"0.00")</f>
        <v>0.00</v>
      </c>
      <c r="H296" s="634"/>
      <c r="I296" s="636"/>
      <c r="J296" s="635" t="str">
        <f>TEXT(J291-(_xlfn.NUMBERVALUE(J294)+_xlfn.NUMBERVALUE(J295)),"0.00")</f>
        <v>0.00</v>
      </c>
      <c r="K296" s="634"/>
      <c r="L296" s="636"/>
      <c r="M296" s="419"/>
      <c r="N296" s="417"/>
      <c r="O296" s="421"/>
      <c r="P296" s="64"/>
      <c r="W296" s="22"/>
      <c r="X296" s="22"/>
      <c r="AA296" s="22"/>
      <c r="AB296" s="22"/>
      <c r="AC296" s="22"/>
      <c r="AD296" s="22">
        <f>ROW()</f>
        <v>296</v>
      </c>
      <c r="AE296" s="22"/>
      <c r="AF296" s="22"/>
      <c r="AG296" s="22"/>
      <c r="AH296" s="22"/>
      <c r="AI296" s="22"/>
      <c r="AJ296" s="22"/>
      <c r="AK296" s="22"/>
      <c r="AL296" s="22"/>
      <c r="AM296" s="22"/>
      <c r="AN296" s="22"/>
      <c r="AO296" s="22"/>
      <c r="AP296" s="22"/>
      <c r="BB296" s="30" t="s">
        <v>814</v>
      </c>
      <c r="BC296" s="21" t="s">
        <v>127</v>
      </c>
      <c r="BD296" s="21" t="b">
        <v>1</v>
      </c>
      <c r="BE296" s="21">
        <f>M334</f>
        <v>0</v>
      </c>
      <c r="BF296" s="21" t="str">
        <f>""&amp;M334</f>
        <v/>
      </c>
      <c r="BG296" s="21" t="b">
        <v>1</v>
      </c>
      <c r="BH296" s="21" t="b">
        <v>0</v>
      </c>
      <c r="BK296" s="21" t="str">
        <f ca="1">_xlfn.FORMULATEXT(BE296)</f>
        <v>=M334</v>
      </c>
      <c r="BL296" s="21" t="str">
        <f ca="1">_xlfn.FORMULATEXT(BE296)</f>
        <v>=M334</v>
      </c>
    </row>
    <row r="297" spans="1:64" ht="14.75" customHeight="1">
      <c r="A297" s="64" t="s">
        <v>673</v>
      </c>
      <c r="B297" s="239"/>
      <c r="C297" s="247"/>
      <c r="D297" s="247"/>
      <c r="E297" s="247"/>
      <c r="F297" s="247"/>
      <c r="G297" s="623"/>
      <c r="H297" s="622"/>
      <c r="I297" s="624"/>
      <c r="J297" s="623"/>
      <c r="K297" s="622"/>
      <c r="L297" s="624"/>
      <c r="M297" s="408"/>
      <c r="N297" s="407"/>
      <c r="O297" s="409"/>
      <c r="P297" s="64"/>
      <c r="W297" s="22"/>
      <c r="X297" s="22"/>
      <c r="AA297" s="22"/>
      <c r="AB297" s="22"/>
      <c r="AC297" s="22"/>
      <c r="AD297" s="22">
        <f>ROW()</f>
        <v>297</v>
      </c>
      <c r="AE297" s="22"/>
      <c r="AF297" s="22"/>
      <c r="AG297" s="22"/>
      <c r="AH297" s="22"/>
      <c r="AI297" s="22"/>
      <c r="AJ297" s="22"/>
      <c r="AK297" s="22"/>
      <c r="AL297" s="22"/>
      <c r="AM297" s="22"/>
      <c r="AN297" s="22"/>
      <c r="AO297" s="22"/>
      <c r="AP297" s="22"/>
      <c r="BB297" s="30" t="s">
        <v>815</v>
      </c>
      <c r="BC297" s="21" t="s">
        <v>127</v>
      </c>
      <c r="BD297" s="21" t="b">
        <v>1</v>
      </c>
      <c r="BE297" s="21">
        <f>M335</f>
        <v>0</v>
      </c>
      <c r="BF297" s="21" t="str">
        <f>""&amp;M335</f>
        <v/>
      </c>
      <c r="BG297" s="21" t="b">
        <v>1</v>
      </c>
      <c r="BH297" s="21" t="b">
        <v>0</v>
      </c>
      <c r="BK297" s="21" t="str">
        <f ca="1">_xlfn.FORMULATEXT(BE297)</f>
        <v>=M335</v>
      </c>
      <c r="BL297" s="21" t="str">
        <f ca="1">_xlfn.FORMULATEXT(BE297)</f>
        <v>=M335</v>
      </c>
    </row>
    <row r="298" spans="1:64" ht="14.5">
      <c r="A298" s="64" t="s">
        <v>673</v>
      </c>
      <c r="B298" s="245">
        <v>6</v>
      </c>
      <c r="C298" s="247" t="s">
        <v>816</v>
      </c>
      <c r="D298" s="247"/>
      <c r="E298" s="247"/>
      <c r="F298" s="247"/>
      <c r="G298" s="419"/>
      <c r="H298" s="417"/>
      <c r="I298" s="421"/>
      <c r="J298" s="419" t="s">
        <v>450</v>
      </c>
      <c r="K298" s="417"/>
      <c r="L298" s="421"/>
      <c r="M298" s="454"/>
      <c r="N298" s="443"/>
      <c r="O298" s="456"/>
      <c r="P298" s="64"/>
      <c r="W298" s="22"/>
      <c r="X298" s="22"/>
      <c r="AA298" s="22"/>
      <c r="AB298" s="22"/>
      <c r="AC298" s="22"/>
      <c r="AD298" s="22">
        <f>ROW()</f>
        <v>298</v>
      </c>
      <c r="AE298" s="22"/>
      <c r="AF298" s="22"/>
      <c r="AG298" s="22"/>
      <c r="AH298" s="22"/>
      <c r="AI298" s="22"/>
      <c r="AJ298" s="22"/>
      <c r="AK298" s="22"/>
      <c r="AL298" s="22"/>
      <c r="AM298" s="22"/>
      <c r="AN298" s="22"/>
      <c r="AO298" s="22"/>
      <c r="AP298" s="22"/>
      <c r="BB298" s="30" t="s">
        <v>817</v>
      </c>
      <c r="BC298" s="21" t="s">
        <v>127</v>
      </c>
      <c r="BD298" s="21" t="b">
        <v>1</v>
      </c>
      <c r="BE298" s="21">
        <f>M336</f>
        <v>0</v>
      </c>
      <c r="BF298" s="21" t="str">
        <f>""&amp;M336</f>
        <v/>
      </c>
      <c r="BG298" s="21" t="b">
        <v>1</v>
      </c>
      <c r="BH298" s="21" t="b">
        <v>0</v>
      </c>
      <c r="BK298" s="21" t="str">
        <f ca="1">_xlfn.FORMULATEXT(BE298)</f>
        <v>=M336</v>
      </c>
      <c r="BL298" s="21" t="str">
        <f ca="1">_xlfn.FORMULATEXT(BE298)</f>
        <v>=M336</v>
      </c>
    </row>
    <row r="299" spans="1:64" ht="14.75" customHeight="1">
      <c r="A299" s="64" t="s">
        <v>673</v>
      </c>
      <c r="B299" s="246"/>
      <c r="C299" s="247"/>
      <c r="D299" s="247"/>
      <c r="E299" s="247"/>
      <c r="F299" s="247"/>
      <c r="G299" s="420"/>
      <c r="H299" s="418"/>
      <c r="I299" s="422"/>
      <c r="J299" s="420"/>
      <c r="K299" s="418"/>
      <c r="L299" s="422"/>
      <c r="M299" s="455"/>
      <c r="N299" s="453"/>
      <c r="O299" s="429"/>
      <c r="P299" s="64"/>
      <c r="W299" s="22"/>
      <c r="X299" s="22"/>
      <c r="AA299" s="22"/>
      <c r="AB299" s="22"/>
      <c r="AC299" s="22"/>
      <c r="AD299" s="22">
        <f>ROW()</f>
        <v>299</v>
      </c>
      <c r="AE299" s="22"/>
      <c r="AF299" s="22"/>
      <c r="AG299" s="22"/>
      <c r="AH299" s="22"/>
      <c r="AI299" s="22"/>
      <c r="AJ299" s="22"/>
      <c r="AK299" s="22"/>
      <c r="AL299" s="22"/>
      <c r="AM299" s="22"/>
      <c r="AN299" s="22"/>
      <c r="AO299" s="22"/>
      <c r="AP299" s="22"/>
      <c r="BB299" s="30" t="s">
        <v>818</v>
      </c>
      <c r="BC299" s="21" t="s">
        <v>127</v>
      </c>
      <c r="BD299" s="21" t="b">
        <v>1</v>
      </c>
      <c r="BE299" s="21" t="str">
        <f>O335</f>
        <v>0.00%</v>
      </c>
      <c r="BF299" s="21" t="str">
        <f>""&amp;BE299</f>
        <v>0.00%</v>
      </c>
      <c r="BG299" s="21" t="b">
        <v>0</v>
      </c>
      <c r="BH299" s="21" t="b">
        <v>0</v>
      </c>
      <c r="BK299" s="21" t="str">
        <f ca="1">_xlfn.FORMULATEXT(BE299)</f>
        <v>=O335</v>
      </c>
      <c r="BL299" s="21" t="str">
        <f ca="1">_xlfn.FORMULATEXT(BE299)</f>
        <v>=O335</v>
      </c>
    </row>
    <row r="300" spans="1:64" ht="14.5">
      <c r="A300" s="64" t="s">
        <v>673</v>
      </c>
      <c r="B300" s="64"/>
      <c r="C300" s="64"/>
      <c r="D300" s="64"/>
      <c r="E300" s="64"/>
      <c r="F300" s="64"/>
      <c r="G300" s="64"/>
      <c r="H300" s="64"/>
      <c r="I300" s="64"/>
      <c r="J300" s="64"/>
      <c r="K300" s="64"/>
      <c r="L300" s="64"/>
      <c r="M300" s="64"/>
      <c r="N300" s="64"/>
      <c r="O300" s="93"/>
      <c r="P300" s="64"/>
      <c r="W300" s="22"/>
      <c r="X300" s="22"/>
      <c r="AA300" s="22"/>
      <c r="AB300" s="22"/>
      <c r="AC300" s="22"/>
      <c r="AD300" s="22">
        <f>ROW()</f>
        <v>300</v>
      </c>
      <c r="AE300" s="22"/>
      <c r="AF300" s="22"/>
      <c r="AG300" s="22"/>
      <c r="AH300" s="22"/>
      <c r="AI300" s="22"/>
      <c r="AJ300" s="22"/>
      <c r="AK300" s="22"/>
      <c r="AL300" s="22"/>
      <c r="AM300" s="22"/>
      <c r="AN300" s="22"/>
      <c r="AO300" s="22"/>
      <c r="AP300" s="22"/>
      <c r="BB300" s="30" t="s">
        <v>819</v>
      </c>
      <c r="BC300" s="21" t="s">
        <v>127</v>
      </c>
      <c r="BD300" s="21" t="b">
        <v>1</v>
      </c>
      <c r="BE300" s="21" t="str">
        <f>O336</f>
        <v>0.00%</v>
      </c>
      <c r="BF300" s="21" t="str">
        <f>""&amp;BE300</f>
        <v>0.00%</v>
      </c>
      <c r="BG300" s="21" t="b">
        <v>0</v>
      </c>
      <c r="BH300" s="21" t="b">
        <v>0</v>
      </c>
      <c r="BK300" s="21" t="str">
        <f ca="1">_xlfn.FORMULATEXT(BE300)</f>
        <v>=O336</v>
      </c>
      <c r="BL300" s="21" t="str">
        <f ca="1">_xlfn.FORMULATEXT(BE300)</f>
        <v>=O336</v>
      </c>
    </row>
    <row r="301" spans="1:64" ht="14.5">
      <c r="A301" s="64" t="s">
        <v>673</v>
      </c>
      <c r="B301" s="158" t="s">
        <v>820</v>
      </c>
      <c r="C301" s="89"/>
      <c r="D301" s="89"/>
      <c r="E301" s="89"/>
      <c r="F301" s="89"/>
      <c r="G301" s="89"/>
      <c r="H301" s="89"/>
      <c r="I301" s="89"/>
      <c r="J301" s="89"/>
      <c r="K301" s="64"/>
      <c r="L301" s="64"/>
      <c r="M301" s="64"/>
      <c r="N301" s="64"/>
      <c r="O301" s="93"/>
      <c r="P301" s="64"/>
      <c r="W301" s="22"/>
      <c r="X301" s="22"/>
      <c r="AA301" s="22"/>
      <c r="AB301" s="22"/>
      <c r="AC301" s="22"/>
      <c r="AD301" s="22">
        <f>ROW()</f>
        <v>301</v>
      </c>
      <c r="AE301" s="22"/>
      <c r="AF301" s="22"/>
      <c r="AG301" s="22"/>
      <c r="AH301" s="22"/>
      <c r="AI301" s="22"/>
      <c r="AJ301" s="22"/>
      <c r="AK301" s="22"/>
      <c r="AL301" s="22"/>
      <c r="AM301" s="22"/>
      <c r="AN301" s="22"/>
      <c r="AO301" s="22"/>
      <c r="AP301" s="22"/>
      <c r="BB301" s="30" t="s">
        <v>821</v>
      </c>
      <c r="BC301" s="21" t="s">
        <v>127</v>
      </c>
      <c r="BD301" s="21" t="b">
        <v>1</v>
      </c>
      <c r="BE301" s="21">
        <f>M337</f>
        <v>0</v>
      </c>
      <c r="BF301" s="21" t="str">
        <f>""&amp;M337</f>
        <v/>
      </c>
      <c r="BG301" s="21" t="b">
        <v>1</v>
      </c>
      <c r="BH301" s="21" t="b">
        <v>0</v>
      </c>
      <c r="BK301" s="21" t="str">
        <f ca="1">_xlfn.FORMULATEXT(BE301)</f>
        <v>=M337</v>
      </c>
      <c r="BL301" s="21" t="str">
        <f ca="1">_xlfn.FORMULATEXT(BE301)</f>
        <v>=M337</v>
      </c>
    </row>
    <row r="302" spans="1:64" ht="14.75" customHeight="1">
      <c r="A302" s="64" t="s">
        <v>673</v>
      </c>
      <c r="B302" s="241"/>
      <c r="C302" s="242" t="s">
        <v>735</v>
      </c>
      <c r="D302" s="242"/>
      <c r="E302" s="242"/>
      <c r="F302" s="242"/>
      <c r="G302" s="243" t="s">
        <v>736</v>
      </c>
      <c r="H302" s="243"/>
      <c r="I302" s="243"/>
      <c r="J302" s="242" t="s">
        <v>737</v>
      </c>
      <c r="K302" s="242"/>
      <c r="L302" s="242"/>
      <c r="M302" s="243" t="s">
        <v>628</v>
      </c>
      <c r="N302" s="243"/>
      <c r="O302" s="243"/>
      <c r="P302" s="64"/>
      <c r="W302" s="22"/>
      <c r="X302" s="22"/>
      <c r="AA302" s="22"/>
      <c r="AB302" s="22"/>
      <c r="AC302" s="22"/>
      <c r="AD302" s="22">
        <f>ROW()</f>
        <v>302</v>
      </c>
      <c r="AE302" s="22"/>
      <c r="AF302" s="22"/>
      <c r="AG302" s="22"/>
      <c r="AH302" s="22"/>
      <c r="AI302" s="22"/>
      <c r="AJ302" s="22"/>
      <c r="AK302" s="22"/>
      <c r="AL302" s="22"/>
      <c r="AM302" s="22"/>
      <c r="AN302" s="22"/>
      <c r="AO302" s="22"/>
      <c r="AP302" s="22"/>
      <c r="BB302" s="30" t="s">
        <v>822</v>
      </c>
      <c r="BC302" s="21" t="s">
        <v>127</v>
      </c>
      <c r="BD302" s="21" t="b">
        <v>1</v>
      </c>
      <c r="BE302" s="21">
        <f>M338</f>
        <v>0</v>
      </c>
      <c r="BF302" s="21" t="str">
        <f>""&amp;M338</f>
        <v/>
      </c>
      <c r="BG302" s="21" t="b">
        <v>1</v>
      </c>
      <c r="BH302" s="21" t="b">
        <v>0</v>
      </c>
      <c r="BK302" s="21" t="str">
        <f ca="1">_xlfn.FORMULATEXT(BE302)</f>
        <v>=M338</v>
      </c>
      <c r="BL302" s="21" t="str">
        <f ca="1">_xlfn.FORMULATEXT(BE302)</f>
        <v>=M338</v>
      </c>
    </row>
    <row r="303" spans="1:64" ht="14.5">
      <c r="A303" s="64" t="s">
        <v>673</v>
      </c>
      <c r="B303" s="241"/>
      <c r="C303" s="242"/>
      <c r="D303" s="242"/>
      <c r="E303" s="242"/>
      <c r="F303" s="242"/>
      <c r="G303" s="446"/>
      <c r="H303" s="446"/>
      <c r="I303" s="446"/>
      <c r="J303" s="447"/>
      <c r="K303" s="447"/>
      <c r="L303" s="447"/>
      <c r="M303" s="446"/>
      <c r="N303" s="446"/>
      <c r="O303" s="446"/>
      <c r="P303" s="64"/>
      <c r="W303" s="22"/>
      <c r="X303" s="22"/>
      <c r="AA303" s="22"/>
      <c r="AB303" s="22"/>
      <c r="AC303" s="22"/>
      <c r="AD303" s="22">
        <f>ROW()</f>
        <v>303</v>
      </c>
      <c r="AE303" s="22"/>
      <c r="AF303" s="22"/>
      <c r="AG303" s="22"/>
      <c r="AH303" s="22"/>
      <c r="AI303" s="22"/>
      <c r="AJ303" s="22"/>
      <c r="AK303" s="22"/>
      <c r="AL303" s="22"/>
      <c r="AM303" s="22"/>
      <c r="AN303" s="22"/>
      <c r="AO303" s="22"/>
      <c r="AP303" s="22"/>
      <c r="BB303" s="30" t="s">
        <v>823</v>
      </c>
      <c r="BC303" s="21" t="s">
        <v>127</v>
      </c>
      <c r="BD303" s="21" t="b">
        <v>1</v>
      </c>
      <c r="BE303" s="21">
        <f>M339</f>
        <v>0</v>
      </c>
      <c r="BF303" s="21" t="str">
        <f>""&amp;M339</f>
        <v/>
      </c>
      <c r="BG303" s="21" t="b">
        <v>1</v>
      </c>
      <c r="BH303" s="21" t="b">
        <v>0</v>
      </c>
      <c r="BK303" s="21" t="str">
        <f ca="1">_xlfn.FORMULATEXT(BE303)</f>
        <v>=M339</v>
      </c>
      <c r="BL303" s="21" t="str">
        <f ca="1">_xlfn.FORMULATEXT(BE303)</f>
        <v>=M339</v>
      </c>
    </row>
    <row r="304" spans="1:64" ht="14.75" customHeight="1">
      <c r="A304" s="64" t="s">
        <v>673</v>
      </c>
      <c r="B304" s="239">
        <v>1</v>
      </c>
      <c r="C304" s="244" t="s">
        <v>796</v>
      </c>
      <c r="D304" s="244"/>
      <c r="E304" s="244"/>
      <c r="F304" s="244"/>
      <c r="G304" s="439"/>
      <c r="H304" s="438"/>
      <c r="I304" s="409"/>
      <c r="J304" s="439" t="s">
        <v>450</v>
      </c>
      <c r="K304" s="438"/>
      <c r="L304" s="409"/>
      <c r="M304" s="445"/>
      <c r="N304" s="444"/>
      <c r="O304" s="415"/>
      <c r="P304" s="64"/>
      <c r="W304" s="22"/>
      <c r="X304" s="22"/>
      <c r="AA304" s="22"/>
      <c r="AB304" s="22"/>
      <c r="AC304" s="22"/>
      <c r="AD304" s="22">
        <f>ROW()</f>
        <v>304</v>
      </c>
      <c r="AE304" s="22"/>
      <c r="AF304" s="22"/>
      <c r="AG304" s="22"/>
      <c r="AH304" s="22"/>
      <c r="AI304" s="22"/>
      <c r="AJ304" s="22"/>
      <c r="AK304" s="22"/>
      <c r="AL304" s="22"/>
      <c r="AM304" s="22"/>
      <c r="AN304" s="22"/>
      <c r="AO304" s="22"/>
      <c r="AP304" s="22"/>
      <c r="BB304" s="30" t="s">
        <v>824</v>
      </c>
      <c r="BC304" s="21" t="s">
        <v>127</v>
      </c>
      <c r="BD304" s="21" t="b">
        <v>1</v>
      </c>
      <c r="BE304" s="21">
        <f>M340</f>
        <v>0</v>
      </c>
      <c r="BF304" s="21" t="str">
        <f>""&amp;M340</f>
        <v/>
      </c>
      <c r="BG304" s="21" t="b">
        <v>1</v>
      </c>
      <c r="BH304" s="21" t="b">
        <v>0</v>
      </c>
      <c r="BK304" s="21" t="str">
        <f ca="1">_xlfn.FORMULATEXT(BE304)</f>
        <v>=M340</v>
      </c>
      <c r="BL304" s="21" t="str">
        <f ca="1">_xlfn.FORMULATEXT(BE304)</f>
        <v>=M340</v>
      </c>
    </row>
    <row r="305" spans="1:64" ht="14.5">
      <c r="A305" s="64" t="s">
        <v>673</v>
      </c>
      <c r="B305" s="245">
        <v>2</v>
      </c>
      <c r="C305" s="198" t="s">
        <v>798</v>
      </c>
      <c r="D305" s="199"/>
      <c r="E305" s="199"/>
      <c r="F305" s="200"/>
      <c r="G305" s="419"/>
      <c r="H305" s="417"/>
      <c r="I305" s="421"/>
      <c r="J305" s="419" t="s">
        <v>450</v>
      </c>
      <c r="K305" s="417"/>
      <c r="L305" s="421"/>
      <c r="M305" s="426"/>
      <c r="N305" s="424"/>
      <c r="O305" s="428"/>
      <c r="P305" s="64"/>
      <c r="W305" s="22"/>
      <c r="X305" s="22"/>
      <c r="AA305" s="22"/>
      <c r="AB305" s="22"/>
      <c r="AC305" s="22"/>
      <c r="AD305" s="22">
        <f>ROW()</f>
        <v>305</v>
      </c>
      <c r="AE305" s="22"/>
      <c r="AF305" s="22"/>
      <c r="AG305" s="22"/>
      <c r="AH305" s="22"/>
      <c r="AI305" s="22"/>
      <c r="AJ305" s="22"/>
      <c r="AK305" s="22"/>
      <c r="AL305" s="22"/>
      <c r="AM305" s="22"/>
      <c r="AN305" s="22"/>
      <c r="AO305" s="22"/>
      <c r="AP305" s="22"/>
      <c r="BB305" s="30" t="s">
        <v>825</v>
      </c>
      <c r="BC305" s="21" t="s">
        <v>127</v>
      </c>
      <c r="BD305" s="21" t="b">
        <v>1</v>
      </c>
      <c r="BE305" s="21">
        <f>M341</f>
        <v>0</v>
      </c>
      <c r="BF305" s="21" t="str">
        <f>""&amp;M341</f>
        <v/>
      </c>
      <c r="BG305" s="21" t="b">
        <v>1</v>
      </c>
      <c r="BH305" s="21" t="b">
        <v>0</v>
      </c>
      <c r="BK305" s="21" t="str">
        <f ca="1">_xlfn.FORMULATEXT(BE305)</f>
        <v>=M341</v>
      </c>
      <c r="BL305" s="21" t="str">
        <f ca="1">_xlfn.FORMULATEXT(BE305)</f>
        <v>=M341</v>
      </c>
    </row>
    <row r="306" spans="1:64" ht="14.75" customHeight="1" hidden="1">
      <c r="A306" s="64" t="s">
        <v>673</v>
      </c>
      <c r="B306" s="246"/>
      <c r="C306" s="208"/>
      <c r="D306" s="209"/>
      <c r="E306" s="209"/>
      <c r="F306" s="210"/>
      <c r="G306" s="420"/>
      <c r="H306" s="418"/>
      <c r="I306" s="422"/>
      <c r="J306" s="420"/>
      <c r="K306" s="418"/>
      <c r="L306" s="422"/>
      <c r="M306" s="427"/>
      <c r="N306" s="425"/>
      <c r="O306" s="429"/>
      <c r="P306" s="64"/>
      <c r="W306" s="22"/>
      <c r="X306" s="22"/>
      <c r="AA306" s="22"/>
      <c r="AB306" s="22"/>
      <c r="AC306" s="22"/>
      <c r="AD306" s="22">
        <f>ROW()</f>
        <v>306</v>
      </c>
      <c r="AE306" s="22"/>
      <c r="AF306" s="22"/>
      <c r="AG306" s="22"/>
      <c r="AH306" s="22"/>
      <c r="AI306" s="22"/>
      <c r="AJ306" s="22"/>
      <c r="AK306" s="22"/>
      <c r="AL306" s="22"/>
      <c r="AM306" s="22"/>
      <c r="AN306" s="22"/>
      <c r="AO306" s="22"/>
      <c r="AP306" s="22"/>
      <c r="BB306" s="30" t="s">
        <v>826</v>
      </c>
      <c r="BC306" s="21" t="s">
        <v>127</v>
      </c>
      <c r="BD306" s="21" t="b">
        <v>1</v>
      </c>
      <c r="BE306" s="21">
        <f>M342</f>
        <v>0</v>
      </c>
      <c r="BF306" s="21" t="str">
        <f>""&amp;M342</f>
        <v/>
      </c>
      <c r="BG306" s="21" t="b">
        <v>1</v>
      </c>
      <c r="BH306" s="21" t="b">
        <v>0</v>
      </c>
      <c r="BK306" s="21" t="str">
        <f ca="1">_xlfn.FORMULATEXT(BE306)</f>
        <v>=M342</v>
      </c>
      <c r="BL306" s="21" t="str">
        <f ca="1">_xlfn.FORMULATEXT(BE306)</f>
        <v>=M342</v>
      </c>
    </row>
    <row r="307" spans="1:64" ht="14.75" customHeight="1">
      <c r="A307" s="64" t="s">
        <v>673</v>
      </c>
      <c r="B307" s="239">
        <v>3</v>
      </c>
      <c r="C307" s="240" t="s">
        <v>801</v>
      </c>
      <c r="D307" s="240"/>
      <c r="E307" s="240"/>
      <c r="F307" s="240"/>
      <c r="G307" s="439"/>
      <c r="H307" s="438"/>
      <c r="I307" s="409"/>
      <c r="J307" s="439" t="s">
        <v>450</v>
      </c>
      <c r="K307" s="438"/>
      <c r="L307" s="409"/>
      <c r="M307" s="445"/>
      <c r="N307" s="444"/>
      <c r="O307" s="415"/>
      <c r="P307" s="64"/>
      <c r="W307" s="22"/>
      <c r="X307" s="22"/>
      <c r="AA307" s="22"/>
      <c r="AB307" s="22"/>
      <c r="AC307" s="22"/>
      <c r="AD307" s="22">
        <f>ROW()</f>
        <v>307</v>
      </c>
      <c r="AE307" s="22"/>
      <c r="AF307" s="22"/>
      <c r="AG307" s="22"/>
      <c r="AH307" s="22"/>
      <c r="AI307" s="22"/>
      <c r="AJ307" s="22"/>
      <c r="AK307" s="22"/>
      <c r="AL307" s="22"/>
      <c r="AM307" s="22"/>
      <c r="AN307" s="22"/>
      <c r="AO307" s="22"/>
      <c r="AP307" s="22"/>
      <c r="BB307" s="30" t="s">
        <v>827</v>
      </c>
      <c r="BC307" s="21" t="s">
        <v>127</v>
      </c>
      <c r="BD307" s="21" t="b">
        <v>1</v>
      </c>
      <c r="BE307" s="21">
        <f>M343</f>
        <v>0</v>
      </c>
      <c r="BF307" s="21" t="str">
        <f>""&amp;M343</f>
        <v/>
      </c>
      <c r="BG307" s="21" t="b">
        <v>1</v>
      </c>
      <c r="BH307" s="21" t="b">
        <v>0</v>
      </c>
      <c r="BK307" s="21" t="str">
        <f ca="1">_xlfn.FORMULATEXT(BE307)</f>
        <v>=M343</v>
      </c>
      <c r="BL307" s="21" t="str">
        <f ca="1">_xlfn.FORMULATEXT(BE307)</f>
        <v>=M343</v>
      </c>
    </row>
    <row r="308" spans="1:64" ht="14.5">
      <c r="A308" s="64" t="s">
        <v>673</v>
      </c>
      <c r="B308" s="245"/>
      <c r="C308" s="247" t="s">
        <v>803</v>
      </c>
      <c r="D308" s="247"/>
      <c r="E308" s="247"/>
      <c r="F308" s="247"/>
      <c r="G308" s="630" t="str" cm="1">
        <f t="array" ref="G308">TEXT(SUM(_xlfn.NUMBERVALUE(G304:I307)),"0.00")</f>
        <v>0.00</v>
      </c>
      <c r="H308" s="626"/>
      <c r="I308" s="632"/>
      <c r="J308" s="630" t="str" cm="1">
        <f t="array" ref="J308">TEXT(SUM(_xlfn.NUMBERVALUE(J304:L307)),"0.00")</f>
        <v>0.00</v>
      </c>
      <c r="K308" s="626"/>
      <c r="L308" s="632"/>
      <c r="M308" s="454"/>
      <c r="N308" s="443"/>
      <c r="O308" s="456"/>
      <c r="P308" s="64"/>
      <c r="W308" s="22"/>
      <c r="X308" s="22"/>
      <c r="AA308" s="22"/>
      <c r="AB308" s="22"/>
      <c r="AC308" s="22"/>
      <c r="AD308" s="22">
        <f>ROW()</f>
        <v>308</v>
      </c>
      <c r="AE308" s="22"/>
      <c r="AF308" s="22"/>
      <c r="AG308" s="22"/>
      <c r="AH308" s="22"/>
      <c r="AI308" s="22"/>
      <c r="AJ308" s="22"/>
      <c r="AK308" s="22"/>
      <c r="AL308" s="22"/>
      <c r="AM308" s="22"/>
      <c r="AN308" s="22"/>
      <c r="AO308" s="22"/>
      <c r="AP308" s="22"/>
      <c r="BB308" s="30" t="s">
        <v>828</v>
      </c>
      <c r="BC308" s="21" t="s">
        <v>127</v>
      </c>
      <c r="BD308" s="21" t="b">
        <v>1</v>
      </c>
      <c r="BE308" s="21">
        <f>M344</f>
        <v>0</v>
      </c>
      <c r="BF308" s="21" t="str">
        <f>""&amp;M344</f>
        <v/>
      </c>
      <c r="BG308" s="21" t="b">
        <v>1</v>
      </c>
      <c r="BH308" s="21" t="b">
        <v>0</v>
      </c>
      <c r="BK308" s="21" t="str">
        <f ca="1">_xlfn.FORMULATEXT(BE308)</f>
        <v>=M344</v>
      </c>
      <c r="BL308" s="21" t="str">
        <f ca="1">_xlfn.FORMULATEXT(BE308)</f>
        <v>=M344</v>
      </c>
    </row>
    <row r="309" spans="1:64" ht="14.75" customHeight="1">
      <c r="A309" s="64" t="s">
        <v>673</v>
      </c>
      <c r="B309" s="246"/>
      <c r="C309" s="247"/>
      <c r="D309" s="247"/>
      <c r="E309" s="247"/>
      <c r="F309" s="247"/>
      <c r="G309" s="631"/>
      <c r="H309" s="629"/>
      <c r="I309" s="633"/>
      <c r="J309" s="631"/>
      <c r="K309" s="629"/>
      <c r="L309" s="633"/>
      <c r="M309" s="455"/>
      <c r="N309" s="453"/>
      <c r="O309" s="429"/>
      <c r="P309" s="64"/>
      <c r="W309" s="22"/>
      <c r="X309" s="22"/>
      <c r="AA309" s="22"/>
      <c r="AB309" s="22"/>
      <c r="AC309" s="22"/>
      <c r="AD309" s="22">
        <f>ROW()</f>
        <v>309</v>
      </c>
      <c r="AE309" s="22"/>
      <c r="AF309" s="22"/>
      <c r="AG309" s="22"/>
      <c r="AH309" s="22"/>
      <c r="AI309" s="22"/>
      <c r="AJ309" s="22"/>
      <c r="AK309" s="22"/>
      <c r="AL309" s="22"/>
      <c r="AM309" s="22"/>
      <c r="AN309" s="22"/>
      <c r="AO309" s="22"/>
      <c r="AP309" s="22"/>
      <c r="BB309" s="30" t="s">
        <v>829</v>
      </c>
      <c r="BC309" s="21" t="s">
        <v>127</v>
      </c>
      <c r="BD309" s="21" t="b">
        <v>1</v>
      </c>
      <c r="BE309" s="21">
        <f>M345</f>
        <v>0</v>
      </c>
      <c r="BF309" s="21" t="str">
        <f>""&amp;M345</f>
        <v/>
      </c>
      <c r="BG309" s="21" t="b">
        <v>1</v>
      </c>
      <c r="BH309" s="21" t="b">
        <v>0</v>
      </c>
      <c r="BK309" s="21" t="str">
        <f ca="1">_xlfn.FORMULATEXT(BE309)</f>
        <v>=M345</v>
      </c>
      <c r="BL309" s="21" t="str">
        <f ca="1">_xlfn.FORMULATEXT(BE309)</f>
        <v>=M345</v>
      </c>
    </row>
    <row r="310" spans="1:64" ht="14.5">
      <c r="A310" s="64" t="s">
        <v>673</v>
      </c>
      <c r="B310" s="239">
        <v>4</v>
      </c>
      <c r="C310" s="244" t="s">
        <v>807</v>
      </c>
      <c r="D310" s="244"/>
      <c r="E310" s="244"/>
      <c r="F310" s="244"/>
      <c r="G310" s="448"/>
      <c r="H310" s="448"/>
      <c r="I310" s="448"/>
      <c r="J310" s="448"/>
      <c r="K310" s="448"/>
      <c r="L310" s="448"/>
      <c r="M310" s="448"/>
      <c r="N310" s="448"/>
      <c r="O310" s="448"/>
      <c r="P310" s="64"/>
      <c r="W310" s="22"/>
      <c r="X310" s="22"/>
      <c r="AA310" s="22"/>
      <c r="AB310" s="22"/>
      <c r="AC310" s="22"/>
      <c r="AD310" s="22">
        <f>ROW()</f>
        <v>310</v>
      </c>
      <c r="AE310" s="22"/>
      <c r="AF310" s="22"/>
      <c r="AG310" s="22"/>
      <c r="AH310" s="22"/>
      <c r="AI310" s="22"/>
      <c r="AJ310" s="22"/>
      <c r="AK310" s="22"/>
      <c r="AL310" s="22"/>
      <c r="AM310" s="22"/>
      <c r="AN310" s="22"/>
      <c r="AO310" s="22"/>
      <c r="AP310" s="22"/>
      <c r="BB310" s="30" t="s">
        <v>830</v>
      </c>
      <c r="BC310" s="21" t="s">
        <v>127</v>
      </c>
      <c r="BD310" s="21" t="b">
        <v>1</v>
      </c>
      <c r="BE310" s="21">
        <f>M346</f>
        <v>0</v>
      </c>
      <c r="BF310" s="21" t="str">
        <f>""&amp;M346</f>
        <v/>
      </c>
      <c r="BG310" s="21" t="b">
        <v>1</v>
      </c>
      <c r="BH310" s="21" t="b">
        <v>0</v>
      </c>
      <c r="BK310" s="21" t="str">
        <f ca="1">_xlfn.FORMULATEXT(BE310)</f>
        <v>=M346</v>
      </c>
      <c r="BL310" s="21" t="str">
        <f ca="1">_xlfn.FORMULATEXT(BE310)</f>
        <v>=M346</v>
      </c>
    </row>
    <row r="311" spans="1:64" ht="14.5">
      <c r="A311" s="64" t="s">
        <v>673</v>
      </c>
      <c r="B311" s="245"/>
      <c r="C311" s="191" t="s">
        <v>809</v>
      </c>
      <c r="D311" s="192"/>
      <c r="E311" s="192"/>
      <c r="F311" s="193"/>
      <c r="G311" s="408"/>
      <c r="H311" s="407"/>
      <c r="I311" s="409"/>
      <c r="J311" s="408" t="s">
        <v>450</v>
      </c>
      <c r="K311" s="407"/>
      <c r="L311" s="409"/>
      <c r="M311" s="445"/>
      <c r="N311" s="444"/>
      <c r="O311" s="415"/>
      <c r="P311" s="64"/>
      <c r="W311" s="22"/>
      <c r="X311" s="22"/>
      <c r="AA311" s="22"/>
      <c r="AB311" s="22"/>
      <c r="AC311" s="22"/>
      <c r="AD311" s="22">
        <f>ROW()</f>
        <v>311</v>
      </c>
      <c r="AE311" s="22"/>
      <c r="AF311" s="22"/>
      <c r="AG311" s="22"/>
      <c r="AH311" s="22"/>
      <c r="AI311" s="22"/>
      <c r="AJ311" s="22"/>
      <c r="AK311" s="22"/>
      <c r="AL311" s="22"/>
      <c r="AM311" s="22"/>
      <c r="AN311" s="22"/>
      <c r="AO311" s="22"/>
      <c r="AP311" s="22"/>
      <c r="BB311" s="30" t="s">
        <v>831</v>
      </c>
      <c r="BC311" s="21" t="s">
        <v>127</v>
      </c>
      <c r="BD311" s="21" t="b">
        <v>1</v>
      </c>
      <c r="BE311" s="21">
        <f>M347</f>
        <v>0</v>
      </c>
      <c r="BF311" s="21" t="str">
        <f>""&amp;M347</f>
        <v/>
      </c>
      <c r="BG311" s="21" t="b">
        <v>1</v>
      </c>
      <c r="BH311" s="21" t="b">
        <v>0</v>
      </c>
      <c r="BK311" s="21" t="str">
        <f ca="1">_xlfn.FORMULATEXT(BE311)</f>
        <v>=M347</v>
      </c>
      <c r="BL311" s="21" t="str">
        <f ca="1">_xlfn.FORMULATEXT(BE311)</f>
        <v>=M347</v>
      </c>
    </row>
    <row r="312" spans="1:64" ht="14.75" customHeight="1">
      <c r="A312" s="64" t="s">
        <v>673</v>
      </c>
      <c r="B312" s="249"/>
      <c r="C312" s="250" t="s">
        <v>811</v>
      </c>
      <c r="D312" s="251"/>
      <c r="E312" s="251"/>
      <c r="F312" s="252"/>
      <c r="G312" s="408"/>
      <c r="H312" s="407"/>
      <c r="I312" s="409"/>
      <c r="J312" s="408" t="s">
        <v>450</v>
      </c>
      <c r="K312" s="407"/>
      <c r="L312" s="409"/>
      <c r="M312" s="445"/>
      <c r="N312" s="444"/>
      <c r="O312" s="415"/>
      <c r="P312" s="64"/>
      <c r="W312" s="22"/>
      <c r="X312" s="22"/>
      <c r="AA312" s="22"/>
      <c r="AB312" s="22"/>
      <c r="AC312" s="22"/>
      <c r="AD312" s="22">
        <f>ROW()</f>
        <v>312</v>
      </c>
      <c r="AE312" s="22"/>
      <c r="AF312" s="22"/>
      <c r="AG312" s="22"/>
      <c r="AH312" s="22"/>
      <c r="AI312" s="22"/>
      <c r="AJ312" s="22"/>
      <c r="AK312" s="22"/>
      <c r="AL312" s="22"/>
      <c r="AM312" s="22"/>
      <c r="AN312" s="22"/>
      <c r="AO312" s="22"/>
      <c r="AP312" s="22"/>
      <c r="BB312" s="30" t="s">
        <v>832</v>
      </c>
      <c r="BC312" s="21" t="s">
        <v>127</v>
      </c>
      <c r="BD312" s="21" t="b">
        <v>1</v>
      </c>
      <c r="BE312" s="21">
        <f>M348</f>
        <v>0</v>
      </c>
      <c r="BF312" s="21" t="str">
        <f>""&amp;M348</f>
        <v/>
      </c>
      <c r="BG312" s="21" t="b">
        <v>1</v>
      </c>
      <c r="BH312" s="21" t="b">
        <v>0</v>
      </c>
      <c r="BK312" s="21" t="str">
        <f ca="1">_xlfn.FORMULATEXT(BE312)</f>
        <v>=M348</v>
      </c>
      <c r="BL312" s="21" t="str">
        <f ca="1">_xlfn.FORMULATEXT(BE312)</f>
        <v>=M348</v>
      </c>
    </row>
    <row r="313" spans="1:64" ht="14.5">
      <c r="A313" s="64" t="s">
        <v>673</v>
      </c>
      <c r="B313" s="239">
        <v>5</v>
      </c>
      <c r="C313" s="247" t="s">
        <v>813</v>
      </c>
      <c r="D313" s="247"/>
      <c r="E313" s="247"/>
      <c r="F313" s="247"/>
      <c r="G313" s="635" t="str">
        <f>TEXT(G308-(_xlfn.NUMBERVALUE(G311)+_xlfn.NUMBERVALUE(G312)),"0.00")</f>
        <v>0.00</v>
      </c>
      <c r="H313" s="634"/>
      <c r="I313" s="636"/>
      <c r="J313" s="635" t="str">
        <f>TEXT(J308-(_xlfn.NUMBERVALUE(J311)+_xlfn.NUMBERVALUE(J312)),"0.00")</f>
        <v>0.00</v>
      </c>
      <c r="K313" s="634"/>
      <c r="L313" s="636"/>
      <c r="M313" s="454"/>
      <c r="N313" s="443"/>
      <c r="O313" s="456"/>
      <c r="P313" s="64"/>
      <c r="W313" s="22"/>
      <c r="X313" s="22"/>
      <c r="AA313" s="22"/>
      <c r="AB313" s="22"/>
      <c r="AC313" s="22"/>
      <c r="AD313" s="22">
        <f>ROW()</f>
        <v>313</v>
      </c>
      <c r="AE313" s="22"/>
      <c r="AF313" s="22"/>
      <c r="AG313" s="22"/>
      <c r="AH313" s="22"/>
      <c r="AI313" s="22"/>
      <c r="AJ313" s="22"/>
      <c r="AK313" s="22"/>
      <c r="AL313" s="22"/>
      <c r="AM313" s="22"/>
      <c r="AN313" s="22"/>
      <c r="AO313" s="22"/>
      <c r="AP313" s="22"/>
      <c r="BB313" s="30" t="s">
        <v>833</v>
      </c>
      <c r="BC313" s="21" t="s">
        <v>127</v>
      </c>
      <c r="BD313" s="21" t="b">
        <v>1</v>
      </c>
      <c r="BE313" s="21">
        <f>M349</f>
        <v>0</v>
      </c>
      <c r="BF313" s="21" t="str">
        <f>""&amp;M349</f>
        <v/>
      </c>
      <c r="BG313" s="21" t="b">
        <v>1</v>
      </c>
      <c r="BH313" s="21" t="b">
        <v>0</v>
      </c>
      <c r="BK313" s="21" t="str">
        <f ca="1">_xlfn.FORMULATEXT(BE313)</f>
        <v>=M349</v>
      </c>
      <c r="BL313" s="21" t="str">
        <f ca="1">_xlfn.FORMULATEXT(BE313)</f>
        <v>=M349</v>
      </c>
    </row>
    <row r="314" spans="1:64" ht="14.75" customHeight="1">
      <c r="A314" s="64" t="s">
        <v>673</v>
      </c>
      <c r="B314" s="239"/>
      <c r="C314" s="247"/>
      <c r="D314" s="247"/>
      <c r="E314" s="247"/>
      <c r="F314" s="247"/>
      <c r="G314" s="623"/>
      <c r="H314" s="622"/>
      <c r="I314" s="624"/>
      <c r="J314" s="623"/>
      <c r="K314" s="622"/>
      <c r="L314" s="624"/>
      <c r="M314" s="455"/>
      <c r="N314" s="453"/>
      <c r="O314" s="429"/>
      <c r="P314" s="64"/>
      <c r="W314" s="22"/>
      <c r="X314" s="22"/>
      <c r="AA314" s="22"/>
      <c r="AB314" s="22"/>
      <c r="AC314" s="22"/>
      <c r="AD314" s="22">
        <f>ROW()</f>
        <v>314</v>
      </c>
      <c r="AE314" s="22"/>
      <c r="AF314" s="22"/>
      <c r="AG314" s="22"/>
      <c r="AH314" s="22"/>
      <c r="AI314" s="22"/>
      <c r="AJ314" s="22"/>
      <c r="AK314" s="22"/>
      <c r="AL314" s="22"/>
      <c r="AM314" s="22"/>
      <c r="AN314" s="22"/>
      <c r="AO314" s="22"/>
      <c r="AP314" s="22"/>
      <c r="BB314" s="30" t="s">
        <v>834</v>
      </c>
      <c r="BC314" s="21" t="s">
        <v>127</v>
      </c>
      <c r="BD314" s="21" t="b">
        <v>1</v>
      </c>
      <c r="BE314" s="21">
        <f>M350</f>
        <v>0</v>
      </c>
      <c r="BF314" s="21" t="str">
        <f>""&amp;M350</f>
        <v/>
      </c>
      <c r="BG314" s="21" t="b">
        <v>1</v>
      </c>
      <c r="BH314" s="21" t="b">
        <v>0</v>
      </c>
      <c r="BK314" s="21" t="str">
        <f ca="1">_xlfn.FORMULATEXT(BE314)</f>
        <v>=M350</v>
      </c>
      <c r="BL314" s="21" t="str">
        <f ca="1">_xlfn.FORMULATEXT(BE314)</f>
        <v>=M350</v>
      </c>
    </row>
    <row r="315" spans="1:64" ht="14.75" customHeight="1">
      <c r="A315" s="64" t="s">
        <v>673</v>
      </c>
      <c r="B315" s="245">
        <v>6</v>
      </c>
      <c r="C315" s="247" t="s">
        <v>816</v>
      </c>
      <c r="D315" s="247"/>
      <c r="E315" s="247"/>
      <c r="F315" s="247"/>
      <c r="G315" s="419"/>
      <c r="H315" s="417"/>
      <c r="I315" s="421"/>
      <c r="J315" s="419" t="s">
        <v>450</v>
      </c>
      <c r="K315" s="417"/>
      <c r="L315" s="421"/>
      <c r="M315" s="454"/>
      <c r="N315" s="443"/>
      <c r="O315" s="456"/>
      <c r="P315" s="64"/>
      <c r="W315" s="22"/>
      <c r="X315" s="22"/>
      <c r="AA315" s="22"/>
      <c r="AB315" s="22"/>
      <c r="AC315" s="22"/>
      <c r="AD315" s="22">
        <f>ROW()</f>
        <v>315</v>
      </c>
      <c r="AE315" s="22"/>
      <c r="AF315" s="22"/>
      <c r="AG315" s="22"/>
      <c r="AH315" s="22"/>
      <c r="AI315" s="22"/>
      <c r="AJ315" s="22"/>
      <c r="AK315" s="22"/>
      <c r="AL315" s="22"/>
      <c r="AM315" s="22"/>
      <c r="AN315" s="22"/>
      <c r="AO315" s="22"/>
      <c r="AP315" s="22"/>
      <c r="BB315" s="30" t="s">
        <v>835</v>
      </c>
      <c r="BC315" s="21" t="s">
        <v>127</v>
      </c>
      <c r="BD315" s="21" t="b">
        <v>1</v>
      </c>
      <c r="BE315" s="21">
        <f>M351</f>
        <v>0</v>
      </c>
      <c r="BF315" s="21" t="str">
        <f>""&amp;M351</f>
        <v/>
      </c>
      <c r="BG315" s="21" t="b">
        <v>1</v>
      </c>
      <c r="BH315" s="21" t="b">
        <v>0</v>
      </c>
      <c r="BK315" s="21" t="str">
        <f ca="1">_xlfn.FORMULATEXT(BE315)</f>
        <v>=M351</v>
      </c>
      <c r="BL315" s="21" t="str">
        <f ca="1">_xlfn.FORMULATEXT(BE315)</f>
        <v>=M351</v>
      </c>
    </row>
    <row r="316" spans="1:64" ht="14.75" customHeight="1">
      <c r="A316" s="64" t="s">
        <v>673</v>
      </c>
      <c r="B316" s="246"/>
      <c r="C316" s="247"/>
      <c r="D316" s="247"/>
      <c r="E316" s="247"/>
      <c r="F316" s="247"/>
      <c r="G316" s="420"/>
      <c r="H316" s="418"/>
      <c r="I316" s="422"/>
      <c r="J316" s="420"/>
      <c r="K316" s="418"/>
      <c r="L316" s="422"/>
      <c r="M316" s="455"/>
      <c r="N316" s="453"/>
      <c r="O316" s="429"/>
      <c r="P316" s="64"/>
      <c r="W316" s="22"/>
      <c r="X316" s="22"/>
      <c r="AA316" s="22"/>
      <c r="AB316" s="22"/>
      <c r="AC316" s="22"/>
      <c r="AD316" s="22">
        <f>ROW()</f>
        <v>316</v>
      </c>
      <c r="AE316" s="22"/>
      <c r="AF316" s="22"/>
      <c r="AG316" s="22"/>
      <c r="AH316" s="22"/>
      <c r="AI316" s="22"/>
      <c r="AJ316" s="22"/>
      <c r="AK316" s="22"/>
      <c r="AL316" s="22"/>
      <c r="AM316" s="22"/>
      <c r="AN316" s="22"/>
      <c r="AO316" s="22"/>
      <c r="AP316" s="22"/>
      <c r="BB316" s="30" t="s">
        <v>836</v>
      </c>
      <c r="BC316" s="21" t="s">
        <v>127</v>
      </c>
      <c r="BD316" s="21" t="b">
        <v>1</v>
      </c>
      <c r="BE316" s="21">
        <f>M352</f>
        <v>0</v>
      </c>
      <c r="BF316" s="21" t="str">
        <f>""&amp;M352</f>
        <v/>
      </c>
      <c r="BG316" s="21" t="b">
        <v>1</v>
      </c>
      <c r="BH316" s="21" t="b">
        <v>0</v>
      </c>
      <c r="BK316" s="21" t="str">
        <f ca="1">_xlfn.FORMULATEXT(BE316)</f>
        <v>=M352</v>
      </c>
      <c r="BL316" s="21" t="str">
        <f ca="1">_xlfn.FORMULATEXT(BE316)</f>
        <v>=M352</v>
      </c>
    </row>
    <row r="317" spans="1:64" ht="14.75" customHeight="1">
      <c r="A317" s="64" t="s">
        <v>673</v>
      </c>
      <c r="B317" s="64"/>
      <c r="C317" s="64"/>
      <c r="D317" s="64"/>
      <c r="E317" s="64"/>
      <c r="F317" s="64"/>
      <c r="G317" s="64"/>
      <c r="H317" s="64"/>
      <c r="I317" s="64"/>
      <c r="J317" s="64"/>
      <c r="K317" s="64"/>
      <c r="L317" s="64"/>
      <c r="M317" s="64"/>
      <c r="N317" s="64"/>
      <c r="O317" s="93"/>
      <c r="P317" s="64"/>
      <c r="W317" s="22"/>
      <c r="X317" s="22"/>
      <c r="AA317" s="22"/>
      <c r="AB317" s="22"/>
      <c r="AC317" s="22"/>
      <c r="AD317" s="22">
        <f>ROW()</f>
        <v>317</v>
      </c>
      <c r="AE317" s="22"/>
      <c r="AF317" s="22"/>
      <c r="AG317" s="22"/>
      <c r="AH317" s="22"/>
      <c r="AI317" s="22"/>
      <c r="AJ317" s="22"/>
      <c r="AK317" s="22"/>
      <c r="AL317" s="22"/>
      <c r="AM317" s="22"/>
      <c r="AN317" s="22"/>
      <c r="AO317" s="22"/>
      <c r="AP317" s="22"/>
      <c r="BB317" s="30" t="s">
        <v>837</v>
      </c>
      <c r="BC317" s="21" t="s">
        <v>127</v>
      </c>
      <c r="BD317" s="21" t="b">
        <v>1</v>
      </c>
      <c r="BE317" s="21">
        <f>M353</f>
        <v>0</v>
      </c>
      <c r="BF317" s="21" t="str">
        <f>""&amp;M353</f>
        <v/>
      </c>
      <c r="BG317" s="21" t="b">
        <v>1</v>
      </c>
      <c r="BH317" s="21" t="b">
        <v>0</v>
      </c>
      <c r="BK317" s="21" t="str">
        <f ca="1">_xlfn.FORMULATEXT(BE317)</f>
        <v>=M353</v>
      </c>
      <c r="BL317" s="21" t="str">
        <f ca="1">_xlfn.FORMULATEXT(BE317)</f>
        <v>=M353</v>
      </c>
    </row>
    <row r="318" spans="1:64" ht="28.25" customHeight="1">
      <c r="A318" s="64" t="s">
        <v>673</v>
      </c>
      <c r="B318" s="158" t="s">
        <v>838</v>
      </c>
      <c r="C318" s="89"/>
      <c r="D318" s="89"/>
      <c r="E318" s="89"/>
      <c r="F318" s="89"/>
      <c r="G318" s="89"/>
      <c r="H318" s="64"/>
      <c r="I318" s="64"/>
      <c r="J318" s="64"/>
      <c r="K318" s="64"/>
      <c r="L318" s="64"/>
      <c r="M318" s="64"/>
      <c r="N318" s="64"/>
      <c r="O318" s="93"/>
      <c r="P318" s="64"/>
      <c r="W318" s="22"/>
      <c r="X318" s="22"/>
      <c r="AA318" s="22"/>
      <c r="AB318" s="22"/>
      <c r="AC318" s="22"/>
      <c r="AD318" s="22">
        <f>ROW()</f>
        <v>318</v>
      </c>
      <c r="AE318" s="22"/>
      <c r="AF318" s="22"/>
      <c r="AG318" s="22"/>
      <c r="AH318" s="22"/>
      <c r="AI318" s="22"/>
      <c r="AJ318" s="22"/>
      <c r="AK318" s="22"/>
      <c r="AL318" s="22"/>
      <c r="AM318" s="22"/>
      <c r="AN318" s="22"/>
      <c r="AO318" s="22"/>
      <c r="AP318" s="22"/>
      <c r="BB318" s="30" t="s">
        <v>839</v>
      </c>
      <c r="BC318" s="21" t="s">
        <v>127</v>
      </c>
      <c r="BD318" s="21" t="b">
        <v>1</v>
      </c>
      <c r="BE318" s="21">
        <f>M354</f>
        <v>0</v>
      </c>
      <c r="BF318" s="21" t="str">
        <f>""&amp;M354</f>
        <v/>
      </c>
      <c r="BG318" s="21" t="b">
        <v>1</v>
      </c>
      <c r="BH318" s="21" t="b">
        <v>0</v>
      </c>
      <c r="BK318" s="21" t="str">
        <f ca="1">_xlfn.FORMULATEXT(BE318)</f>
        <v>=M354</v>
      </c>
      <c r="BL318" s="21" t="str">
        <f ca="1">_xlfn.FORMULATEXT(BE318)</f>
        <v>=M354</v>
      </c>
    </row>
    <row r="319" spans="1:64" ht="14.5">
      <c r="A319" s="64" t="s">
        <v>673</v>
      </c>
      <c r="B319" s="159"/>
      <c r="C319" s="242" t="s">
        <v>735</v>
      </c>
      <c r="D319" s="242"/>
      <c r="E319" s="242"/>
      <c r="F319" s="242"/>
      <c r="G319" s="243" t="s">
        <v>736</v>
      </c>
      <c r="H319" s="243"/>
      <c r="I319" s="243"/>
      <c r="J319" s="242" t="s">
        <v>737</v>
      </c>
      <c r="K319" s="242"/>
      <c r="L319" s="242"/>
      <c r="M319" s="243" t="s">
        <v>628</v>
      </c>
      <c r="N319" s="243"/>
      <c r="O319" s="243"/>
      <c r="P319" s="64"/>
      <c r="W319" s="22"/>
      <c r="X319" s="22"/>
      <c r="AA319" s="22"/>
      <c r="AB319" s="22"/>
      <c r="AC319" s="22"/>
      <c r="AD319" s="22">
        <f>ROW()</f>
        <v>319</v>
      </c>
      <c r="AE319" s="22"/>
      <c r="AF319" s="22"/>
      <c r="AG319" s="22"/>
      <c r="AH319" s="22"/>
      <c r="AI319" s="22"/>
      <c r="AJ319" s="22"/>
      <c r="AK319" s="22"/>
      <c r="AL319" s="22"/>
      <c r="AM319" s="22"/>
      <c r="AN319" s="22"/>
      <c r="AO319" s="22"/>
      <c r="AP319" s="22"/>
      <c r="BB319" s="30" t="s">
        <v>840</v>
      </c>
      <c r="BC319" s="21" t="s">
        <v>127</v>
      </c>
      <c r="BD319" s="21" t="b">
        <v>1</v>
      </c>
      <c r="BE319" s="21">
        <f>M355</f>
        <v>0</v>
      </c>
      <c r="BF319" s="21" t="str">
        <f>""&amp;M355</f>
        <v/>
      </c>
      <c r="BG319" s="21" t="b">
        <v>1</v>
      </c>
      <c r="BH319" s="21" t="b">
        <v>0</v>
      </c>
      <c r="BK319" s="21" t="str">
        <f ca="1">_xlfn.FORMULATEXT(BE319)</f>
        <v>=M355</v>
      </c>
      <c r="BL319" s="21" t="str">
        <f ca="1">_xlfn.FORMULATEXT(BE319)</f>
        <v>=M355</v>
      </c>
    </row>
    <row r="320" spans="1:64" ht="14.5">
      <c r="A320" s="64" t="s">
        <v>673</v>
      </c>
      <c r="B320" s="167"/>
      <c r="C320" s="242"/>
      <c r="D320" s="242"/>
      <c r="E320" s="242"/>
      <c r="F320" s="242"/>
      <c r="G320" s="446"/>
      <c r="H320" s="446"/>
      <c r="I320" s="446"/>
      <c r="J320" s="447"/>
      <c r="K320" s="447"/>
      <c r="L320" s="447"/>
      <c r="M320" s="446"/>
      <c r="N320" s="446"/>
      <c r="O320" s="446"/>
      <c r="P320" s="64"/>
      <c r="W320" s="22"/>
      <c r="X320" s="22"/>
      <c r="AA320" s="22"/>
      <c r="AB320" s="22"/>
      <c r="AC320" s="22"/>
      <c r="AD320" s="22">
        <f>ROW()</f>
        <v>320</v>
      </c>
      <c r="AE320" s="22"/>
      <c r="AF320" s="22"/>
      <c r="AG320" s="22"/>
      <c r="AH320" s="22"/>
      <c r="AI320" s="22"/>
      <c r="AJ320" s="22"/>
      <c r="AK320" s="22"/>
      <c r="AL320" s="22"/>
      <c r="AM320" s="22"/>
      <c r="AN320" s="22"/>
      <c r="AO320" s="22"/>
      <c r="AP320" s="22"/>
      <c r="BB320" s="30" t="s">
        <v>841</v>
      </c>
      <c r="BC320" s="21" t="s">
        <v>127</v>
      </c>
      <c r="BD320" s="21" t="b">
        <v>1</v>
      </c>
      <c r="BE320" s="21">
        <f>M356</f>
        <v>0</v>
      </c>
      <c r="BF320" s="21" t="str">
        <f>""&amp;M356</f>
        <v/>
      </c>
      <c r="BG320" s="21" t="b">
        <v>1</v>
      </c>
      <c r="BH320" s="21" t="b">
        <v>0</v>
      </c>
      <c r="BK320" s="21" t="str">
        <f ca="1">_xlfn.FORMULATEXT(BE320)</f>
        <v>=M356</v>
      </c>
      <c r="BL320" s="21" t="str">
        <f ca="1">_xlfn.FORMULATEXT(BE320)</f>
        <v>=M356</v>
      </c>
    </row>
    <row r="321" spans="1:64" ht="14.5">
      <c r="A321" s="64" t="s">
        <v>673</v>
      </c>
      <c r="B321" s="239">
        <v>1</v>
      </c>
      <c r="C321" s="247" t="s">
        <v>842</v>
      </c>
      <c r="D321" s="247"/>
      <c r="E321" s="247"/>
      <c r="F321" s="247"/>
      <c r="G321" s="408"/>
      <c r="H321" s="407"/>
      <c r="I321" s="409"/>
      <c r="J321" s="439" t="s">
        <v>450</v>
      </c>
      <c r="K321" s="438"/>
      <c r="L321" s="409"/>
      <c r="M321" s="414"/>
      <c r="N321" s="413"/>
      <c r="O321" s="415"/>
      <c r="P321" s="64"/>
      <c r="W321" s="22"/>
      <c r="X321" s="22"/>
      <c r="AA321" s="22"/>
      <c r="AB321" s="22"/>
      <c r="AC321" s="22"/>
      <c r="AD321" s="22">
        <f>ROW()</f>
        <v>321</v>
      </c>
      <c r="AE321" s="22"/>
      <c r="AF321" s="22"/>
      <c r="AG321" s="22"/>
      <c r="AH321" s="22"/>
      <c r="AI321" s="22"/>
      <c r="AJ321" s="22"/>
      <c r="AK321" s="22"/>
      <c r="AL321" s="22"/>
      <c r="AM321" s="22"/>
      <c r="AN321" s="22"/>
      <c r="AO321" s="22"/>
      <c r="AP321" s="22"/>
      <c r="BB321" s="30" t="s">
        <v>843</v>
      </c>
      <c r="BC321" s="21" t="s">
        <v>127</v>
      </c>
      <c r="BD321" s="21" t="b">
        <v>1</v>
      </c>
      <c r="BE321" s="21">
        <f>M357</f>
        <v>0</v>
      </c>
      <c r="BF321" s="21" t="str">
        <f>""&amp;M357</f>
        <v/>
      </c>
      <c r="BG321" s="21" t="b">
        <v>1</v>
      </c>
      <c r="BH321" s="21" t="b">
        <v>0</v>
      </c>
      <c r="BK321" s="21" t="str">
        <f ca="1">_xlfn.FORMULATEXT(BE321)</f>
        <v>=M357</v>
      </c>
      <c r="BL321" s="21" t="str">
        <f ca="1">_xlfn.FORMULATEXT(BE321)</f>
        <v>=M357</v>
      </c>
    </row>
    <row r="322" spans="1:64" ht="14.5">
      <c r="A322" s="64" t="s">
        <v>673</v>
      </c>
      <c r="B322" s="239">
        <v>2</v>
      </c>
      <c r="C322" s="247" t="s">
        <v>844</v>
      </c>
      <c r="D322" s="247"/>
      <c r="E322" s="247"/>
      <c r="F322" s="247"/>
      <c r="G322" s="408"/>
      <c r="H322" s="407"/>
      <c r="I322" s="409"/>
      <c r="J322" s="439" t="s">
        <v>450</v>
      </c>
      <c r="K322" s="438"/>
      <c r="L322" s="409"/>
      <c r="M322" s="414"/>
      <c r="N322" s="413"/>
      <c r="O322" s="415"/>
      <c r="P322" s="64"/>
      <c r="W322" s="22"/>
      <c r="X322" s="22"/>
      <c r="AA322" s="22"/>
      <c r="AB322" s="22"/>
      <c r="AC322" s="22"/>
      <c r="AD322" s="22">
        <f>ROW()</f>
        <v>322</v>
      </c>
      <c r="AE322" s="22"/>
      <c r="AF322" s="22"/>
      <c r="AG322" s="22"/>
      <c r="AH322" s="22"/>
      <c r="AI322" s="22"/>
      <c r="AJ322" s="22"/>
      <c r="AK322" s="22"/>
      <c r="AL322" s="22"/>
      <c r="AM322" s="22"/>
      <c r="AN322" s="22"/>
      <c r="AO322" s="22"/>
      <c r="AP322" s="22"/>
      <c r="BB322" s="30" t="s">
        <v>845</v>
      </c>
      <c r="BC322" s="21" t="s">
        <v>127</v>
      </c>
      <c r="BD322" s="21" t="b">
        <v>1</v>
      </c>
      <c r="BE322" s="21">
        <f>M358</f>
        <v>0</v>
      </c>
      <c r="BF322" s="21" t="str">
        <f>""&amp;M358</f>
        <v/>
      </c>
      <c r="BG322" s="21" t="b">
        <v>1</v>
      </c>
      <c r="BH322" s="21" t="b">
        <v>0</v>
      </c>
      <c r="BK322" s="21" t="str">
        <f ca="1">_xlfn.FORMULATEXT(BE322)</f>
        <v>=M358</v>
      </c>
      <c r="BL322" s="21" t="str">
        <f ca="1">_xlfn.FORMULATEXT(BE322)</f>
        <v>=M358</v>
      </c>
    </row>
    <row r="323" spans="1:64" ht="14.5">
      <c r="A323" s="64" t="s">
        <v>673</v>
      </c>
      <c r="B323" s="239">
        <v>3</v>
      </c>
      <c r="C323" s="247" t="s">
        <v>846</v>
      </c>
      <c r="D323" s="247"/>
      <c r="E323" s="247"/>
      <c r="F323" s="247"/>
      <c r="G323" s="408"/>
      <c r="H323" s="407"/>
      <c r="I323" s="409"/>
      <c r="J323" s="439" t="s">
        <v>450</v>
      </c>
      <c r="K323" s="438"/>
      <c r="L323" s="409"/>
      <c r="M323" s="414"/>
      <c r="N323" s="413"/>
      <c r="O323" s="415"/>
      <c r="P323" s="64"/>
      <c r="W323" s="22"/>
      <c r="X323" s="22"/>
      <c r="AA323" s="22"/>
      <c r="AB323" s="22"/>
      <c r="AC323" s="22"/>
      <c r="AD323" s="22">
        <f>ROW()</f>
        <v>323</v>
      </c>
      <c r="AE323" s="22"/>
      <c r="AF323" s="22"/>
      <c r="AG323" s="22"/>
      <c r="AH323" s="22"/>
      <c r="AI323" s="22"/>
      <c r="AJ323" s="22"/>
      <c r="AK323" s="22"/>
      <c r="AL323" s="22"/>
      <c r="AM323" s="22"/>
      <c r="AN323" s="22"/>
      <c r="AO323" s="22"/>
      <c r="AP323" s="22"/>
      <c r="BB323" s="30" t="s">
        <v>847</v>
      </c>
      <c r="BC323" s="21" t="s">
        <v>127</v>
      </c>
      <c r="BD323" s="21" t="b">
        <v>1</v>
      </c>
      <c r="BE323" s="21">
        <f>M359</f>
        <v>0</v>
      </c>
      <c r="BF323" s="21" t="str">
        <f>""&amp;M359</f>
        <v/>
      </c>
      <c r="BG323" s="21" t="b">
        <v>1</v>
      </c>
      <c r="BH323" s="21" t="b">
        <v>0</v>
      </c>
      <c r="BK323" s="21" t="str">
        <f ca="1">_xlfn.FORMULATEXT(BE323)</f>
        <v>=M359</v>
      </c>
      <c r="BL323" s="21" t="str">
        <f ca="1">_xlfn.FORMULATEXT(BE323)</f>
        <v>=M359</v>
      </c>
    </row>
    <row r="324" spans="1:64" ht="14.75" customHeight="1">
      <c r="A324" s="64" t="s">
        <v>673</v>
      </c>
      <c r="B324" s="173"/>
      <c r="C324" s="247" t="s">
        <v>848</v>
      </c>
      <c r="D324" s="247"/>
      <c r="E324" s="247"/>
      <c r="F324" s="247"/>
      <c r="G324" s="623" t="str" cm="1">
        <f t="array" ref="G324">TEXT(SUM(_xlfn.NUMBERVALUE(G321:I323)),"0.00")</f>
        <v>0.00</v>
      </c>
      <c r="H324" s="622"/>
      <c r="I324" s="624"/>
      <c r="J324" s="623" t="str" cm="1">
        <f t="array" ref="J324">TEXT(SUM(_xlfn.NUMBERVALUE(J321:L323)),"0.00")</f>
        <v>0.00</v>
      </c>
      <c r="K324" s="622"/>
      <c r="L324" s="624"/>
      <c r="M324" s="414"/>
      <c r="N324" s="413"/>
      <c r="O324" s="415"/>
      <c r="P324" s="64"/>
      <c r="W324" s="22"/>
      <c r="X324" s="22"/>
      <c r="AA324" s="22"/>
      <c r="AB324" s="22"/>
      <c r="AC324" s="22"/>
      <c r="AD324" s="22">
        <f>ROW()</f>
        <v>324</v>
      </c>
      <c r="AE324" s="22"/>
      <c r="AF324" s="22"/>
      <c r="AG324" s="22"/>
      <c r="AH324" s="22"/>
      <c r="AI324" s="22"/>
      <c r="AJ324" s="22"/>
      <c r="AK324" s="22"/>
      <c r="AL324" s="22"/>
      <c r="AM324" s="22"/>
      <c r="AN324" s="22"/>
      <c r="AO324" s="22"/>
      <c r="AP324" s="22"/>
      <c r="BB324" s="30" t="s">
        <v>849</v>
      </c>
      <c r="BC324" s="21" t="s">
        <v>127</v>
      </c>
      <c r="BD324" s="21" t="b">
        <v>1</v>
      </c>
      <c r="BE324" s="21">
        <f>M360</f>
        <v>0</v>
      </c>
      <c r="BF324" s="21" t="str">
        <f>""&amp;M360</f>
        <v/>
      </c>
      <c r="BG324" s="21" t="b">
        <v>1</v>
      </c>
      <c r="BH324" s="21" t="b">
        <v>0</v>
      </c>
      <c r="BK324" s="21" t="str">
        <f ca="1">_xlfn.FORMULATEXT(BE324)</f>
        <v>=M360</v>
      </c>
      <c r="BL324" s="21" t="str">
        <f ca="1">_xlfn.FORMULATEXT(BE324)</f>
        <v>=M360</v>
      </c>
    </row>
    <row r="325" spans="1:64" ht="28.25" customHeight="1">
      <c r="A325" s="64" t="s">
        <v>673</v>
      </c>
      <c r="B325" s="239">
        <v>4</v>
      </c>
      <c r="C325" s="247" t="s">
        <v>850</v>
      </c>
      <c r="D325" s="247"/>
      <c r="E325" s="247"/>
      <c r="F325" s="247"/>
      <c r="G325" s="408"/>
      <c r="H325" s="407"/>
      <c r="I325" s="409"/>
      <c r="J325" s="439" t="s">
        <v>450</v>
      </c>
      <c r="K325" s="438"/>
      <c r="L325" s="409"/>
      <c r="M325" s="414"/>
      <c r="N325" s="413"/>
      <c r="O325" s="415"/>
      <c r="P325" s="64"/>
      <c r="W325" s="22"/>
      <c r="X325" s="22"/>
      <c r="AA325" s="22"/>
      <c r="AB325" s="22"/>
      <c r="AC325" s="22"/>
      <c r="AD325" s="22">
        <f>ROW()</f>
        <v>325</v>
      </c>
      <c r="AE325" s="22"/>
      <c r="AF325" s="22"/>
      <c r="AG325" s="22"/>
      <c r="AH325" s="22"/>
      <c r="AI325" s="22"/>
      <c r="AJ325" s="22"/>
      <c r="AK325" s="22"/>
      <c r="AL325" s="22"/>
      <c r="AM325" s="22"/>
      <c r="AN325" s="22"/>
      <c r="AO325" s="22"/>
      <c r="AP325" s="22"/>
      <c r="BB325" s="30" t="s">
        <v>851</v>
      </c>
      <c r="BC325" s="21" t="s">
        <v>127</v>
      </c>
      <c r="BD325" s="21" t="b">
        <v>1</v>
      </c>
      <c r="BE325" s="21">
        <f>M361</f>
        <v>0</v>
      </c>
      <c r="BF325" s="21" t="str">
        <f>""&amp;M361</f>
        <v/>
      </c>
      <c r="BG325" s="21" t="b">
        <v>1</v>
      </c>
      <c r="BH325" s="21" t="b">
        <v>0</v>
      </c>
      <c r="BK325" s="21" t="str">
        <f ca="1">_xlfn.FORMULATEXT(BE325)</f>
        <v>=M361</v>
      </c>
      <c r="BL325" s="21" t="str">
        <f ca="1">_xlfn.FORMULATEXT(BE325)</f>
        <v>=M361</v>
      </c>
    </row>
    <row r="326" spans="1:64" ht="14.5">
      <c r="A326" s="64" t="s">
        <v>673</v>
      </c>
      <c r="B326" s="239">
        <v>5</v>
      </c>
      <c r="C326" s="247" t="s">
        <v>852</v>
      </c>
      <c r="D326" s="247"/>
      <c r="E326" s="247"/>
      <c r="F326" s="247"/>
      <c r="G326" s="623" t="str">
        <f>TEXT(G324-_xlfn.NUMBERVALUE(G325),"0.00")</f>
        <v>0.00</v>
      </c>
      <c r="H326" s="622"/>
      <c r="I326" s="624"/>
      <c r="J326" s="623" t="str">
        <f>TEXT(J324-_xlfn.NUMBERVALUE(J325),"0.00")</f>
        <v>0.00</v>
      </c>
      <c r="K326" s="622"/>
      <c r="L326" s="624"/>
      <c r="M326" s="414"/>
      <c r="N326" s="413"/>
      <c r="O326" s="415"/>
      <c r="P326" s="64"/>
      <c r="W326" s="22"/>
      <c r="X326" s="22"/>
      <c r="AA326" s="22"/>
      <c r="AB326" s="22"/>
      <c r="AC326" s="22"/>
      <c r="AD326" s="22">
        <f>ROW()</f>
        <v>326</v>
      </c>
      <c r="AE326" s="22"/>
      <c r="AF326" s="22"/>
      <c r="AG326" s="22"/>
      <c r="AH326" s="22"/>
      <c r="AI326" s="22"/>
      <c r="AJ326" s="22"/>
      <c r="AK326" s="22"/>
      <c r="AL326" s="22"/>
      <c r="AM326" s="22"/>
      <c r="AN326" s="22"/>
      <c r="AO326" s="22"/>
      <c r="AP326" s="22"/>
      <c r="BB326" s="30" t="s">
        <v>853</v>
      </c>
      <c r="BC326" s="21" t="s">
        <v>127</v>
      </c>
      <c r="BD326" s="21" t="b">
        <v>1</v>
      </c>
      <c r="BE326" s="21">
        <f>M362</f>
        <v>0</v>
      </c>
      <c r="BF326" s="21" t="str">
        <f>""&amp;M362</f>
        <v/>
      </c>
      <c r="BG326" s="21" t="b">
        <v>1</v>
      </c>
      <c r="BH326" s="21" t="b">
        <v>0</v>
      </c>
      <c r="BK326" s="21" t="str">
        <f ca="1">_xlfn.FORMULATEXT(BE326)</f>
        <v>=M362</v>
      </c>
      <c r="BL326" s="21" t="str">
        <f ca="1">_xlfn.FORMULATEXT(BE326)</f>
        <v>=M362</v>
      </c>
    </row>
    <row r="327" spans="1:64" ht="27.65" customHeight="1">
      <c r="A327" s="64" t="s">
        <v>673</v>
      </c>
      <c r="B327" s="239">
        <v>6</v>
      </c>
      <c r="C327" s="247" t="s">
        <v>854</v>
      </c>
      <c r="D327" s="247"/>
      <c r="E327" s="247"/>
      <c r="F327" s="247"/>
      <c r="G327" s="408"/>
      <c r="H327" s="407"/>
      <c r="I327" s="409"/>
      <c r="J327" s="439" t="s">
        <v>450</v>
      </c>
      <c r="K327" s="438"/>
      <c r="L327" s="409"/>
      <c r="M327" s="414"/>
      <c r="N327" s="413"/>
      <c r="O327" s="415"/>
      <c r="P327" s="64"/>
      <c r="W327" s="22"/>
      <c r="X327" s="22"/>
      <c r="AA327" s="22"/>
      <c r="AB327" s="22"/>
      <c r="AC327" s="22"/>
      <c r="AD327" s="22">
        <f>ROW()</f>
        <v>327</v>
      </c>
      <c r="AE327" s="22"/>
      <c r="AF327" s="22"/>
      <c r="AG327" s="22"/>
      <c r="AH327" s="22"/>
      <c r="AI327" s="22"/>
      <c r="AJ327" s="22"/>
      <c r="AK327" s="22"/>
      <c r="AL327" s="22"/>
      <c r="AM327" s="22"/>
      <c r="AN327" s="22"/>
      <c r="AO327" s="22"/>
      <c r="AP327" s="22"/>
      <c r="BB327" s="30" t="s">
        <v>855</v>
      </c>
      <c r="BC327" s="21" t="s">
        <v>127</v>
      </c>
      <c r="BD327" s="21" t="b">
        <v>1</v>
      </c>
      <c r="BE327" s="21">
        <f>M363</f>
        <v>0</v>
      </c>
      <c r="BF327" s="21" t="str">
        <f>""&amp;M363</f>
        <v/>
      </c>
      <c r="BG327" s="21" t="b">
        <v>1</v>
      </c>
      <c r="BH327" s="21" t="b">
        <v>0</v>
      </c>
      <c r="BK327" s="21" t="str">
        <f ca="1">_xlfn.FORMULATEXT(BE327)</f>
        <v>=M363</v>
      </c>
      <c r="BL327" s="21" t="str">
        <f ca="1">_xlfn.FORMULATEXT(BE327)</f>
        <v>=M363</v>
      </c>
    </row>
    <row r="328" spans="1:64" ht="14.5">
      <c r="A328" s="64" t="s">
        <v>673</v>
      </c>
      <c r="B328" s="64"/>
      <c r="C328" s="64"/>
      <c r="D328" s="64"/>
      <c r="E328" s="64"/>
      <c r="F328" s="64"/>
      <c r="G328" s="64"/>
      <c r="H328" s="64"/>
      <c r="I328" s="64"/>
      <c r="J328" s="64"/>
      <c r="K328" s="64"/>
      <c r="L328" s="64"/>
      <c r="M328" s="64"/>
      <c r="N328" s="64"/>
      <c r="O328" s="64"/>
      <c r="P328" s="64"/>
      <c r="W328" s="22"/>
      <c r="X328" s="22"/>
      <c r="AA328" s="22"/>
      <c r="AB328" s="22"/>
      <c r="AC328" s="22"/>
      <c r="AD328" s="22">
        <f>ROW()</f>
        <v>328</v>
      </c>
      <c r="AE328" s="22"/>
      <c r="AF328" s="22"/>
      <c r="AG328" s="22"/>
      <c r="AH328" s="22"/>
      <c r="AI328" s="22"/>
      <c r="AJ328" s="22"/>
      <c r="AK328" s="22"/>
      <c r="AL328" s="22"/>
      <c r="AM328" s="22"/>
      <c r="AN328" s="22"/>
      <c r="AO328" s="22"/>
      <c r="AP328" s="22"/>
      <c r="BB328" s="30" t="s">
        <v>856</v>
      </c>
      <c r="BC328" s="21" t="s">
        <v>127</v>
      </c>
      <c r="BD328" s="21" t="b">
        <v>1</v>
      </c>
      <c r="BE328" s="21">
        <f>M364</f>
        <v>0</v>
      </c>
      <c r="BF328" s="21" t="str">
        <f>""&amp;M364</f>
        <v/>
      </c>
      <c r="BG328" s="21" t="b">
        <v>1</v>
      </c>
      <c r="BH328" s="21" t="b">
        <v>0</v>
      </c>
      <c r="BK328" s="21" t="str">
        <f ca="1">_xlfn.FORMULATEXT(BE328)</f>
        <v>=M364</v>
      </c>
      <c r="BL328" s="21" t="str">
        <f ca="1">_xlfn.FORMULATEXT(BE328)</f>
        <v>=M364</v>
      </c>
    </row>
    <row r="329" spans="1:64" ht="14.5">
      <c r="A329" s="64" t="s">
        <v>673</v>
      </c>
      <c r="B329" s="158" t="s">
        <v>857</v>
      </c>
      <c r="C329" s="89"/>
      <c r="D329" s="89"/>
      <c r="E329" s="89"/>
      <c r="F329" s="89"/>
      <c r="G329" s="89"/>
      <c r="H329" s="89"/>
      <c r="I329" s="89"/>
      <c r="J329" s="89"/>
      <c r="K329" s="89"/>
      <c r="L329" s="89"/>
      <c r="M329" s="467"/>
      <c r="N329" s="467"/>
      <c r="O329" s="468"/>
      <c r="P329" s="64"/>
      <c r="W329" s="22"/>
      <c r="X329" s="22"/>
      <c r="AA329" s="22"/>
      <c r="AB329" s="22"/>
      <c r="AC329" s="22"/>
      <c r="AD329" s="22">
        <f>ROW()</f>
        <v>329</v>
      </c>
      <c r="AE329" s="22"/>
      <c r="AF329" s="22"/>
      <c r="AG329" s="22"/>
      <c r="AH329" s="22"/>
      <c r="AI329" s="22"/>
      <c r="AJ329" s="22"/>
      <c r="AK329" s="22"/>
      <c r="AL329" s="22"/>
      <c r="AM329" s="22"/>
      <c r="AN329" s="22"/>
      <c r="AO329" s="22"/>
      <c r="AP329" s="22"/>
      <c r="BB329" s="30" t="s">
        <v>858</v>
      </c>
      <c r="BC329" s="21" t="s">
        <v>127</v>
      </c>
      <c r="BD329" s="21" t="b">
        <v>1</v>
      </c>
      <c r="BE329" s="21">
        <f>M365</f>
        <v>0</v>
      </c>
      <c r="BF329" s="21" t="str">
        <f>""&amp;M365</f>
        <v/>
      </c>
      <c r="BG329" s="21" t="b">
        <v>1</v>
      </c>
      <c r="BH329" s="21" t="b">
        <v>0</v>
      </c>
      <c r="BK329" s="21" t="str">
        <f ca="1">_xlfn.FORMULATEXT(BE329)</f>
        <v>=M365</v>
      </c>
      <c r="BL329" s="21" t="str">
        <f ca="1">_xlfn.FORMULATEXT(BE329)</f>
        <v>=M365</v>
      </c>
    </row>
    <row r="330" spans="1:64" ht="14.5">
      <c r="A330" s="64" t="s">
        <v>673</v>
      </c>
      <c r="B330" s="256">
        <v>1</v>
      </c>
      <c r="C330" s="195" t="s">
        <v>859</v>
      </c>
      <c r="D330" s="196"/>
      <c r="E330" s="196"/>
      <c r="F330" s="196"/>
      <c r="G330" s="196"/>
      <c r="H330" s="196"/>
      <c r="I330" s="196"/>
      <c r="J330" s="196"/>
      <c r="K330" s="196"/>
      <c r="L330" s="197"/>
      <c r="M330" s="470"/>
      <c r="N330" s="469"/>
      <c r="O330" s="471"/>
      <c r="P330" s="64"/>
      <c r="W330" s="22"/>
      <c r="X330" s="22"/>
      <c r="AA330" s="22"/>
      <c r="AB330" s="22"/>
      <c r="AC330" s="22"/>
      <c r="AD330" s="22">
        <f>ROW()</f>
        <v>330</v>
      </c>
      <c r="AE330" s="22"/>
      <c r="AF330" s="22"/>
      <c r="AG330" s="22"/>
      <c r="AH330" s="22"/>
      <c r="AI330" s="22"/>
      <c r="AJ330" s="22"/>
      <c r="AK330" s="22"/>
      <c r="AL330" s="22"/>
      <c r="AM330" s="22"/>
      <c r="AN330" s="22"/>
      <c r="AO330" s="22"/>
      <c r="AP330" s="22"/>
      <c r="BB330" s="30" t="s">
        <v>860</v>
      </c>
      <c r="BC330" s="21" t="s">
        <v>127</v>
      </c>
      <c r="BD330" s="21" t="b">
        <v>1</v>
      </c>
      <c r="BE330" s="21">
        <f>M366</f>
        <v>0</v>
      </c>
      <c r="BF330" s="21" t="str">
        <f>""&amp;M366</f>
        <v/>
      </c>
      <c r="BG330" s="21" t="b">
        <v>1</v>
      </c>
      <c r="BH330" s="21" t="b">
        <v>0</v>
      </c>
      <c r="BK330" s="21" t="str">
        <f ca="1">_xlfn.FORMULATEXT(BE330)</f>
        <v>=M366</v>
      </c>
      <c r="BL330" s="21" t="str">
        <f ca="1">_xlfn.FORMULATEXT(BE330)</f>
        <v>=M366</v>
      </c>
    </row>
    <row r="331" spans="1:64" ht="14.5">
      <c r="A331" s="64" t="s">
        <v>673</v>
      </c>
      <c r="B331" s="256">
        <v>2</v>
      </c>
      <c r="C331" s="195" t="s">
        <v>861</v>
      </c>
      <c r="D331" s="196"/>
      <c r="E331" s="196"/>
      <c r="F331" s="196"/>
      <c r="G331" s="196"/>
      <c r="H331" s="196"/>
      <c r="I331" s="196"/>
      <c r="J331" s="196"/>
      <c r="K331" s="196"/>
      <c r="L331" s="197"/>
      <c r="M331" s="470"/>
      <c r="N331" s="469"/>
      <c r="O331" s="471"/>
      <c r="P331" s="64"/>
      <c r="W331" s="22"/>
      <c r="X331" s="22"/>
      <c r="AA331" s="22"/>
      <c r="AB331" s="22"/>
      <c r="AC331" s="22"/>
      <c r="AD331" s="22">
        <f>ROW()</f>
        <v>331</v>
      </c>
      <c r="AE331" s="22"/>
      <c r="AF331" s="22"/>
      <c r="AG331" s="22"/>
      <c r="AH331" s="22"/>
      <c r="AI331" s="22"/>
      <c r="AJ331" s="22"/>
      <c r="AK331" s="22"/>
      <c r="AL331" s="22"/>
      <c r="AM331" s="22"/>
      <c r="AN331" s="22"/>
      <c r="AO331" s="22"/>
      <c r="AP331" s="22"/>
      <c r="BB331" s="30" t="s">
        <v>862</v>
      </c>
      <c r="BC331" s="21" t="s">
        <v>127</v>
      </c>
      <c r="BD331" s="21" t="b">
        <v>1</v>
      </c>
      <c r="BE331" s="21">
        <f>M367</f>
        <v>0</v>
      </c>
      <c r="BF331" s="21" t="str">
        <f>""&amp;M367</f>
        <v/>
      </c>
      <c r="BG331" s="21" t="b">
        <v>1</v>
      </c>
      <c r="BH331" s="21" t="b">
        <v>0</v>
      </c>
      <c r="BK331" s="21" t="str">
        <f ca="1">_xlfn.FORMULATEXT(BE331)</f>
        <v>=M367</v>
      </c>
      <c r="BL331" s="21" t="str">
        <f ca="1">_xlfn.FORMULATEXT(BE331)</f>
        <v>=M367</v>
      </c>
    </row>
    <row r="332" spans="1:64" ht="14.5">
      <c r="A332" s="64" t="s">
        <v>673</v>
      </c>
      <c r="B332" s="256">
        <v>3</v>
      </c>
      <c r="C332" s="195" t="s">
        <v>863</v>
      </c>
      <c r="D332" s="196"/>
      <c r="E332" s="196"/>
      <c r="F332" s="196"/>
      <c r="G332" s="196"/>
      <c r="H332" s="196"/>
      <c r="I332" s="196"/>
      <c r="J332" s="196"/>
      <c r="K332" s="196"/>
      <c r="L332" s="197"/>
      <c r="M332" s="470"/>
      <c r="N332" s="469"/>
      <c r="O332" s="471"/>
      <c r="P332" s="64"/>
      <c r="W332" s="22"/>
      <c r="X332" s="22"/>
      <c r="AA332" s="22"/>
      <c r="AB332" s="22"/>
      <c r="AC332" s="22"/>
      <c r="AD332" s="22">
        <f>ROW()</f>
        <v>332</v>
      </c>
      <c r="AE332" s="22"/>
      <c r="AF332" s="22"/>
      <c r="AG332" s="22"/>
      <c r="AH332" s="22"/>
      <c r="AI332" s="22"/>
      <c r="AJ332" s="22"/>
      <c r="AK332" s="22"/>
      <c r="AL332" s="22"/>
      <c r="AM332" s="22"/>
      <c r="AN332" s="22"/>
      <c r="AO332" s="22"/>
      <c r="AP332" s="22"/>
      <c r="BB332" s="30" t="s">
        <v>864</v>
      </c>
      <c r="BC332" s="21" t="s">
        <v>127</v>
      </c>
      <c r="BD332" s="21" t="b">
        <v>1</v>
      </c>
      <c r="BE332" s="21">
        <f>M368</f>
        <v>0</v>
      </c>
      <c r="BF332" s="21" t="str">
        <f>""&amp;M368</f>
        <v/>
      </c>
      <c r="BG332" s="21" t="b">
        <v>1</v>
      </c>
      <c r="BH332" s="21" t="b">
        <v>0</v>
      </c>
      <c r="BK332" s="21" t="str">
        <f ca="1">_xlfn.FORMULATEXT(BE332)</f>
        <v>=M368</v>
      </c>
      <c r="BL332" s="21" t="str">
        <f ca="1">_xlfn.FORMULATEXT(BE332)</f>
        <v>=M368</v>
      </c>
    </row>
    <row r="333" spans="1:64" ht="14.5">
      <c r="A333" s="64" t="s">
        <v>673</v>
      </c>
      <c r="B333" s="256">
        <v>4</v>
      </c>
      <c r="C333" s="195" t="s">
        <v>865</v>
      </c>
      <c r="D333" s="196"/>
      <c r="E333" s="196"/>
      <c r="F333" s="196"/>
      <c r="G333" s="196"/>
      <c r="H333" s="196"/>
      <c r="I333" s="196"/>
      <c r="J333" s="196"/>
      <c r="K333" s="196"/>
      <c r="L333" s="197"/>
      <c r="M333" s="470"/>
      <c r="N333" s="469"/>
      <c r="O333" s="471"/>
      <c r="P333" s="64"/>
      <c r="W333" s="22"/>
      <c r="X333" s="22"/>
      <c r="AA333" s="22"/>
      <c r="AB333" s="22"/>
      <c r="AC333" s="22"/>
      <c r="AD333" s="22">
        <f>ROW()</f>
        <v>333</v>
      </c>
      <c r="AE333" s="22"/>
      <c r="AF333" s="22"/>
      <c r="AG333" s="22"/>
      <c r="AH333" s="22"/>
      <c r="AI333" s="22"/>
      <c r="AJ333" s="22"/>
      <c r="AK333" s="22"/>
      <c r="AL333" s="22"/>
      <c r="AM333" s="22"/>
      <c r="AN333" s="22"/>
      <c r="AO333" s="22"/>
      <c r="AP333" s="22"/>
      <c r="BB333" s="30" t="s">
        <v>866</v>
      </c>
      <c r="BC333" s="21" t="s">
        <v>268</v>
      </c>
      <c r="BD333" s="21" t="b">
        <v>0</v>
      </c>
      <c r="BE333" s="21" t="str">
        <f>IF(AA369=1,"Y","N")</f>
        <v>N</v>
      </c>
      <c r="BF333" s="21" t="str">
        <f>BE333</f>
        <v>N</v>
      </c>
      <c r="BG333" s="21" t="b">
        <v>1</v>
      </c>
      <c r="BH333" s="21" t="b">
        <v>0</v>
      </c>
      <c r="BJ333" s="21">
        <f>AA369</f>
        <v>2</v>
      </c>
      <c r="BK333" s="21" t="str">
        <f ca="1">_xlfn.FORMULATEXT(BJ333)</f>
        <v>=AA369</v>
      </c>
      <c r="BL333" s="21" t="s">
        <v>867</v>
      </c>
    </row>
    <row r="334" spans="1:64" ht="14.5">
      <c r="A334" s="64" t="s">
        <v>673</v>
      </c>
      <c r="B334" s="256">
        <v>5</v>
      </c>
      <c r="C334" s="195" t="s">
        <v>868</v>
      </c>
      <c r="D334" s="196"/>
      <c r="E334" s="196"/>
      <c r="F334" s="196"/>
      <c r="G334" s="196"/>
      <c r="H334" s="196"/>
      <c r="I334" s="196"/>
      <c r="J334" s="196"/>
      <c r="K334" s="196"/>
      <c r="L334" s="197"/>
      <c r="M334" s="470"/>
      <c r="N334" s="469"/>
      <c r="O334" s="471"/>
      <c r="P334" s="64"/>
      <c r="W334" s="22"/>
      <c r="X334" s="22"/>
      <c r="AA334" s="22"/>
      <c r="AB334" s="22"/>
      <c r="AC334" s="22"/>
      <c r="AD334" s="22">
        <f>ROW()</f>
        <v>334</v>
      </c>
      <c r="AE334" s="22"/>
      <c r="AF334" s="22"/>
      <c r="AG334" s="22"/>
      <c r="AH334" s="22"/>
      <c r="AI334" s="22"/>
      <c r="AJ334" s="22"/>
      <c r="AK334" s="22"/>
      <c r="AL334" s="22"/>
      <c r="AM334" s="22"/>
      <c r="AN334" s="22"/>
      <c r="AO334" s="22"/>
      <c r="AP334" s="22"/>
      <c r="BB334" s="30" t="s">
        <v>869</v>
      </c>
      <c r="BC334" s="21" t="s">
        <v>127</v>
      </c>
      <c r="BD334" s="21" t="b">
        <v>0</v>
      </c>
      <c r="BE334" s="21">
        <f>M370</f>
        <v>0</v>
      </c>
      <c r="BF334" s="21" t="str">
        <f>""&amp;M370</f>
        <v/>
      </c>
      <c r="BG334" s="21" t="b">
        <v>1</v>
      </c>
      <c r="BH334" s="21" t="b">
        <v>0</v>
      </c>
      <c r="BK334" s="21" t="str">
        <f ca="1">_xlfn.FORMULATEXT(BE334)</f>
        <v>=M370</v>
      </c>
      <c r="BL334" s="21" t="str">
        <f ca="1">_xlfn.FORMULATEXT(BE334)</f>
        <v>=M370</v>
      </c>
    </row>
    <row r="335" spans="1:64" ht="14.5">
      <c r="A335" s="64" t="s">
        <v>673</v>
      </c>
      <c r="B335" s="256">
        <v>6</v>
      </c>
      <c r="C335" s="195" t="s">
        <v>870</v>
      </c>
      <c r="D335" s="196"/>
      <c r="E335" s="196"/>
      <c r="F335" s="196"/>
      <c r="G335" s="196"/>
      <c r="H335" s="196"/>
      <c r="I335" s="196"/>
      <c r="J335" s="196"/>
      <c r="K335" s="196"/>
      <c r="L335" s="197"/>
      <c r="M335" s="470"/>
      <c r="N335" s="471"/>
      <c r="O335" s="638" t="str">
        <f>IF(_xlfn.NUMBERVALUE(M335)=0,"0.00%",IF(_xlfn.NUMBERVALUE(G204)=0,"0.00%",TEXT((_xlfn.NUMBERVALUE(M335)/_xlfn.NUMBERVALUE(G204)),"0.00%")))</f>
        <v>0.00%</v>
      </c>
      <c r="P335" s="64"/>
      <c r="W335" s="22"/>
      <c r="X335" s="22"/>
      <c r="AA335" s="22"/>
      <c r="AB335" s="22"/>
      <c r="AC335" s="22"/>
      <c r="AD335" s="22">
        <f>ROW()</f>
        <v>335</v>
      </c>
      <c r="AE335" s="22"/>
      <c r="AF335" s="22"/>
      <c r="AG335" s="22"/>
      <c r="AH335" s="22"/>
      <c r="AI335" s="22"/>
      <c r="AJ335" s="22"/>
      <c r="AK335" s="22"/>
      <c r="AL335" s="22"/>
      <c r="AM335" s="22"/>
      <c r="AN335" s="22"/>
      <c r="AO335" s="22"/>
      <c r="AP335" s="22"/>
      <c r="BB335" s="30" t="s">
        <v>871</v>
      </c>
      <c r="BC335" s="21" t="s">
        <v>127</v>
      </c>
      <c r="BD335" s="21" t="b">
        <v>1</v>
      </c>
      <c r="BE335" s="21">
        <f>M371</f>
        <v>0</v>
      </c>
      <c r="BF335" s="21" t="str">
        <f>""&amp;M371</f>
        <v/>
      </c>
      <c r="BG335" s="21" t="b">
        <v>1</v>
      </c>
      <c r="BH335" s="21" t="b">
        <v>0</v>
      </c>
      <c r="BK335" s="21" t="str">
        <f ca="1">_xlfn.FORMULATEXT(BE335)</f>
        <v>=M371</v>
      </c>
      <c r="BL335" s="21" t="str">
        <f ca="1">_xlfn.FORMULATEXT(BE335)</f>
        <v>=M371</v>
      </c>
    </row>
    <row r="336" spans="1:64" ht="14.5">
      <c r="A336" s="64" t="s">
        <v>673</v>
      </c>
      <c r="B336" s="256">
        <v>7</v>
      </c>
      <c r="C336" s="195" t="s">
        <v>872</v>
      </c>
      <c r="D336" s="196"/>
      <c r="E336" s="196"/>
      <c r="F336" s="196"/>
      <c r="G336" s="196"/>
      <c r="H336" s="196"/>
      <c r="I336" s="196"/>
      <c r="J336" s="196"/>
      <c r="K336" s="196"/>
      <c r="L336" s="197"/>
      <c r="M336" s="470"/>
      <c r="N336" s="471"/>
      <c r="O336" s="639" t="str">
        <f>IF(_xlfn.NUMBERVALUE(M336)=0,"0.00%",IF(_xlfn.NUMBERVALUE(G204)=0,"0.00%",TEXT((_xlfn.NUMBERVALUE(M336)/_xlfn.NUMBERVALUE(G204)),"0.00%")))</f>
        <v>0.00%</v>
      </c>
      <c r="P336" s="64"/>
      <c r="W336" s="22"/>
      <c r="X336" s="22"/>
      <c r="AA336" s="22"/>
      <c r="AB336" s="22"/>
      <c r="AC336" s="22"/>
      <c r="AD336" s="22">
        <f>ROW()</f>
        <v>336</v>
      </c>
      <c r="AE336" s="22"/>
      <c r="AF336" s="22"/>
      <c r="AG336" s="22"/>
      <c r="AH336" s="22"/>
      <c r="AI336" s="22"/>
      <c r="AJ336" s="22"/>
      <c r="AK336" s="22"/>
      <c r="AL336" s="22"/>
      <c r="AM336" s="22"/>
      <c r="AN336" s="22"/>
      <c r="AO336" s="22"/>
      <c r="AP336" s="22"/>
      <c r="BB336" s="30" t="s">
        <v>873</v>
      </c>
      <c r="BC336" s="21" t="s">
        <v>127</v>
      </c>
      <c r="BD336" s="21" t="b">
        <v>1</v>
      </c>
      <c r="BE336" s="21">
        <f>M372</f>
        <v>0</v>
      </c>
      <c r="BF336" s="21" t="str">
        <f>""&amp;M372</f>
        <v/>
      </c>
      <c r="BG336" s="21" t="b">
        <v>1</v>
      </c>
      <c r="BH336" s="21" t="b">
        <v>0</v>
      </c>
      <c r="BK336" s="21" t="str">
        <f ca="1">_xlfn.FORMULATEXT(BE336)</f>
        <v>=M372</v>
      </c>
      <c r="BL336" s="21" t="str">
        <f ca="1">_xlfn.FORMULATEXT(BE336)</f>
        <v>=M372</v>
      </c>
    </row>
    <row r="337" spans="1:64" ht="14.75" customHeight="1">
      <c r="A337" s="64" t="s">
        <v>673</v>
      </c>
      <c r="B337" s="256">
        <v>8</v>
      </c>
      <c r="C337" s="195" t="s">
        <v>874</v>
      </c>
      <c r="D337" s="196"/>
      <c r="E337" s="196"/>
      <c r="F337" s="196"/>
      <c r="G337" s="196"/>
      <c r="H337" s="196"/>
      <c r="I337" s="196"/>
      <c r="J337" s="196"/>
      <c r="K337" s="196"/>
      <c r="L337" s="197"/>
      <c r="M337" s="470"/>
      <c r="N337" s="469"/>
      <c r="O337" s="471"/>
      <c r="P337" s="64"/>
      <c r="W337" s="22"/>
      <c r="X337" s="22"/>
      <c r="AA337" s="22"/>
      <c r="AB337" s="22"/>
      <c r="AC337" s="22"/>
      <c r="AD337" s="22">
        <f>ROW()</f>
        <v>337</v>
      </c>
      <c r="AE337" s="22"/>
      <c r="AF337" s="22"/>
      <c r="AG337" s="22"/>
      <c r="AH337" s="22"/>
      <c r="AI337" s="22"/>
      <c r="AJ337" s="22"/>
      <c r="AK337" s="22"/>
      <c r="AL337" s="22"/>
      <c r="AM337" s="22"/>
      <c r="AN337" s="22"/>
      <c r="AO337" s="22"/>
      <c r="AP337" s="22"/>
      <c r="BB337" s="30" t="s">
        <v>875</v>
      </c>
      <c r="BC337" s="21" t="s">
        <v>127</v>
      </c>
      <c r="BD337" s="21" t="b">
        <v>1</v>
      </c>
      <c r="BE337" s="21">
        <f>M373</f>
        <v>0</v>
      </c>
      <c r="BF337" s="21" t="str">
        <f>""&amp;M373</f>
        <v/>
      </c>
      <c r="BG337" s="21" t="b">
        <v>1</v>
      </c>
      <c r="BH337" s="21" t="b">
        <v>0</v>
      </c>
      <c r="BK337" s="21" t="str">
        <f ca="1">_xlfn.FORMULATEXT(BE337)</f>
        <v>=M373</v>
      </c>
      <c r="BL337" s="21" t="str">
        <f ca="1">_xlfn.FORMULATEXT(BE337)</f>
        <v>=M373</v>
      </c>
    </row>
    <row r="338" spans="1:64" ht="14.5">
      <c r="A338" s="64" t="s">
        <v>673</v>
      </c>
      <c r="B338" s="256">
        <v>9</v>
      </c>
      <c r="C338" s="195" t="s">
        <v>876</v>
      </c>
      <c r="D338" s="196"/>
      <c r="E338" s="196"/>
      <c r="F338" s="196"/>
      <c r="G338" s="196"/>
      <c r="H338" s="196"/>
      <c r="I338" s="196"/>
      <c r="J338" s="196"/>
      <c r="K338" s="196"/>
      <c r="L338" s="197"/>
      <c r="M338" s="470"/>
      <c r="N338" s="469"/>
      <c r="O338" s="471"/>
      <c r="P338" s="64"/>
      <c r="W338" s="22"/>
      <c r="X338" s="22"/>
      <c r="AA338" s="22"/>
      <c r="AB338" s="22"/>
      <c r="AC338" s="22"/>
      <c r="AD338" s="22">
        <f>ROW()</f>
        <v>338</v>
      </c>
      <c r="AE338" s="22"/>
      <c r="AF338" s="22"/>
      <c r="AG338" s="22"/>
      <c r="AH338" s="22"/>
      <c r="AI338" s="22"/>
      <c r="AJ338" s="22"/>
      <c r="AK338" s="22"/>
      <c r="AL338" s="22"/>
      <c r="AM338" s="22"/>
      <c r="AN338" s="22"/>
      <c r="AO338" s="22"/>
      <c r="AP338" s="22"/>
      <c r="BB338" s="30" t="s">
        <v>877</v>
      </c>
      <c r="BC338" s="21" t="s">
        <v>127</v>
      </c>
      <c r="BD338" s="21" t="b">
        <v>1</v>
      </c>
      <c r="BE338" s="21">
        <f>M374</f>
        <v>0</v>
      </c>
      <c r="BF338" s="21" t="str">
        <f>""&amp;M374</f>
        <v/>
      </c>
      <c r="BG338" s="21" t="b">
        <v>1</v>
      </c>
      <c r="BH338" s="21" t="b">
        <v>0</v>
      </c>
      <c r="BK338" s="21" t="str">
        <f ca="1">_xlfn.FORMULATEXT(BE338)</f>
        <v>=M374</v>
      </c>
      <c r="BL338" s="21" t="str">
        <f ca="1">_xlfn.FORMULATEXT(BE338)</f>
        <v>=M374</v>
      </c>
    </row>
    <row r="339" spans="1:64" ht="14.5">
      <c r="A339" s="64" t="s">
        <v>673</v>
      </c>
      <c r="B339" s="256">
        <v>10</v>
      </c>
      <c r="C339" s="195" t="s">
        <v>878</v>
      </c>
      <c r="D339" s="196"/>
      <c r="E339" s="196"/>
      <c r="F339" s="196"/>
      <c r="G339" s="196"/>
      <c r="H339" s="196"/>
      <c r="I339" s="196"/>
      <c r="J339" s="196"/>
      <c r="K339" s="196"/>
      <c r="L339" s="197"/>
      <c r="M339" s="470"/>
      <c r="N339" s="469"/>
      <c r="O339" s="471"/>
      <c r="P339" s="64"/>
      <c r="W339" s="22"/>
      <c r="X339" s="22"/>
      <c r="AA339" s="22"/>
      <c r="AB339" s="22"/>
      <c r="AC339" s="22"/>
      <c r="AD339" s="22">
        <f>ROW()</f>
        <v>339</v>
      </c>
      <c r="AE339" s="22"/>
      <c r="AF339" s="22"/>
      <c r="AG339" s="22"/>
      <c r="AH339" s="22"/>
      <c r="AI339" s="22"/>
      <c r="AJ339" s="22"/>
      <c r="AK339" s="22"/>
      <c r="AL339" s="22"/>
      <c r="AM339" s="22"/>
      <c r="AN339" s="22"/>
      <c r="AO339" s="22"/>
      <c r="AP339" s="22"/>
      <c r="BB339" s="30" t="s">
        <v>879</v>
      </c>
      <c r="BC339" s="21" t="s">
        <v>127</v>
      </c>
      <c r="BD339" s="21" t="b">
        <v>1</v>
      </c>
      <c r="BE339" s="21">
        <f>M375</f>
        <v>0</v>
      </c>
      <c r="BF339" s="21" t="str">
        <f>""&amp;M375</f>
        <v/>
      </c>
      <c r="BG339" s="21" t="b">
        <v>1</v>
      </c>
      <c r="BH339" s="21" t="b">
        <v>0</v>
      </c>
      <c r="BK339" s="21" t="str">
        <f ca="1">_xlfn.FORMULATEXT(BE339)</f>
        <v>=M375</v>
      </c>
      <c r="BL339" s="21" t="str">
        <f ca="1">_xlfn.FORMULATEXT(BE339)</f>
        <v>=M375</v>
      </c>
    </row>
    <row r="340" spans="1:64" ht="14.75" customHeight="1">
      <c r="A340" s="64" t="s">
        <v>673</v>
      </c>
      <c r="B340" s="256">
        <v>11</v>
      </c>
      <c r="C340" s="195" t="s">
        <v>880</v>
      </c>
      <c r="D340" s="196"/>
      <c r="E340" s="196"/>
      <c r="F340" s="196"/>
      <c r="G340" s="196"/>
      <c r="H340" s="196"/>
      <c r="I340" s="196"/>
      <c r="J340" s="196"/>
      <c r="K340" s="196"/>
      <c r="L340" s="197"/>
      <c r="M340" s="470"/>
      <c r="N340" s="469"/>
      <c r="O340" s="471"/>
      <c r="P340" s="64"/>
      <c r="W340" s="22"/>
      <c r="X340" s="22"/>
      <c r="AA340" s="22"/>
      <c r="AB340" s="22"/>
      <c r="AC340" s="22"/>
      <c r="AD340" s="22">
        <f>ROW()</f>
        <v>340</v>
      </c>
      <c r="AE340" s="22"/>
      <c r="AF340" s="22"/>
      <c r="AG340" s="22"/>
      <c r="AH340" s="22"/>
      <c r="AI340" s="22"/>
      <c r="AJ340" s="22"/>
      <c r="AK340" s="22"/>
      <c r="AL340" s="22"/>
      <c r="AM340" s="22"/>
      <c r="AN340" s="22"/>
      <c r="AO340" s="22"/>
      <c r="AP340" s="22"/>
      <c r="BB340" s="30" t="s">
        <v>881</v>
      </c>
      <c r="BC340" s="21" t="s">
        <v>127</v>
      </c>
      <c r="BD340" s="21" t="b">
        <v>1</v>
      </c>
      <c r="BE340" s="21">
        <f>M376</f>
        <v>0</v>
      </c>
      <c r="BF340" s="21" t="str">
        <f>""&amp;M376</f>
        <v/>
      </c>
      <c r="BG340" s="21" t="b">
        <v>1</v>
      </c>
      <c r="BH340" s="21" t="b">
        <v>0</v>
      </c>
      <c r="BK340" s="21" t="str">
        <f ca="1">_xlfn.FORMULATEXT(BE340)</f>
        <v>=M376</v>
      </c>
      <c r="BL340" s="21" t="str">
        <f ca="1">_xlfn.FORMULATEXT(BE340)</f>
        <v>=M376</v>
      </c>
    </row>
    <row r="341" spans="1:64" ht="14.5">
      <c r="A341" s="64" t="s">
        <v>673</v>
      </c>
      <c r="B341" s="256">
        <v>12</v>
      </c>
      <c r="C341" s="195" t="s">
        <v>882</v>
      </c>
      <c r="D341" s="196"/>
      <c r="E341" s="196"/>
      <c r="F341" s="196"/>
      <c r="G341" s="196"/>
      <c r="H341" s="196"/>
      <c r="I341" s="196"/>
      <c r="J341" s="196"/>
      <c r="K341" s="196"/>
      <c r="L341" s="197"/>
      <c r="M341" s="470"/>
      <c r="N341" s="469"/>
      <c r="O341" s="471"/>
      <c r="P341" s="64"/>
      <c r="W341" s="22"/>
      <c r="X341" s="22"/>
      <c r="AA341" s="22"/>
      <c r="AB341" s="22"/>
      <c r="AC341" s="22"/>
      <c r="AD341" s="22">
        <f>ROW()</f>
        <v>341</v>
      </c>
      <c r="AE341" s="22"/>
      <c r="AF341" s="22"/>
      <c r="AG341" s="22"/>
      <c r="AH341" s="22"/>
      <c r="AI341" s="22"/>
      <c r="AJ341" s="22"/>
      <c r="AK341" s="22"/>
      <c r="AL341" s="22"/>
      <c r="AM341" s="22"/>
      <c r="AN341" s="22"/>
      <c r="AO341" s="22"/>
      <c r="AP341" s="22"/>
      <c r="BB341" s="30" t="s">
        <v>883</v>
      </c>
      <c r="BC341" s="21" t="s">
        <v>127</v>
      </c>
      <c r="BD341" s="21" t="b">
        <v>1</v>
      </c>
      <c r="BE341" s="21">
        <f>M377</f>
        <v>0</v>
      </c>
      <c r="BF341" s="21" t="str">
        <f>""&amp;M377</f>
        <v/>
      </c>
      <c r="BG341" s="21" t="b">
        <v>1</v>
      </c>
      <c r="BH341" s="21" t="b">
        <v>0</v>
      </c>
      <c r="BK341" s="21" t="str">
        <f ca="1">_xlfn.FORMULATEXT(BE341)</f>
        <v>=M377</v>
      </c>
      <c r="BL341" s="21" t="str">
        <f ca="1">_xlfn.FORMULATEXT(BE341)</f>
        <v>=M377</v>
      </c>
    </row>
    <row r="342" spans="1:64" ht="14.75" customHeight="1">
      <c r="A342" s="64" t="s">
        <v>673</v>
      </c>
      <c r="B342" s="256">
        <v>13</v>
      </c>
      <c r="C342" s="195" t="s">
        <v>884</v>
      </c>
      <c r="D342" s="196"/>
      <c r="E342" s="196"/>
      <c r="F342" s="196"/>
      <c r="G342" s="196"/>
      <c r="H342" s="196"/>
      <c r="I342" s="196"/>
      <c r="J342" s="196"/>
      <c r="K342" s="196"/>
      <c r="L342" s="197"/>
      <c r="M342" s="470"/>
      <c r="N342" s="469"/>
      <c r="O342" s="471"/>
      <c r="P342" s="64"/>
      <c r="W342" s="22"/>
      <c r="X342" s="22"/>
      <c r="AD342" s="22">
        <f>ROW()</f>
        <v>342</v>
      </c>
      <c r="AE342" s="22"/>
      <c r="AF342" s="22"/>
      <c r="AG342" s="22"/>
      <c r="AH342" s="22"/>
      <c r="AI342" s="22"/>
      <c r="AJ342" s="22"/>
      <c r="AK342" s="22"/>
      <c r="AL342" s="22"/>
      <c r="AM342" s="22"/>
      <c r="AN342" s="22"/>
      <c r="AO342" s="22"/>
      <c r="AP342" s="22"/>
      <c r="BB342" s="30" t="s">
        <v>885</v>
      </c>
      <c r="BC342" s="21" t="s">
        <v>123</v>
      </c>
      <c r="BD342" s="21" t="b">
        <v>0</v>
      </c>
      <c r="BE342" s="21" t="s">
        <v>886</v>
      </c>
      <c r="BF342" s="21" t="s">
        <v>886</v>
      </c>
      <c r="BG342" s="21" t="b">
        <v>0</v>
      </c>
      <c r="BH342" s="21" t="b">
        <v>0</v>
      </c>
      <c r="BK342" s="21" t="s">
        <v>125</v>
      </c>
      <c r="BL342" s="21" t="s">
        <v>125</v>
      </c>
    </row>
    <row r="343" spans="1:64" ht="14.5">
      <c r="A343" s="64" t="s">
        <v>673</v>
      </c>
      <c r="B343" s="256">
        <v>14</v>
      </c>
      <c r="C343" s="195" t="s">
        <v>887</v>
      </c>
      <c r="D343" s="196"/>
      <c r="E343" s="196"/>
      <c r="F343" s="196"/>
      <c r="G343" s="196"/>
      <c r="H343" s="196"/>
      <c r="I343" s="196"/>
      <c r="J343" s="196"/>
      <c r="K343" s="196"/>
      <c r="L343" s="197"/>
      <c r="M343" s="470"/>
      <c r="N343" s="469"/>
      <c r="O343" s="471"/>
      <c r="P343" s="64"/>
      <c r="AD343" s="22">
        <f>ROW()</f>
        <v>343</v>
      </c>
      <c r="AE343" s="22"/>
      <c r="AF343" s="22"/>
      <c r="AG343" s="22"/>
      <c r="AH343" s="22"/>
      <c r="AI343" s="22"/>
      <c r="AJ343" s="22"/>
      <c r="AK343" s="22"/>
      <c r="AL343" s="22"/>
      <c r="AM343" s="22"/>
      <c r="AN343" s="22"/>
      <c r="AO343" s="22"/>
      <c r="AP343" s="22"/>
      <c r="BB343" s="30" t="s">
        <v>888</v>
      </c>
      <c r="BC343" s="21" t="s">
        <v>123</v>
      </c>
      <c r="BD343" s="21" t="b">
        <v>0</v>
      </c>
      <c r="BE343" s="21" t="str">
        <f>""</f>
        <v/>
      </c>
      <c r="BF343" s="21" t="str">
        <f>""&amp;""</f>
        <v/>
      </c>
      <c r="BG343" s="21" t="b">
        <v>0</v>
      </c>
      <c r="BH343" s="21" t="b">
        <v>0</v>
      </c>
      <c r="BK343" s="21" t="s">
        <v>125</v>
      </c>
      <c r="BL343" s="21" t="s">
        <v>125</v>
      </c>
    </row>
    <row r="344" spans="1:64" ht="14.75" customHeight="1">
      <c r="A344" s="64" t="s">
        <v>673</v>
      </c>
      <c r="B344" s="256">
        <v>15</v>
      </c>
      <c r="C344" s="195" t="s">
        <v>889</v>
      </c>
      <c r="D344" s="196"/>
      <c r="E344" s="196"/>
      <c r="F344" s="196"/>
      <c r="G344" s="196"/>
      <c r="H344" s="196"/>
      <c r="I344" s="196"/>
      <c r="J344" s="196"/>
      <c r="K344" s="196"/>
      <c r="L344" s="197"/>
      <c r="M344" s="470"/>
      <c r="N344" s="469"/>
      <c r="O344" s="471"/>
      <c r="P344" s="64"/>
      <c r="AD344" s="22">
        <f>ROW()</f>
        <v>344</v>
      </c>
      <c r="AE344" s="22"/>
      <c r="AF344" s="22"/>
      <c r="AG344" s="22"/>
      <c r="AH344" s="22"/>
      <c r="AI344" s="22"/>
      <c r="AJ344" s="22"/>
      <c r="AK344" s="22"/>
      <c r="AL344" s="22"/>
      <c r="AM344" s="22"/>
      <c r="AN344" s="22"/>
      <c r="AO344" s="22"/>
      <c r="AP344" s="22"/>
      <c r="BB344" s="30" t="s">
        <v>890</v>
      </c>
      <c r="BC344" s="21" t="s">
        <v>127</v>
      </c>
      <c r="BD344" s="21" t="b">
        <v>1</v>
      </c>
      <c r="BE344" s="21">
        <f>E382</f>
        <v>0</v>
      </c>
      <c r="BF344" s="21" t="str">
        <f>""&amp;E382</f>
        <v/>
      </c>
      <c r="BG344" s="21" t="b">
        <v>1</v>
      </c>
      <c r="BH344" s="21" t="b">
        <v>0</v>
      </c>
      <c r="BK344" s="21" t="str">
        <f ca="1">_xlfn.FORMULATEXT(BE344)</f>
        <v>=E382</v>
      </c>
      <c r="BL344" s="21" t="str">
        <f ca="1">_xlfn.FORMULATEXT(BE344)</f>
        <v>=E382</v>
      </c>
    </row>
    <row r="345" spans="1:64" ht="14.5">
      <c r="A345" s="64" t="s">
        <v>673</v>
      </c>
      <c r="B345" s="256">
        <v>16</v>
      </c>
      <c r="C345" s="195" t="s">
        <v>891</v>
      </c>
      <c r="D345" s="196"/>
      <c r="E345" s="196"/>
      <c r="F345" s="196"/>
      <c r="G345" s="196"/>
      <c r="H345" s="196"/>
      <c r="I345" s="196"/>
      <c r="J345" s="196"/>
      <c r="K345" s="196"/>
      <c r="L345" s="197"/>
      <c r="M345" s="470"/>
      <c r="N345" s="469"/>
      <c r="O345" s="471"/>
      <c r="P345" s="64"/>
      <c r="AD345" s="22">
        <f>ROW()</f>
        <v>345</v>
      </c>
      <c r="AE345" s="22"/>
      <c r="AF345" s="22"/>
      <c r="AG345" s="22"/>
      <c r="AH345" s="22"/>
      <c r="AI345" s="22"/>
      <c r="AJ345" s="22"/>
      <c r="AK345" s="22"/>
      <c r="AL345" s="22"/>
      <c r="AM345" s="22"/>
      <c r="AN345" s="22"/>
      <c r="AO345" s="22"/>
      <c r="AP345" s="22"/>
      <c r="BB345" s="30" t="s">
        <v>892</v>
      </c>
      <c r="BC345" s="21" t="s">
        <v>127</v>
      </c>
      <c r="BD345" s="21" t="b">
        <v>1</v>
      </c>
      <c r="BE345" s="21">
        <f>H382</f>
        <v>0</v>
      </c>
      <c r="BF345" s="21" t="str">
        <f>""&amp;H382</f>
        <v/>
      </c>
      <c r="BG345" s="21" t="b">
        <v>1</v>
      </c>
      <c r="BH345" s="21" t="b">
        <v>0</v>
      </c>
      <c r="BK345" s="21" t="str">
        <f ca="1">_xlfn.FORMULATEXT(BE345)</f>
        <v>=H382</v>
      </c>
      <c r="BL345" s="21" t="str">
        <f ca="1">_xlfn.FORMULATEXT(BE345)</f>
        <v>=H382</v>
      </c>
    </row>
    <row r="346" spans="1:64" ht="14.75" customHeight="1">
      <c r="A346" s="64" t="s">
        <v>673</v>
      </c>
      <c r="B346" s="256">
        <v>17</v>
      </c>
      <c r="C346" s="195" t="s">
        <v>893</v>
      </c>
      <c r="D346" s="196"/>
      <c r="E346" s="196"/>
      <c r="F346" s="196"/>
      <c r="G346" s="196"/>
      <c r="H346" s="196"/>
      <c r="I346" s="196"/>
      <c r="J346" s="196"/>
      <c r="K346" s="196"/>
      <c r="L346" s="197"/>
      <c r="M346" s="470"/>
      <c r="N346" s="469"/>
      <c r="O346" s="471"/>
      <c r="P346" s="64"/>
      <c r="AD346" s="22">
        <f>ROW()</f>
        <v>346</v>
      </c>
      <c r="AE346" s="22"/>
      <c r="AF346" s="22"/>
      <c r="AG346" s="22"/>
      <c r="AH346" s="22"/>
      <c r="AI346" s="22"/>
      <c r="AJ346" s="22"/>
      <c r="AK346" s="22"/>
      <c r="AL346" s="22"/>
      <c r="AM346" s="22"/>
      <c r="AN346" s="22"/>
      <c r="AO346" s="22"/>
      <c r="AP346" s="22"/>
      <c r="BB346" s="30" t="s">
        <v>894</v>
      </c>
      <c r="BC346" s="21" t="s">
        <v>127</v>
      </c>
      <c r="BD346" s="21" t="b">
        <v>1</v>
      </c>
      <c r="BE346" s="21">
        <f>K382</f>
        <v>0</v>
      </c>
      <c r="BF346" s="21" t="str">
        <f>""&amp;K382</f>
        <v/>
      </c>
      <c r="BG346" s="21" t="b">
        <v>1</v>
      </c>
      <c r="BH346" s="21" t="b">
        <v>0</v>
      </c>
      <c r="BK346" s="21" t="str">
        <f ca="1">_xlfn.FORMULATEXT(BE346)</f>
        <v>=K382</v>
      </c>
      <c r="BL346" s="21" t="str">
        <f ca="1">_xlfn.FORMULATEXT(BE346)</f>
        <v>=K382</v>
      </c>
    </row>
    <row r="347" spans="1:64" ht="14.75" customHeight="1">
      <c r="A347" s="64" t="s">
        <v>673</v>
      </c>
      <c r="B347" s="256">
        <v>18</v>
      </c>
      <c r="C347" s="195" t="s">
        <v>895</v>
      </c>
      <c r="D347" s="196"/>
      <c r="E347" s="196"/>
      <c r="F347" s="196"/>
      <c r="G347" s="196"/>
      <c r="H347" s="196"/>
      <c r="I347" s="196"/>
      <c r="J347" s="196"/>
      <c r="K347" s="196"/>
      <c r="L347" s="197"/>
      <c r="M347" s="470"/>
      <c r="N347" s="469"/>
      <c r="O347" s="471"/>
      <c r="P347" s="64"/>
      <c r="AD347" s="22">
        <f>ROW()</f>
        <v>347</v>
      </c>
      <c r="AE347" s="22"/>
      <c r="AF347" s="22"/>
      <c r="AG347" s="22"/>
      <c r="AH347" s="22"/>
      <c r="AI347" s="22"/>
      <c r="AJ347" s="22"/>
      <c r="AK347" s="22"/>
      <c r="AL347" s="22"/>
      <c r="AM347" s="22"/>
      <c r="AN347" s="22"/>
      <c r="AO347" s="22"/>
      <c r="AP347" s="22"/>
      <c r="BB347" s="30" t="s">
        <v>896</v>
      </c>
      <c r="BC347" s="21" t="s">
        <v>127</v>
      </c>
      <c r="BD347" s="21" t="b">
        <v>1</v>
      </c>
      <c r="BE347" s="21">
        <f>N382</f>
        <v>0</v>
      </c>
      <c r="BF347" s="21" t="str">
        <f>""&amp;N382</f>
        <v/>
      </c>
      <c r="BG347" s="21" t="b">
        <v>0</v>
      </c>
      <c r="BH347" s="21" t="b">
        <v>0</v>
      </c>
      <c r="BK347" s="21" t="str">
        <f ca="1">_xlfn.FORMULATEXT(BE347)</f>
        <v>=N382</v>
      </c>
      <c r="BL347" s="21" t="str">
        <f ca="1">_xlfn.FORMULATEXT(BE347)</f>
        <v>=N382</v>
      </c>
    </row>
    <row r="348" spans="1:64" ht="14.75" customHeight="1">
      <c r="A348" s="64" t="s">
        <v>673</v>
      </c>
      <c r="B348" s="256">
        <v>19</v>
      </c>
      <c r="C348" s="195" t="s">
        <v>897</v>
      </c>
      <c r="D348" s="196"/>
      <c r="E348" s="196"/>
      <c r="F348" s="196"/>
      <c r="G348" s="196"/>
      <c r="H348" s="196"/>
      <c r="I348" s="196"/>
      <c r="J348" s="196"/>
      <c r="K348" s="196"/>
      <c r="L348" s="197"/>
      <c r="M348" s="470"/>
      <c r="N348" s="469"/>
      <c r="O348" s="471"/>
      <c r="P348" s="64"/>
      <c r="AD348" s="22">
        <f>ROW()</f>
        <v>348</v>
      </c>
      <c r="AE348" s="22"/>
      <c r="AF348" s="22"/>
      <c r="AG348" s="22"/>
      <c r="AH348" s="22"/>
      <c r="AI348" s="22"/>
      <c r="AJ348" s="22"/>
      <c r="AK348" s="22"/>
      <c r="AL348" s="22"/>
      <c r="AM348" s="22"/>
      <c r="AN348" s="22"/>
      <c r="AO348" s="22"/>
      <c r="AP348" s="22"/>
      <c r="BB348" s="30" t="s">
        <v>898</v>
      </c>
      <c r="BC348" s="21" t="s">
        <v>127</v>
      </c>
      <c r="BD348" s="21" t="b">
        <v>1</v>
      </c>
      <c r="BE348" s="21" t="str">
        <f>E383</f>
        <v>0.00</v>
      </c>
      <c r="BF348" s="21" t="str">
        <f>""&amp;E383</f>
        <v>0.00</v>
      </c>
      <c r="BG348" s="21" t="b">
        <v>0</v>
      </c>
      <c r="BH348" s="21" t="b">
        <v>0</v>
      </c>
      <c r="BK348" s="21" t="str">
        <f ca="1">_xlfn.FORMULATEXT(BE348)</f>
        <v>=E383</v>
      </c>
      <c r="BL348" s="21" t="str">
        <f ca="1">_xlfn.FORMULATEXT(BE348)</f>
        <v>=E383</v>
      </c>
    </row>
    <row r="349" spans="1:64" ht="14.75" customHeight="1">
      <c r="A349" s="64" t="s">
        <v>673</v>
      </c>
      <c r="B349" s="256">
        <v>20</v>
      </c>
      <c r="C349" s="195" t="s">
        <v>899</v>
      </c>
      <c r="D349" s="196"/>
      <c r="E349" s="196"/>
      <c r="F349" s="196"/>
      <c r="G349" s="196"/>
      <c r="H349" s="196"/>
      <c r="I349" s="196"/>
      <c r="J349" s="196"/>
      <c r="K349" s="196"/>
      <c r="L349" s="197"/>
      <c r="M349" s="470"/>
      <c r="N349" s="469"/>
      <c r="O349" s="471"/>
      <c r="P349" s="64"/>
      <c r="AD349" s="22">
        <f>ROW()</f>
        <v>349</v>
      </c>
      <c r="AE349" s="22"/>
      <c r="AF349" s="22"/>
      <c r="AG349" s="22"/>
      <c r="AH349" s="22"/>
      <c r="AI349" s="22"/>
      <c r="AJ349" s="22"/>
      <c r="AK349" s="22"/>
      <c r="AL349" s="22"/>
      <c r="AM349" s="22"/>
      <c r="AN349" s="22"/>
      <c r="AO349" s="22"/>
      <c r="AP349" s="22"/>
      <c r="BB349" s="30" t="s">
        <v>900</v>
      </c>
      <c r="BC349" s="21" t="s">
        <v>127</v>
      </c>
      <c r="BD349" s="21" t="b">
        <v>1</v>
      </c>
      <c r="BE349" s="21" t="str">
        <f>H383</f>
        <v>0.00</v>
      </c>
      <c r="BF349" s="21" t="str">
        <f>""&amp;H383</f>
        <v>0.00</v>
      </c>
      <c r="BG349" s="21" t="b">
        <v>0</v>
      </c>
      <c r="BH349" s="21" t="b">
        <v>0</v>
      </c>
      <c r="BK349" s="21" t="str">
        <f ca="1">_xlfn.FORMULATEXT(BE349)</f>
        <v>=H383</v>
      </c>
      <c r="BL349" s="21" t="str">
        <f ca="1">_xlfn.FORMULATEXT(BE349)</f>
        <v>=H383</v>
      </c>
    </row>
    <row r="350" spans="1:64" ht="14.75" customHeight="1">
      <c r="A350" s="64" t="s">
        <v>673</v>
      </c>
      <c r="B350" s="256">
        <v>21</v>
      </c>
      <c r="C350" s="195" t="s">
        <v>901</v>
      </c>
      <c r="D350" s="196"/>
      <c r="E350" s="196"/>
      <c r="F350" s="196"/>
      <c r="G350" s="196"/>
      <c r="H350" s="196"/>
      <c r="I350" s="196"/>
      <c r="J350" s="196"/>
      <c r="K350" s="196"/>
      <c r="L350" s="197"/>
      <c r="M350" s="470"/>
      <c r="N350" s="469"/>
      <c r="O350" s="471"/>
      <c r="P350" s="64"/>
      <c r="AD350" s="22">
        <f>ROW()</f>
        <v>350</v>
      </c>
      <c r="AE350" s="22"/>
      <c r="AF350" s="22"/>
      <c r="AG350" s="22"/>
      <c r="AH350" s="22"/>
      <c r="AI350" s="22"/>
      <c r="AJ350" s="22"/>
      <c r="AK350" s="22"/>
      <c r="AL350" s="22"/>
      <c r="AM350" s="22"/>
      <c r="AN350" s="22"/>
      <c r="AO350" s="22"/>
      <c r="AP350" s="22"/>
      <c r="BB350" s="30" t="s">
        <v>902</v>
      </c>
      <c r="BC350" s="21" t="s">
        <v>127</v>
      </c>
      <c r="BD350" s="21" t="b">
        <v>1</v>
      </c>
      <c r="BE350" s="21" t="str">
        <f>K383</f>
        <v>0.00</v>
      </c>
      <c r="BF350" s="21" t="str">
        <f>""&amp;K383</f>
        <v>0.00</v>
      </c>
      <c r="BG350" s="21" t="b">
        <v>0</v>
      </c>
      <c r="BH350" s="21" t="b">
        <v>0</v>
      </c>
      <c r="BK350" s="21" t="str">
        <f ca="1">_xlfn.FORMULATEXT(BE350)</f>
        <v>=K383</v>
      </c>
      <c r="BL350" s="21" t="str">
        <f ca="1">_xlfn.FORMULATEXT(BE350)</f>
        <v>=K383</v>
      </c>
    </row>
    <row r="351" spans="1:64" ht="14.75" customHeight="1">
      <c r="A351" s="64" t="s">
        <v>673</v>
      </c>
      <c r="B351" s="256">
        <v>22</v>
      </c>
      <c r="C351" s="195" t="s">
        <v>903</v>
      </c>
      <c r="D351" s="196"/>
      <c r="E351" s="196"/>
      <c r="F351" s="196"/>
      <c r="G351" s="196"/>
      <c r="H351" s="196"/>
      <c r="I351" s="196"/>
      <c r="J351" s="196"/>
      <c r="K351" s="196"/>
      <c r="L351" s="197"/>
      <c r="M351" s="470"/>
      <c r="N351" s="469"/>
      <c r="O351" s="471"/>
      <c r="P351" s="64"/>
      <c r="AD351" s="22">
        <f>ROW()</f>
        <v>351</v>
      </c>
      <c r="AE351" s="22"/>
      <c r="AF351" s="22"/>
      <c r="AG351" s="22"/>
      <c r="AH351" s="22"/>
      <c r="AI351" s="22"/>
      <c r="AJ351" s="22"/>
      <c r="AK351" s="22"/>
      <c r="AL351" s="22"/>
      <c r="AM351" s="22"/>
      <c r="AN351" s="22"/>
      <c r="AO351" s="22"/>
      <c r="AP351" s="22"/>
      <c r="BB351" s="30" t="s">
        <v>904</v>
      </c>
      <c r="BC351" s="21" t="s">
        <v>127</v>
      </c>
      <c r="BD351" s="21" t="b">
        <v>1</v>
      </c>
      <c r="BE351" s="21" t="str">
        <f>N383</f>
        <v>0.00</v>
      </c>
      <c r="BF351" s="21" t="str">
        <f>""&amp;N383</f>
        <v>0.00</v>
      </c>
      <c r="BG351" s="21" t="b">
        <v>0</v>
      </c>
      <c r="BH351" s="21" t="b">
        <v>0</v>
      </c>
      <c r="BK351" s="21" t="str">
        <f ca="1">_xlfn.FORMULATEXT(BE351)</f>
        <v>=N383</v>
      </c>
      <c r="BL351" s="21" t="str">
        <f ca="1">_xlfn.FORMULATEXT(BE351)</f>
        <v>=N383</v>
      </c>
    </row>
    <row r="352" spans="1:64" ht="14.75" customHeight="1">
      <c r="A352" s="64" t="s">
        <v>673</v>
      </c>
      <c r="B352" s="256">
        <v>23</v>
      </c>
      <c r="C352" s="195" t="s">
        <v>905</v>
      </c>
      <c r="D352" s="196"/>
      <c r="E352" s="196"/>
      <c r="F352" s="196"/>
      <c r="G352" s="196"/>
      <c r="H352" s="196"/>
      <c r="I352" s="196"/>
      <c r="J352" s="196"/>
      <c r="K352" s="196"/>
      <c r="L352" s="197"/>
      <c r="M352" s="470"/>
      <c r="N352" s="469"/>
      <c r="O352" s="471"/>
      <c r="P352" s="64"/>
      <c r="AD352" s="22">
        <f>ROW()</f>
        <v>352</v>
      </c>
      <c r="AE352" s="22"/>
      <c r="AF352" s="22"/>
      <c r="AG352" s="22"/>
      <c r="AH352" s="22"/>
      <c r="AI352" s="22"/>
      <c r="AJ352" s="22"/>
      <c r="AK352" s="22"/>
      <c r="AL352" s="22"/>
      <c r="AM352" s="22"/>
      <c r="AN352" s="22"/>
      <c r="AO352" s="22"/>
      <c r="AP352" s="22"/>
      <c r="BB352" s="30" t="s">
        <v>906</v>
      </c>
      <c r="BC352" s="21" t="s">
        <v>127</v>
      </c>
      <c r="BD352" s="21" t="b">
        <v>1</v>
      </c>
      <c r="BE352" s="21" t="str">
        <f>E395</f>
        <v>0.00</v>
      </c>
      <c r="BF352" s="21" t="str">
        <f>""&amp;E395</f>
        <v>0.00</v>
      </c>
      <c r="BG352" s="21" t="b">
        <v>0</v>
      </c>
      <c r="BH352" s="21" t="b">
        <v>0</v>
      </c>
      <c r="BK352" s="21" t="str">
        <f ca="1">_xlfn.FORMULATEXT(BE352)</f>
        <v>=E395</v>
      </c>
      <c r="BL352" s="21" t="str">
        <f ca="1">_xlfn.FORMULATEXT(BE352)</f>
        <v>=E395</v>
      </c>
    </row>
    <row r="353" spans="1:64" ht="14.75" customHeight="1">
      <c r="A353" s="64" t="s">
        <v>673</v>
      </c>
      <c r="B353" s="256">
        <v>24</v>
      </c>
      <c r="C353" s="195" t="s">
        <v>907</v>
      </c>
      <c r="D353" s="196"/>
      <c r="E353" s="196"/>
      <c r="F353" s="196"/>
      <c r="G353" s="196"/>
      <c r="H353" s="196"/>
      <c r="I353" s="196"/>
      <c r="J353" s="196"/>
      <c r="K353" s="196"/>
      <c r="L353" s="197"/>
      <c r="M353" s="470"/>
      <c r="N353" s="469"/>
      <c r="O353" s="471"/>
      <c r="P353" s="64"/>
      <c r="AD353" s="22">
        <f>ROW()</f>
        <v>353</v>
      </c>
      <c r="AE353" s="22"/>
      <c r="AF353" s="22"/>
      <c r="AG353" s="22"/>
      <c r="AH353" s="22"/>
      <c r="AI353" s="22"/>
      <c r="AJ353" s="22"/>
      <c r="AK353" s="22"/>
      <c r="AL353" s="22"/>
      <c r="AM353" s="22"/>
      <c r="AN353" s="22"/>
      <c r="AO353" s="22"/>
      <c r="AP353" s="22"/>
      <c r="BB353" s="30" t="s">
        <v>908</v>
      </c>
      <c r="BC353" s="21" t="s">
        <v>127</v>
      </c>
      <c r="BD353" s="21" t="b">
        <v>1</v>
      </c>
      <c r="BE353" s="21" t="str">
        <f>H395</f>
        <v>0.00</v>
      </c>
      <c r="BF353" s="21" t="str">
        <f>""&amp;H395</f>
        <v>0.00</v>
      </c>
      <c r="BG353" s="21" t="b">
        <v>0</v>
      </c>
      <c r="BH353" s="21" t="b">
        <v>0</v>
      </c>
      <c r="BK353" s="21" t="str">
        <f ca="1">_xlfn.FORMULATEXT(BE353)</f>
        <v>=H395</v>
      </c>
      <c r="BL353" s="21" t="str">
        <f ca="1">_xlfn.FORMULATEXT(BE353)</f>
        <v>=H395</v>
      </c>
    </row>
    <row r="354" spans="1:64" ht="14.75" customHeight="1">
      <c r="A354" s="64" t="s">
        <v>673</v>
      </c>
      <c r="B354" s="256">
        <v>25</v>
      </c>
      <c r="C354" s="195" t="s">
        <v>909</v>
      </c>
      <c r="D354" s="196"/>
      <c r="E354" s="196"/>
      <c r="F354" s="196"/>
      <c r="G354" s="196"/>
      <c r="H354" s="196"/>
      <c r="I354" s="196"/>
      <c r="J354" s="196"/>
      <c r="K354" s="196"/>
      <c r="L354" s="197"/>
      <c r="M354" s="470"/>
      <c r="N354" s="469"/>
      <c r="O354" s="471"/>
      <c r="P354" s="64"/>
      <c r="AD354" s="22">
        <f>ROW()</f>
        <v>354</v>
      </c>
      <c r="AE354" s="22"/>
      <c r="AF354" s="22"/>
      <c r="AG354" s="22"/>
      <c r="AH354" s="22"/>
      <c r="AI354" s="22"/>
      <c r="AJ354" s="22"/>
      <c r="AK354" s="22"/>
      <c r="AL354" s="22"/>
      <c r="AM354" s="22"/>
      <c r="AN354" s="22"/>
      <c r="AO354" s="22"/>
      <c r="AP354" s="22"/>
      <c r="BB354" s="30" t="s">
        <v>910</v>
      </c>
      <c r="BC354" s="21" t="s">
        <v>127</v>
      </c>
      <c r="BD354" s="21" t="b">
        <v>1</v>
      </c>
      <c r="BE354" s="21" t="str">
        <f>K395</f>
        <v>0.00</v>
      </c>
      <c r="BF354" s="21" t="str">
        <f>""&amp;K395</f>
        <v>0.00</v>
      </c>
      <c r="BG354" s="21" t="b">
        <v>0</v>
      </c>
      <c r="BH354" s="21" t="b">
        <v>0</v>
      </c>
      <c r="BK354" s="21" t="str">
        <f ca="1">_xlfn.FORMULATEXT(BE354)</f>
        <v>=K395</v>
      </c>
      <c r="BL354" s="21" t="str">
        <f ca="1">_xlfn.FORMULATEXT(BE354)</f>
        <v>=K395</v>
      </c>
    </row>
    <row r="355" spans="1:64" ht="14.75" customHeight="1">
      <c r="A355" s="64" t="s">
        <v>673</v>
      </c>
      <c r="B355" s="256">
        <v>26</v>
      </c>
      <c r="C355" s="195" t="s">
        <v>911</v>
      </c>
      <c r="D355" s="196"/>
      <c r="E355" s="196"/>
      <c r="F355" s="196"/>
      <c r="G355" s="196"/>
      <c r="H355" s="196"/>
      <c r="I355" s="196"/>
      <c r="J355" s="196"/>
      <c r="K355" s="196"/>
      <c r="L355" s="197"/>
      <c r="M355" s="470"/>
      <c r="N355" s="469"/>
      <c r="O355" s="471"/>
      <c r="P355" s="64"/>
      <c r="AD355" s="22">
        <f>ROW()</f>
        <v>355</v>
      </c>
      <c r="AE355" s="22"/>
      <c r="AF355" s="22"/>
      <c r="AG355" s="22"/>
      <c r="AH355" s="22"/>
      <c r="AI355" s="22"/>
      <c r="AJ355" s="22"/>
      <c r="AK355" s="22"/>
      <c r="AL355" s="22"/>
      <c r="AM355" s="22"/>
      <c r="AN355" s="22"/>
      <c r="AO355" s="22"/>
      <c r="AP355" s="22"/>
      <c r="BB355" s="30" t="s">
        <v>912</v>
      </c>
      <c r="BC355" s="21" t="s">
        <v>127</v>
      </c>
      <c r="BD355" s="21" t="b">
        <v>1</v>
      </c>
      <c r="BE355" s="21" t="str">
        <f>N395</f>
        <v>0.00</v>
      </c>
      <c r="BF355" s="21" t="str">
        <f>""&amp;N395</f>
        <v>0.00</v>
      </c>
      <c r="BG355" s="21" t="b">
        <v>0</v>
      </c>
      <c r="BH355" s="21" t="b">
        <v>0</v>
      </c>
      <c r="BK355" s="21" t="str">
        <f ca="1">_xlfn.FORMULATEXT(BE355)</f>
        <v>=N395</v>
      </c>
      <c r="BL355" s="21" t="str">
        <f ca="1">_xlfn.FORMULATEXT(BE355)</f>
        <v>=N395</v>
      </c>
    </row>
    <row r="356" spans="1:64" ht="14.75" customHeight="1">
      <c r="A356" s="64" t="s">
        <v>673</v>
      </c>
      <c r="B356" s="256">
        <v>27</v>
      </c>
      <c r="C356" s="195" t="s">
        <v>913</v>
      </c>
      <c r="D356" s="196"/>
      <c r="E356" s="196"/>
      <c r="F356" s="196"/>
      <c r="G356" s="196"/>
      <c r="H356" s="196"/>
      <c r="I356" s="196"/>
      <c r="J356" s="196"/>
      <c r="K356" s="196"/>
      <c r="L356" s="197"/>
      <c r="M356" s="470"/>
      <c r="N356" s="469"/>
      <c r="O356" s="471"/>
      <c r="P356" s="64"/>
      <c r="AD356" s="22">
        <f>ROW()</f>
        <v>356</v>
      </c>
      <c r="AE356" s="22"/>
      <c r="AF356" s="22"/>
      <c r="AG356" s="22"/>
      <c r="AH356" s="22"/>
      <c r="AI356" s="22"/>
      <c r="AJ356" s="22"/>
      <c r="AK356" s="22"/>
      <c r="AL356" s="22"/>
      <c r="AM356" s="22"/>
      <c r="AN356" s="22"/>
      <c r="AO356" s="22"/>
      <c r="AP356" s="22"/>
      <c r="BB356" s="30" t="s">
        <v>914</v>
      </c>
      <c r="BC356" s="21" t="s">
        <v>127</v>
      </c>
      <c r="BD356" s="21" t="b">
        <v>1</v>
      </c>
      <c r="BE356" s="21" t="str">
        <f>E401</f>
        <v>0.00</v>
      </c>
      <c r="BF356" s="21" t="str">
        <f>""&amp;E401</f>
        <v>0.00</v>
      </c>
      <c r="BG356" s="21" t="b">
        <v>0</v>
      </c>
      <c r="BH356" s="21" t="b">
        <v>0</v>
      </c>
      <c r="BK356" s="21" t="str">
        <f ca="1">_xlfn.FORMULATEXT(BE356)</f>
        <v>=E401</v>
      </c>
      <c r="BL356" s="21" t="str">
        <f ca="1">_xlfn.FORMULATEXT(BE356)</f>
        <v>=E401</v>
      </c>
    </row>
    <row r="357" spans="1:64" ht="14.75" customHeight="1">
      <c r="A357" s="64" t="s">
        <v>673</v>
      </c>
      <c r="B357" s="256">
        <v>28</v>
      </c>
      <c r="C357" s="195" t="s">
        <v>915</v>
      </c>
      <c r="D357" s="196"/>
      <c r="E357" s="196"/>
      <c r="F357" s="196"/>
      <c r="G357" s="196"/>
      <c r="H357" s="196"/>
      <c r="I357" s="196"/>
      <c r="J357" s="196"/>
      <c r="K357" s="196"/>
      <c r="L357" s="197"/>
      <c r="M357" s="470"/>
      <c r="N357" s="469"/>
      <c r="O357" s="471"/>
      <c r="P357" s="64"/>
      <c r="AD357" s="22">
        <f>ROW()</f>
        <v>357</v>
      </c>
      <c r="AE357" s="22"/>
      <c r="AF357" s="22"/>
      <c r="AG357" s="22"/>
      <c r="AH357" s="22"/>
      <c r="AI357" s="22"/>
      <c r="AJ357" s="22"/>
      <c r="AK357" s="22"/>
      <c r="AL357" s="22"/>
      <c r="AM357" s="22"/>
      <c r="AN357" s="22"/>
      <c r="AO357" s="22"/>
      <c r="AP357" s="22"/>
      <c r="BB357" s="30" t="s">
        <v>916</v>
      </c>
      <c r="BC357" s="21" t="s">
        <v>127</v>
      </c>
      <c r="BD357" s="21" t="b">
        <v>1</v>
      </c>
      <c r="BE357" s="21" t="str">
        <f>H401</f>
        <v>0.00</v>
      </c>
      <c r="BF357" s="21" t="str">
        <f>""&amp;H401</f>
        <v>0.00</v>
      </c>
      <c r="BG357" s="21" t="b">
        <v>0</v>
      </c>
      <c r="BH357" s="21" t="b">
        <v>0</v>
      </c>
      <c r="BK357" s="21" t="str">
        <f ca="1">_xlfn.FORMULATEXT(BE357)</f>
        <v>=H401</v>
      </c>
      <c r="BL357" s="21" t="str">
        <f ca="1">_xlfn.FORMULATEXT(BE357)</f>
        <v>=H401</v>
      </c>
    </row>
    <row r="358" spans="1:64" ht="14.75" customHeight="1">
      <c r="A358" s="64" t="s">
        <v>673</v>
      </c>
      <c r="B358" s="256">
        <v>29</v>
      </c>
      <c r="C358" s="195" t="s">
        <v>917</v>
      </c>
      <c r="D358" s="196"/>
      <c r="E358" s="196"/>
      <c r="F358" s="196"/>
      <c r="G358" s="196"/>
      <c r="H358" s="196"/>
      <c r="I358" s="196"/>
      <c r="J358" s="196"/>
      <c r="K358" s="196"/>
      <c r="L358" s="197"/>
      <c r="M358" s="470"/>
      <c r="N358" s="469"/>
      <c r="O358" s="471"/>
      <c r="P358" s="64"/>
      <c r="AD358" s="22">
        <f>ROW()</f>
        <v>358</v>
      </c>
      <c r="AE358" s="22"/>
      <c r="AF358" s="22"/>
      <c r="AG358" s="22"/>
      <c r="AH358" s="22"/>
      <c r="AI358" s="22"/>
      <c r="AJ358" s="22"/>
      <c r="AK358" s="22"/>
      <c r="AL358" s="22"/>
      <c r="AM358" s="22"/>
      <c r="AN358" s="22"/>
      <c r="AO358" s="22"/>
      <c r="AP358" s="22"/>
      <c r="BB358" s="30" t="s">
        <v>918</v>
      </c>
      <c r="BC358" s="21" t="s">
        <v>127</v>
      </c>
      <c r="BD358" s="21" t="b">
        <v>1</v>
      </c>
      <c r="BE358" s="21" t="str">
        <f>K401</f>
        <v>0.00</v>
      </c>
      <c r="BF358" s="21" t="str">
        <f>""&amp;K401</f>
        <v>0.00</v>
      </c>
      <c r="BG358" s="21" t="b">
        <v>0</v>
      </c>
      <c r="BH358" s="21" t="b">
        <v>0</v>
      </c>
      <c r="BK358" s="21" t="str">
        <f ca="1">_xlfn.FORMULATEXT(BE358)</f>
        <v>=K401</v>
      </c>
      <c r="BL358" s="21" t="str">
        <f ca="1">_xlfn.FORMULATEXT(BE358)</f>
        <v>=K401</v>
      </c>
    </row>
    <row r="359" spans="1:64" ht="14.75" customHeight="1">
      <c r="A359" s="64" t="s">
        <v>673</v>
      </c>
      <c r="B359" s="256">
        <v>30</v>
      </c>
      <c r="C359" s="195" t="s">
        <v>919</v>
      </c>
      <c r="D359" s="196"/>
      <c r="E359" s="196"/>
      <c r="F359" s="196"/>
      <c r="G359" s="196"/>
      <c r="H359" s="196"/>
      <c r="I359" s="196"/>
      <c r="J359" s="196"/>
      <c r="K359" s="196"/>
      <c r="L359" s="197"/>
      <c r="M359" s="470"/>
      <c r="N359" s="469"/>
      <c r="O359" s="471"/>
      <c r="P359" s="64"/>
      <c r="AD359" s="22">
        <f>ROW()</f>
        <v>359</v>
      </c>
      <c r="AE359" s="22"/>
      <c r="AF359" s="22"/>
      <c r="AG359" s="22"/>
      <c r="AH359" s="22"/>
      <c r="AI359" s="22"/>
      <c r="AJ359" s="22"/>
      <c r="AK359" s="22"/>
      <c r="AL359" s="22"/>
      <c r="AM359" s="22"/>
      <c r="AN359" s="22"/>
      <c r="AO359" s="22"/>
      <c r="AP359" s="22"/>
      <c r="BB359" s="30" t="s">
        <v>920</v>
      </c>
      <c r="BC359" s="21" t="s">
        <v>127</v>
      </c>
      <c r="BD359" s="21" t="b">
        <v>1</v>
      </c>
      <c r="BE359" s="21">
        <f>N401</f>
        <v>0</v>
      </c>
      <c r="BF359" s="21" t="str">
        <f>""&amp;N401</f>
        <v/>
      </c>
      <c r="BG359" s="21" t="b">
        <v>0</v>
      </c>
      <c r="BH359" s="21" t="b">
        <v>0</v>
      </c>
      <c r="BK359" s="21" t="str">
        <f ca="1">_xlfn.FORMULATEXT(BE359)</f>
        <v>=N401</v>
      </c>
      <c r="BL359" s="21" t="str">
        <f ca="1">_xlfn.FORMULATEXT(BE359)</f>
        <v>=N401</v>
      </c>
    </row>
    <row r="360" spans="1:83" s="261" customFormat="1" ht="14.75" customHeight="1">
      <c r="A360" s="64" t="s">
        <v>673</v>
      </c>
      <c r="B360" s="256">
        <v>31</v>
      </c>
      <c r="C360" s="195" t="s">
        <v>921</v>
      </c>
      <c r="D360" s="196"/>
      <c r="E360" s="196"/>
      <c r="F360" s="196"/>
      <c r="G360" s="196"/>
      <c r="H360" s="196"/>
      <c r="I360" s="196"/>
      <c r="J360" s="196"/>
      <c r="K360" s="196"/>
      <c r="L360" s="197"/>
      <c r="M360" s="470"/>
      <c r="N360" s="469"/>
      <c r="O360" s="471"/>
      <c r="P360" s="64"/>
      <c r="Q360" s="21"/>
      <c r="R360" s="21"/>
      <c r="S360" s="21"/>
      <c r="T360" s="21"/>
      <c r="U360" s="21"/>
      <c r="V360" s="21"/>
      <c r="W360" s="21"/>
      <c r="X360" s="21"/>
      <c r="Y360" s="21"/>
      <c r="Z360" s="21"/>
      <c r="AA360" s="21"/>
      <c r="AB360" s="21"/>
      <c r="AC360" s="21"/>
      <c r="AD360" s="22">
        <f>ROW()</f>
        <v>360</v>
      </c>
      <c r="AE360" s="22"/>
      <c r="AF360" s="22"/>
      <c r="AG360" s="22"/>
      <c r="AH360" s="22"/>
      <c r="AI360" s="22"/>
      <c r="AJ360" s="22"/>
      <c r="AK360" s="22"/>
      <c r="AL360" s="22"/>
      <c r="AM360" s="22"/>
      <c r="AN360" s="22"/>
      <c r="AO360" s="22"/>
      <c r="AP360" s="22"/>
      <c r="AQ360" s="21"/>
      <c r="AR360" s="21"/>
      <c r="AS360" s="21"/>
      <c r="AT360" s="21"/>
      <c r="AU360" s="21"/>
      <c r="AV360" s="21"/>
      <c r="AW360" s="21"/>
      <c r="AX360" s="21"/>
      <c r="AY360" s="21"/>
      <c r="AZ360" s="21"/>
      <c r="BA360" s="21"/>
      <c r="BB360" s="30" t="s">
        <v>922</v>
      </c>
      <c r="BC360" s="21" t="s">
        <v>127</v>
      </c>
      <c r="BD360" s="21" t="b">
        <v>1</v>
      </c>
      <c r="BE360" s="21">
        <f>E384</f>
        <v>0</v>
      </c>
      <c r="BF360" s="21" t="str">
        <f>""&amp;E384</f>
        <v/>
      </c>
      <c r="BG360" s="21" t="b">
        <v>1</v>
      </c>
      <c r="BH360" s="21" t="b">
        <v>0</v>
      </c>
      <c r="BI360" s="21"/>
      <c r="BJ360" s="21"/>
      <c r="BK360" s="21" t="str">
        <f ca="1">_xlfn.FORMULATEXT(BE360)</f>
        <v>=E384</v>
      </c>
      <c r="BL360" s="21" t="str">
        <f ca="1">_xlfn.FORMULATEXT(BE360)</f>
        <v>=E384</v>
      </c>
      <c r="BM360" s="21"/>
      <c r="BN360" s="21"/>
      <c r="BO360" s="21"/>
      <c r="BP360" s="21"/>
      <c r="BQ360" s="21"/>
      <c r="BR360" s="21"/>
      <c r="BS360" s="21"/>
      <c r="BT360" s="21"/>
      <c r="BU360" s="21"/>
      <c r="BV360" s="21"/>
      <c r="BW360" s="21"/>
      <c r="BX360" s="21"/>
      <c r="CE360" s="21"/>
    </row>
    <row r="361" spans="1:70" s="261" customFormat="1" ht="14.75" customHeight="1">
      <c r="A361" s="64" t="s">
        <v>673</v>
      </c>
      <c r="B361" s="256">
        <v>32</v>
      </c>
      <c r="C361" s="195" t="s">
        <v>923</v>
      </c>
      <c r="D361" s="196"/>
      <c r="E361" s="196"/>
      <c r="F361" s="196"/>
      <c r="G361" s="196"/>
      <c r="H361" s="196"/>
      <c r="I361" s="196"/>
      <c r="J361" s="196"/>
      <c r="K361" s="196"/>
      <c r="L361" s="197"/>
      <c r="M361" s="470"/>
      <c r="N361" s="469"/>
      <c r="O361" s="471"/>
      <c r="P361" s="64"/>
      <c r="Q361" s="21"/>
      <c r="R361" s="21"/>
      <c r="S361" s="21"/>
      <c r="T361" s="21"/>
      <c r="U361" s="21"/>
      <c r="V361" s="21"/>
      <c r="W361" s="21"/>
      <c r="X361" s="21"/>
      <c r="Y361" s="21"/>
      <c r="Z361" s="21"/>
      <c r="AA361" s="21"/>
      <c r="AB361" s="21"/>
      <c r="AC361" s="21"/>
      <c r="AD361" s="22">
        <f>ROW()</f>
        <v>361</v>
      </c>
      <c r="AE361" s="22"/>
      <c r="AF361" s="22"/>
      <c r="AG361" s="22"/>
      <c r="AH361" s="22"/>
      <c r="AI361" s="22"/>
      <c r="AJ361" s="22"/>
      <c r="AK361" s="22"/>
      <c r="AL361" s="22"/>
      <c r="AM361" s="22"/>
      <c r="AN361" s="22"/>
      <c r="AO361" s="22"/>
      <c r="AP361" s="22"/>
      <c r="AQ361" s="21"/>
      <c r="AR361" s="21"/>
      <c r="AS361" s="21"/>
      <c r="AT361" s="21"/>
      <c r="AU361" s="21"/>
      <c r="AV361" s="21"/>
      <c r="AW361" s="21"/>
      <c r="AX361" s="21"/>
      <c r="AY361" s="21"/>
      <c r="AZ361" s="21"/>
      <c r="BA361" s="21"/>
      <c r="BB361" s="30" t="s">
        <v>924</v>
      </c>
      <c r="BC361" s="21" t="s">
        <v>127</v>
      </c>
      <c r="BD361" s="21" t="b">
        <v>1</v>
      </c>
      <c r="BE361" s="21">
        <f>H384</f>
        <v>0</v>
      </c>
      <c r="BF361" s="21" t="str">
        <f>""&amp;H384</f>
        <v/>
      </c>
      <c r="BG361" s="21" t="b">
        <v>1</v>
      </c>
      <c r="BH361" s="21" t="b">
        <v>0</v>
      </c>
      <c r="BI361" s="21"/>
      <c r="BJ361" s="21"/>
      <c r="BK361" s="21" t="str">
        <f ca="1">_xlfn.FORMULATEXT(BE361)</f>
        <v>=H384</v>
      </c>
      <c r="BL361" s="21" t="str">
        <f ca="1">_xlfn.FORMULATEXT(BE361)</f>
        <v>=H384</v>
      </c>
      <c r="BM361" s="21"/>
      <c r="BN361" s="21"/>
      <c r="BO361" s="21"/>
      <c r="BP361" s="21"/>
      <c r="BQ361" s="21"/>
      <c r="BR361" s="21"/>
    </row>
    <row r="362" spans="1:70" s="261" customFormat="1" ht="14.5">
      <c r="A362" s="64" t="s">
        <v>673</v>
      </c>
      <c r="B362" s="256">
        <v>33</v>
      </c>
      <c r="C362" s="195" t="s">
        <v>925</v>
      </c>
      <c r="D362" s="196"/>
      <c r="E362" s="196"/>
      <c r="F362" s="196"/>
      <c r="G362" s="196"/>
      <c r="H362" s="196"/>
      <c r="I362" s="196"/>
      <c r="J362" s="196"/>
      <c r="K362" s="196"/>
      <c r="L362" s="197"/>
      <c r="M362" s="470"/>
      <c r="N362" s="469"/>
      <c r="O362" s="471"/>
      <c r="P362" s="64"/>
      <c r="Q362" s="21"/>
      <c r="R362" s="21"/>
      <c r="S362" s="21"/>
      <c r="T362" s="21"/>
      <c r="U362" s="21"/>
      <c r="V362" s="21"/>
      <c r="W362" s="21"/>
      <c r="X362" s="21"/>
      <c r="Y362" s="21"/>
      <c r="Z362" s="21"/>
      <c r="AA362" s="21"/>
      <c r="AB362" s="21"/>
      <c r="AC362" s="21"/>
      <c r="AD362" s="22">
        <f>ROW()</f>
        <v>362</v>
      </c>
      <c r="AE362" s="22"/>
      <c r="AF362" s="22"/>
      <c r="AG362" s="22"/>
      <c r="AH362" s="22"/>
      <c r="AI362" s="22"/>
      <c r="AJ362" s="22"/>
      <c r="AK362" s="22"/>
      <c r="AL362" s="22"/>
      <c r="AM362" s="22"/>
      <c r="AN362" s="22"/>
      <c r="AO362" s="22"/>
      <c r="AP362" s="22"/>
      <c r="AQ362" s="21"/>
      <c r="AR362" s="21"/>
      <c r="AS362" s="21"/>
      <c r="AT362" s="21"/>
      <c r="AU362" s="21"/>
      <c r="AV362" s="21"/>
      <c r="AW362" s="21"/>
      <c r="AX362" s="21"/>
      <c r="AY362" s="21"/>
      <c r="AZ362" s="21"/>
      <c r="BA362" s="21"/>
      <c r="BB362" s="30" t="s">
        <v>926</v>
      </c>
      <c r="BC362" s="21" t="s">
        <v>127</v>
      </c>
      <c r="BD362" s="21" t="b">
        <v>1</v>
      </c>
      <c r="BE362" s="21">
        <f>K384</f>
        <v>0</v>
      </c>
      <c r="BF362" s="21" t="str">
        <f>""&amp;K384</f>
        <v/>
      </c>
      <c r="BG362" s="21" t="b">
        <v>1</v>
      </c>
      <c r="BH362" s="21" t="b">
        <v>0</v>
      </c>
      <c r="BI362" s="21"/>
      <c r="BJ362" s="21"/>
      <c r="BK362" s="21" t="str">
        <f ca="1">_xlfn.FORMULATEXT(BE362)</f>
        <v>=K384</v>
      </c>
      <c r="BL362" s="21" t="str">
        <f ca="1">_xlfn.FORMULATEXT(BE362)</f>
        <v>=K384</v>
      </c>
      <c r="BM362" s="21"/>
      <c r="BN362" s="21"/>
      <c r="BO362" s="21"/>
      <c r="BP362" s="21"/>
      <c r="BQ362" s="21"/>
      <c r="BR362" s="21"/>
    </row>
    <row r="363" spans="1:70" s="261" customFormat="1" ht="14.75" customHeight="1">
      <c r="A363" s="64" t="s">
        <v>673</v>
      </c>
      <c r="B363" s="256">
        <v>34</v>
      </c>
      <c r="C363" s="195" t="s">
        <v>927</v>
      </c>
      <c r="D363" s="196"/>
      <c r="E363" s="196"/>
      <c r="F363" s="196"/>
      <c r="G363" s="196"/>
      <c r="H363" s="196"/>
      <c r="I363" s="196"/>
      <c r="J363" s="196"/>
      <c r="K363" s="196"/>
      <c r="L363" s="197"/>
      <c r="M363" s="470"/>
      <c r="N363" s="469"/>
      <c r="O363" s="471"/>
      <c r="P363" s="64"/>
      <c r="Q363" s="21"/>
      <c r="R363" s="21"/>
      <c r="S363" s="21"/>
      <c r="T363" s="21"/>
      <c r="U363" s="21"/>
      <c r="V363" s="21"/>
      <c r="W363" s="21"/>
      <c r="X363" s="21"/>
      <c r="Y363" s="21"/>
      <c r="Z363" s="21"/>
      <c r="AA363" s="21"/>
      <c r="AB363" s="21"/>
      <c r="AC363" s="21"/>
      <c r="AD363" s="22">
        <f>ROW()</f>
        <v>363</v>
      </c>
      <c r="AE363" s="22"/>
      <c r="AF363" s="22"/>
      <c r="AG363" s="22"/>
      <c r="AH363" s="22"/>
      <c r="AI363" s="22"/>
      <c r="AJ363" s="22"/>
      <c r="AK363" s="22"/>
      <c r="AL363" s="22"/>
      <c r="AM363" s="22"/>
      <c r="AN363" s="22"/>
      <c r="AO363" s="22"/>
      <c r="AP363" s="22"/>
      <c r="AQ363" s="21"/>
      <c r="AR363" s="21"/>
      <c r="AS363" s="21"/>
      <c r="AT363" s="21"/>
      <c r="AU363" s="21"/>
      <c r="AV363" s="21"/>
      <c r="AW363" s="21"/>
      <c r="AX363" s="21"/>
      <c r="AY363" s="21"/>
      <c r="AZ363" s="21"/>
      <c r="BA363" s="21"/>
      <c r="BB363" s="30" t="s">
        <v>928</v>
      </c>
      <c r="BC363" s="21" t="s">
        <v>127</v>
      </c>
      <c r="BD363" s="21" t="b">
        <v>1</v>
      </c>
      <c r="BE363" s="21">
        <f>N384</f>
        <v>0</v>
      </c>
      <c r="BF363" s="21" t="str">
        <f>""&amp;N384</f>
        <v/>
      </c>
      <c r="BG363" s="21" t="b">
        <v>1</v>
      </c>
      <c r="BH363" s="21" t="b">
        <v>0</v>
      </c>
      <c r="BI363" s="21"/>
      <c r="BJ363" s="21"/>
      <c r="BK363" s="21" t="str">
        <f ca="1">_xlfn.FORMULATEXT(BE363)</f>
        <v>=N384</v>
      </c>
      <c r="BL363" s="21" t="str">
        <f ca="1">_xlfn.FORMULATEXT(BE363)</f>
        <v>=N384</v>
      </c>
      <c r="BM363" s="21"/>
      <c r="BN363" s="21"/>
      <c r="BO363" s="21"/>
      <c r="BP363" s="21"/>
      <c r="BQ363" s="21"/>
      <c r="BR363" s="21"/>
    </row>
    <row r="364" spans="1:70" s="261" customFormat="1" ht="14.5">
      <c r="A364" s="64" t="s">
        <v>673</v>
      </c>
      <c r="B364" s="256">
        <v>35</v>
      </c>
      <c r="C364" s="195" t="s">
        <v>929</v>
      </c>
      <c r="D364" s="196"/>
      <c r="E364" s="196"/>
      <c r="F364" s="196"/>
      <c r="G364" s="196"/>
      <c r="H364" s="196"/>
      <c r="I364" s="196"/>
      <c r="J364" s="196"/>
      <c r="K364" s="196"/>
      <c r="L364" s="197"/>
      <c r="M364" s="470"/>
      <c r="N364" s="469"/>
      <c r="O364" s="471"/>
      <c r="P364" s="64"/>
      <c r="Q364" s="21"/>
      <c r="R364" s="21"/>
      <c r="S364" s="21"/>
      <c r="T364" s="21"/>
      <c r="U364" s="21"/>
      <c r="V364" s="21"/>
      <c r="W364" s="21"/>
      <c r="X364" s="21"/>
      <c r="Y364" s="21"/>
      <c r="Z364" s="21"/>
      <c r="AA364" s="22"/>
      <c r="AB364" s="22"/>
      <c r="AC364" s="22"/>
      <c r="AD364" s="22">
        <f>ROW()</f>
        <v>364</v>
      </c>
      <c r="AE364" s="22"/>
      <c r="AF364" s="22"/>
      <c r="AG364" s="22"/>
      <c r="AH364" s="22"/>
      <c r="AI364" s="22"/>
      <c r="AJ364" s="22"/>
      <c r="AK364" s="22"/>
      <c r="AL364" s="22"/>
      <c r="AM364" s="22"/>
      <c r="AN364" s="22"/>
      <c r="AO364" s="22"/>
      <c r="AP364" s="22"/>
      <c r="AQ364" s="21"/>
      <c r="AR364" s="21"/>
      <c r="AS364" s="21"/>
      <c r="AT364" s="21"/>
      <c r="AU364" s="21"/>
      <c r="AV364" s="21"/>
      <c r="AW364" s="21"/>
      <c r="AX364" s="21"/>
      <c r="AY364" s="21"/>
      <c r="AZ364" s="21"/>
      <c r="BA364" s="21"/>
      <c r="BB364" s="30" t="s">
        <v>930</v>
      </c>
      <c r="BC364" s="21" t="s">
        <v>127</v>
      </c>
      <c r="BD364" s="21" t="b">
        <v>1</v>
      </c>
      <c r="BE364" s="21">
        <f>E385</f>
        <v>0</v>
      </c>
      <c r="BF364" s="21" t="str">
        <f>""&amp;E385</f>
        <v/>
      </c>
      <c r="BG364" s="21" t="b">
        <v>1</v>
      </c>
      <c r="BH364" s="21" t="b">
        <v>0</v>
      </c>
      <c r="BI364" s="21"/>
      <c r="BJ364" s="21"/>
      <c r="BK364" s="21" t="str">
        <f ca="1">_xlfn.FORMULATEXT(BE364)</f>
        <v>=E385</v>
      </c>
      <c r="BL364" s="21" t="str">
        <f ca="1">_xlfn.FORMULATEXT(BE364)</f>
        <v>=E385</v>
      </c>
      <c r="BM364" s="21"/>
      <c r="BN364" s="21"/>
      <c r="BO364" s="21"/>
      <c r="BP364" s="21"/>
      <c r="BQ364" s="21"/>
      <c r="BR364" s="21"/>
    </row>
    <row r="365" spans="1:70" s="261" customFormat="1" ht="14.75" customHeight="1">
      <c r="A365" s="64" t="s">
        <v>673</v>
      </c>
      <c r="B365" s="256">
        <v>36</v>
      </c>
      <c r="C365" s="195" t="s">
        <v>931</v>
      </c>
      <c r="D365" s="196"/>
      <c r="E365" s="196"/>
      <c r="F365" s="196"/>
      <c r="G365" s="196"/>
      <c r="H365" s="196"/>
      <c r="I365" s="196"/>
      <c r="J365" s="196"/>
      <c r="K365" s="196"/>
      <c r="L365" s="197"/>
      <c r="M365" s="470"/>
      <c r="N365" s="469"/>
      <c r="O365" s="471"/>
      <c r="P365" s="64"/>
      <c r="Q365" s="21"/>
      <c r="R365" s="21"/>
      <c r="S365" s="21"/>
      <c r="T365" s="21"/>
      <c r="U365" s="21"/>
      <c r="V365" s="21"/>
      <c r="W365" s="22"/>
      <c r="X365" s="22"/>
      <c r="Y365" s="21"/>
      <c r="Z365" s="21"/>
      <c r="AA365" s="22"/>
      <c r="AB365" s="22"/>
      <c r="AC365" s="22"/>
      <c r="AD365" s="22">
        <f>ROW()</f>
        <v>365</v>
      </c>
      <c r="AE365" s="22"/>
      <c r="AF365" s="22"/>
      <c r="AG365" s="22"/>
      <c r="AH365" s="22"/>
      <c r="AI365" s="22"/>
      <c r="AJ365" s="22"/>
      <c r="AK365" s="22"/>
      <c r="AL365" s="22"/>
      <c r="AM365" s="22"/>
      <c r="AN365" s="22"/>
      <c r="AO365" s="22"/>
      <c r="AP365" s="22"/>
      <c r="AQ365" s="21"/>
      <c r="AR365" s="21"/>
      <c r="AS365" s="21"/>
      <c r="AT365" s="21"/>
      <c r="AU365" s="21"/>
      <c r="AV365" s="21"/>
      <c r="AW365" s="21"/>
      <c r="AX365" s="21"/>
      <c r="AY365" s="21"/>
      <c r="AZ365" s="21"/>
      <c r="BA365" s="21"/>
      <c r="BB365" s="30" t="s">
        <v>932</v>
      </c>
      <c r="BC365" s="21" t="s">
        <v>127</v>
      </c>
      <c r="BD365" s="21" t="b">
        <v>1</v>
      </c>
      <c r="BE365" s="21">
        <f>H385</f>
        <v>0</v>
      </c>
      <c r="BF365" s="21" t="str">
        <f>""&amp;H385</f>
        <v/>
      </c>
      <c r="BG365" s="21" t="b">
        <v>1</v>
      </c>
      <c r="BH365" s="21" t="b">
        <v>0</v>
      </c>
      <c r="BI365" s="21"/>
      <c r="BJ365" s="21"/>
      <c r="BK365" s="21" t="str">
        <f ca="1">_xlfn.FORMULATEXT(BE365)</f>
        <v>=H385</v>
      </c>
      <c r="BL365" s="21" t="str">
        <f ca="1">_xlfn.FORMULATEXT(BE365)</f>
        <v>=H385</v>
      </c>
      <c r="BM365" s="21"/>
      <c r="BN365" s="21"/>
      <c r="BO365" s="21"/>
      <c r="BP365" s="21"/>
      <c r="BQ365" s="21"/>
      <c r="BR365" s="21"/>
    </row>
    <row r="366" spans="1:70" s="261" customFormat="1" ht="14.75" customHeight="1">
      <c r="A366" s="64" t="s">
        <v>673</v>
      </c>
      <c r="B366" s="256">
        <v>37</v>
      </c>
      <c r="C366" s="195" t="s">
        <v>933</v>
      </c>
      <c r="D366" s="196"/>
      <c r="E366" s="196"/>
      <c r="F366" s="196"/>
      <c r="G366" s="196"/>
      <c r="H366" s="196"/>
      <c r="I366" s="196"/>
      <c r="J366" s="196"/>
      <c r="K366" s="196"/>
      <c r="L366" s="197"/>
      <c r="M366" s="470"/>
      <c r="N366" s="469"/>
      <c r="O366" s="471"/>
      <c r="P366" s="64"/>
      <c r="Q366" s="21"/>
      <c r="R366" s="21"/>
      <c r="S366" s="21"/>
      <c r="T366" s="21"/>
      <c r="U366" s="21"/>
      <c r="V366" s="21"/>
      <c r="W366" s="22"/>
      <c r="X366" s="22"/>
      <c r="Y366" s="21"/>
      <c r="Z366" s="21"/>
      <c r="AA366" s="22"/>
      <c r="AB366" s="22"/>
      <c r="AC366" s="22"/>
      <c r="AD366" s="22">
        <f>ROW()</f>
        <v>366</v>
      </c>
      <c r="AE366" s="22"/>
      <c r="AF366" s="22"/>
      <c r="AG366" s="22"/>
      <c r="AH366" s="22"/>
      <c r="AI366" s="22"/>
      <c r="AJ366" s="22"/>
      <c r="AK366" s="22"/>
      <c r="AL366" s="22"/>
      <c r="AM366" s="22"/>
      <c r="AN366" s="22"/>
      <c r="AO366" s="22"/>
      <c r="AP366" s="22"/>
      <c r="AQ366" s="21"/>
      <c r="AR366" s="21"/>
      <c r="AS366" s="21"/>
      <c r="AT366" s="21"/>
      <c r="AU366" s="21"/>
      <c r="AV366" s="21"/>
      <c r="AW366" s="21"/>
      <c r="AX366" s="21"/>
      <c r="AY366" s="21"/>
      <c r="AZ366" s="21"/>
      <c r="BA366" s="21"/>
      <c r="BB366" s="30" t="s">
        <v>934</v>
      </c>
      <c r="BC366" s="21" t="s">
        <v>127</v>
      </c>
      <c r="BD366" s="21" t="b">
        <v>1</v>
      </c>
      <c r="BE366" s="21">
        <f>K385</f>
        <v>0</v>
      </c>
      <c r="BF366" s="21" t="str">
        <f>""&amp;K385</f>
        <v/>
      </c>
      <c r="BG366" s="21" t="b">
        <v>1</v>
      </c>
      <c r="BH366" s="21" t="b">
        <v>0</v>
      </c>
      <c r="BI366" s="21"/>
      <c r="BJ366" s="21"/>
      <c r="BK366" s="21" t="str">
        <f ca="1">_xlfn.FORMULATEXT(BE366)</f>
        <v>=K385</v>
      </c>
      <c r="BL366" s="21" t="str">
        <f ca="1">_xlfn.FORMULATEXT(BE366)</f>
        <v>=K385</v>
      </c>
      <c r="BM366" s="21"/>
      <c r="BN366" s="21"/>
      <c r="BO366" s="21"/>
      <c r="BP366" s="21"/>
      <c r="BQ366" s="21"/>
      <c r="BR366" s="21"/>
    </row>
    <row r="367" spans="1:70" s="261" customFormat="1" ht="14.75" customHeight="1">
      <c r="A367" s="64" t="s">
        <v>673</v>
      </c>
      <c r="B367" s="256">
        <v>38</v>
      </c>
      <c r="C367" s="195" t="s">
        <v>935</v>
      </c>
      <c r="D367" s="196"/>
      <c r="E367" s="196"/>
      <c r="F367" s="196"/>
      <c r="G367" s="196"/>
      <c r="H367" s="196"/>
      <c r="I367" s="196"/>
      <c r="J367" s="196"/>
      <c r="K367" s="196"/>
      <c r="L367" s="197"/>
      <c r="M367" s="470"/>
      <c r="N367" s="469"/>
      <c r="O367" s="471"/>
      <c r="P367" s="64"/>
      <c r="Q367" s="21"/>
      <c r="R367" s="21"/>
      <c r="S367" s="21"/>
      <c r="T367" s="21"/>
      <c r="U367" s="21"/>
      <c r="V367" s="21"/>
      <c r="W367" s="22"/>
      <c r="X367" s="22"/>
      <c r="Y367" s="21"/>
      <c r="Z367" s="21"/>
      <c r="AD367" s="22">
        <f>ROW()</f>
        <v>367</v>
      </c>
      <c r="AE367" s="22"/>
      <c r="AF367" s="22"/>
      <c r="AG367" s="22"/>
      <c r="AH367" s="22"/>
      <c r="AI367" s="22"/>
      <c r="AJ367" s="22"/>
      <c r="AK367" s="22"/>
      <c r="AL367" s="22"/>
      <c r="AM367" s="22"/>
      <c r="AN367" s="22"/>
      <c r="AO367" s="22"/>
      <c r="AP367" s="22"/>
      <c r="AQ367" s="21"/>
      <c r="AR367" s="21"/>
      <c r="AS367" s="21"/>
      <c r="AT367" s="21"/>
      <c r="AU367" s="21"/>
      <c r="AV367" s="21"/>
      <c r="AW367" s="21"/>
      <c r="AX367" s="21"/>
      <c r="AY367" s="21"/>
      <c r="AZ367" s="21"/>
      <c r="BA367" s="21"/>
      <c r="BB367" s="30" t="s">
        <v>936</v>
      </c>
      <c r="BC367" s="21" t="s">
        <v>127</v>
      </c>
      <c r="BD367" s="21" t="b">
        <v>1</v>
      </c>
      <c r="BE367" s="21">
        <f>N385</f>
        <v>0</v>
      </c>
      <c r="BF367" s="21" t="str">
        <f>""&amp;N385</f>
        <v/>
      </c>
      <c r="BG367" s="21" t="b">
        <v>1</v>
      </c>
      <c r="BH367" s="21" t="b">
        <v>0</v>
      </c>
      <c r="BI367" s="21"/>
      <c r="BJ367" s="21"/>
      <c r="BK367" s="21" t="str">
        <f ca="1">_xlfn.FORMULATEXT(BE367)</f>
        <v>=N385</v>
      </c>
      <c r="BL367" s="21" t="str">
        <f ca="1">_xlfn.FORMULATEXT(BE367)</f>
        <v>=N385</v>
      </c>
      <c r="BM367" s="21"/>
      <c r="BN367" s="21"/>
      <c r="BO367" s="21"/>
      <c r="BP367" s="21"/>
      <c r="BQ367" s="21"/>
      <c r="BR367" s="21"/>
    </row>
    <row r="368" spans="1:70" s="261" customFormat="1" ht="14.75" customHeight="1">
      <c r="A368" s="64" t="s">
        <v>673</v>
      </c>
      <c r="B368" s="256">
        <v>39</v>
      </c>
      <c r="C368" s="195" t="s">
        <v>937</v>
      </c>
      <c r="D368" s="196"/>
      <c r="E368" s="196"/>
      <c r="F368" s="196"/>
      <c r="G368" s="196"/>
      <c r="H368" s="196"/>
      <c r="I368" s="196"/>
      <c r="J368" s="196"/>
      <c r="K368" s="196"/>
      <c r="L368" s="197"/>
      <c r="M368" s="470"/>
      <c r="N368" s="469"/>
      <c r="O368" s="471"/>
      <c r="P368" s="64"/>
      <c r="Q368" s="21"/>
      <c r="R368" s="21"/>
      <c r="W368" s="262"/>
      <c r="X368" s="262"/>
      <c r="AD368" s="22">
        <f>ROW()</f>
        <v>368</v>
      </c>
      <c r="AE368" s="22"/>
      <c r="AF368" s="22"/>
      <c r="AG368" s="22"/>
      <c r="AH368" s="22"/>
      <c r="AI368" s="22"/>
      <c r="AJ368" s="22"/>
      <c r="AK368" s="22"/>
      <c r="AL368" s="22"/>
      <c r="AM368" s="22"/>
      <c r="AN368" s="22"/>
      <c r="AO368" s="22"/>
      <c r="AP368" s="22"/>
      <c r="AQ368" s="21"/>
      <c r="AY368" s="21"/>
      <c r="AZ368" s="21"/>
      <c r="BA368" s="21"/>
      <c r="BB368" s="30" t="s">
        <v>938</v>
      </c>
      <c r="BC368" s="21" t="s">
        <v>127</v>
      </c>
      <c r="BD368" s="21" t="b">
        <v>1</v>
      </c>
      <c r="BE368" s="21">
        <f>E386</f>
        <v>0</v>
      </c>
      <c r="BF368" s="21" t="str">
        <f>""&amp;E386</f>
        <v/>
      </c>
      <c r="BG368" s="21" t="b">
        <v>1</v>
      </c>
      <c r="BH368" s="21" t="b">
        <v>0</v>
      </c>
      <c r="BI368" s="21"/>
      <c r="BJ368" s="21"/>
      <c r="BK368" s="21" t="str">
        <f ca="1">_xlfn.FORMULATEXT(BE368)</f>
        <v>=E386</v>
      </c>
      <c r="BL368" s="21" t="str">
        <f ca="1">_xlfn.FORMULATEXT(BE368)</f>
        <v>=E386</v>
      </c>
      <c r="BM368" s="21"/>
      <c r="BN368" s="21"/>
      <c r="BO368" s="21"/>
      <c r="BP368" s="21"/>
      <c r="BQ368" s="21"/>
      <c r="BR368" s="21"/>
    </row>
    <row r="369" spans="1:70" s="261" customFormat="1" ht="14.75" customHeight="1">
      <c r="A369" s="64" t="s">
        <v>673</v>
      </c>
      <c r="B369" s="256">
        <v>40</v>
      </c>
      <c r="C369" s="263" t="s">
        <v>939</v>
      </c>
      <c r="D369" s="264"/>
      <c r="E369" s="264"/>
      <c r="F369" s="264"/>
      <c r="G369" s="264"/>
      <c r="H369" s="264"/>
      <c r="I369" s="264"/>
      <c r="J369" s="264"/>
      <c r="K369" s="264"/>
      <c r="L369" s="264"/>
      <c r="M369" s="476"/>
      <c r="N369" s="476"/>
      <c r="O369" s="477"/>
      <c r="P369" s="64"/>
      <c r="Q369" s="21"/>
      <c r="R369" s="21"/>
      <c r="W369" s="262"/>
      <c r="X369" s="262"/>
      <c r="AA369" s="473">
        <v>2</v>
      </c>
      <c r="AB369" s="22">
        <f>IF(AC369="0",1,2)</f>
        <v>2</v>
      </c>
      <c r="AC369" s="262"/>
      <c r="AD369" s="22">
        <f>ROW()</f>
        <v>369</v>
      </c>
      <c r="AE369" s="22"/>
      <c r="AF369" s="22"/>
      <c r="AG369" s="22"/>
      <c r="AH369" s="22"/>
      <c r="AI369" s="22"/>
      <c r="AJ369" s="22"/>
      <c r="AK369" s="22"/>
      <c r="AL369" s="22"/>
      <c r="AM369" s="22"/>
      <c r="AN369" s="22"/>
      <c r="AO369" s="22"/>
      <c r="AP369" s="22"/>
      <c r="AQ369" s="21"/>
      <c r="BA369" s="21"/>
      <c r="BB369" s="30" t="s">
        <v>940</v>
      </c>
      <c r="BC369" s="21" t="s">
        <v>127</v>
      </c>
      <c r="BD369" s="21" t="b">
        <v>1</v>
      </c>
      <c r="BE369" s="21">
        <f>H386</f>
        <v>0</v>
      </c>
      <c r="BF369" s="21" t="str">
        <f>""&amp;H386</f>
        <v/>
      </c>
      <c r="BG369" s="21" t="b">
        <v>1</v>
      </c>
      <c r="BH369" s="21" t="b">
        <v>0</v>
      </c>
      <c r="BI369" s="21"/>
      <c r="BJ369" s="21"/>
      <c r="BK369" s="21" t="str">
        <f ca="1">_xlfn.FORMULATEXT(BE369)</f>
        <v>=H386</v>
      </c>
      <c r="BL369" s="21" t="str">
        <f ca="1">_xlfn.FORMULATEXT(BE369)</f>
        <v>=H386</v>
      </c>
      <c r="BM369" s="21"/>
      <c r="BN369" s="21"/>
      <c r="BO369" s="21"/>
      <c r="BP369" s="21"/>
      <c r="BQ369" s="21"/>
      <c r="BR369" s="21"/>
    </row>
    <row r="370" spans="1:70" s="261" customFormat="1" ht="14.4" customHeight="1">
      <c r="A370" s="64" t="s">
        <v>673</v>
      </c>
      <c r="B370" s="266"/>
      <c r="C370" s="208" t="s">
        <v>941</v>
      </c>
      <c r="D370" s="209"/>
      <c r="E370" s="209"/>
      <c r="F370" s="209"/>
      <c r="G370" s="209"/>
      <c r="H370" s="209"/>
      <c r="I370" s="209"/>
      <c r="J370" s="209"/>
      <c r="K370" s="209"/>
      <c r="L370" s="209"/>
      <c r="M370" s="479"/>
      <c r="N370" s="478"/>
      <c r="O370" s="480"/>
      <c r="P370" s="64"/>
      <c r="Q370" s="21"/>
      <c r="R370" s="21"/>
      <c r="W370" s="262"/>
      <c r="X370" s="262"/>
      <c r="AA370" s="262"/>
      <c r="AB370" s="262"/>
      <c r="AC370" s="262"/>
      <c r="AD370" s="22">
        <f>ROW()</f>
        <v>370</v>
      </c>
      <c r="AE370" s="22"/>
      <c r="AF370" s="22"/>
      <c r="AG370" s="22"/>
      <c r="AH370" s="22"/>
      <c r="AI370" s="22"/>
      <c r="AJ370" s="22"/>
      <c r="AK370" s="22"/>
      <c r="AL370" s="22"/>
      <c r="AM370" s="22"/>
      <c r="AN370" s="22"/>
      <c r="AO370" s="22"/>
      <c r="AP370" s="22"/>
      <c r="BA370" s="21"/>
      <c r="BB370" s="30" t="s">
        <v>942</v>
      </c>
      <c r="BC370" s="21" t="s">
        <v>127</v>
      </c>
      <c r="BD370" s="21" t="b">
        <v>1</v>
      </c>
      <c r="BE370" s="21">
        <f>K386</f>
        <v>0</v>
      </c>
      <c r="BF370" s="21" t="str">
        <f>""&amp;K386</f>
        <v/>
      </c>
      <c r="BG370" s="21" t="b">
        <v>1</v>
      </c>
      <c r="BH370" s="21" t="b">
        <v>0</v>
      </c>
      <c r="BI370" s="21"/>
      <c r="BJ370" s="21"/>
      <c r="BK370" s="21" t="str">
        <f ca="1">_xlfn.FORMULATEXT(BE370)</f>
        <v>=K386</v>
      </c>
      <c r="BL370" s="21" t="str">
        <f ca="1">_xlfn.FORMULATEXT(BE370)</f>
        <v>=K386</v>
      </c>
      <c r="BM370" s="21"/>
      <c r="BN370" s="21"/>
      <c r="BO370" s="21"/>
      <c r="BP370" s="21"/>
      <c r="BQ370" s="21"/>
      <c r="BR370" s="21"/>
    </row>
    <row r="371" spans="1:70" s="261" customFormat="1" ht="14.5">
      <c r="A371" s="64" t="s">
        <v>673</v>
      </c>
      <c r="B371" s="256">
        <v>41</v>
      </c>
      <c r="C371" s="195" t="s">
        <v>943</v>
      </c>
      <c r="D371" s="196"/>
      <c r="E371" s="196"/>
      <c r="F371" s="196"/>
      <c r="G371" s="196"/>
      <c r="H371" s="196"/>
      <c r="I371" s="196"/>
      <c r="J371" s="196"/>
      <c r="K371" s="196"/>
      <c r="L371" s="197"/>
      <c r="M371" s="470"/>
      <c r="N371" s="469"/>
      <c r="O371" s="471"/>
      <c r="P371" s="64"/>
      <c r="Q371" s="21"/>
      <c r="R371" s="21"/>
      <c r="W371" s="262"/>
      <c r="X371" s="262"/>
      <c r="AA371" s="262"/>
      <c r="AB371" s="262"/>
      <c r="AC371" s="262"/>
      <c r="AD371" s="22">
        <f>ROW()</f>
        <v>371</v>
      </c>
      <c r="AE371" s="22"/>
      <c r="AF371" s="22"/>
      <c r="AG371" s="22"/>
      <c r="AH371" s="22"/>
      <c r="AI371" s="22"/>
      <c r="AJ371" s="22"/>
      <c r="AK371" s="22"/>
      <c r="AL371" s="22"/>
      <c r="AM371" s="22"/>
      <c r="AN371" s="22"/>
      <c r="AO371" s="22"/>
      <c r="AP371" s="22"/>
      <c r="BA371" s="21"/>
      <c r="BB371" s="30" t="s">
        <v>944</v>
      </c>
      <c r="BC371" s="21" t="s">
        <v>127</v>
      </c>
      <c r="BD371" s="21" t="b">
        <v>1</v>
      </c>
      <c r="BE371" s="21">
        <f>N386</f>
        <v>0</v>
      </c>
      <c r="BF371" s="21" t="str">
        <f>""&amp;N386</f>
        <v/>
      </c>
      <c r="BG371" s="21" t="b">
        <v>1</v>
      </c>
      <c r="BH371" s="21" t="b">
        <v>0</v>
      </c>
      <c r="BI371" s="21"/>
      <c r="BJ371" s="21"/>
      <c r="BK371" s="21" t="str">
        <f ca="1">_xlfn.FORMULATEXT(BE371)</f>
        <v>=N386</v>
      </c>
      <c r="BL371" s="21" t="str">
        <f ca="1">_xlfn.FORMULATEXT(BE371)</f>
        <v>=N386</v>
      </c>
      <c r="BM371" s="21"/>
      <c r="BN371" s="21"/>
      <c r="BO371" s="21"/>
      <c r="BP371" s="21"/>
      <c r="BQ371" s="21"/>
      <c r="BR371" s="21"/>
    </row>
    <row r="372" spans="1:70" s="261" customFormat="1" ht="14.5">
      <c r="A372" s="64" t="s">
        <v>673</v>
      </c>
      <c r="B372" s="256">
        <v>42</v>
      </c>
      <c r="C372" s="195" t="s">
        <v>945</v>
      </c>
      <c r="D372" s="196"/>
      <c r="E372" s="196"/>
      <c r="F372" s="196"/>
      <c r="G372" s="196"/>
      <c r="H372" s="196"/>
      <c r="I372" s="196"/>
      <c r="J372" s="196"/>
      <c r="K372" s="196"/>
      <c r="L372" s="197"/>
      <c r="M372" s="470"/>
      <c r="N372" s="469"/>
      <c r="O372" s="471"/>
      <c r="P372" s="64"/>
      <c r="Q372" s="21"/>
      <c r="R372" s="21"/>
      <c r="W372" s="262"/>
      <c r="X372" s="262"/>
      <c r="AA372" s="262"/>
      <c r="AB372" s="262"/>
      <c r="AC372" s="262"/>
      <c r="AD372" s="22">
        <f>ROW()</f>
        <v>372</v>
      </c>
      <c r="AE372" s="22"/>
      <c r="AF372" s="22"/>
      <c r="AG372" s="22"/>
      <c r="AH372" s="22"/>
      <c r="AI372" s="22"/>
      <c r="AJ372" s="22"/>
      <c r="AK372" s="22"/>
      <c r="AL372" s="22"/>
      <c r="AM372" s="22"/>
      <c r="AN372" s="22"/>
      <c r="AO372" s="22"/>
      <c r="AP372" s="22"/>
      <c r="BA372" s="21"/>
      <c r="BB372" s="30" t="s">
        <v>946</v>
      </c>
      <c r="BC372" s="21" t="s">
        <v>127</v>
      </c>
      <c r="BD372" s="21" t="b">
        <v>1</v>
      </c>
      <c r="BE372" s="21">
        <f>E387</f>
        <v>0</v>
      </c>
      <c r="BF372" s="21" t="str">
        <f>""&amp;E387</f>
        <v/>
      </c>
      <c r="BG372" s="21" t="b">
        <v>1</v>
      </c>
      <c r="BH372" s="21" t="b">
        <v>0</v>
      </c>
      <c r="BI372" s="21"/>
      <c r="BJ372" s="21"/>
      <c r="BK372" s="21" t="str">
        <f ca="1">_xlfn.FORMULATEXT(BE372)</f>
        <v>=E387</v>
      </c>
      <c r="BL372" s="21" t="str">
        <f ca="1">_xlfn.FORMULATEXT(BE372)</f>
        <v>=E387</v>
      </c>
      <c r="BM372" s="21"/>
      <c r="BN372" s="21"/>
      <c r="BO372" s="21"/>
      <c r="BP372" s="21"/>
      <c r="BQ372" s="21"/>
      <c r="BR372" s="21"/>
    </row>
    <row r="373" spans="1:70" s="261" customFormat="1" ht="14.5">
      <c r="A373" s="64" t="s">
        <v>673</v>
      </c>
      <c r="B373" s="256">
        <v>43</v>
      </c>
      <c r="C373" s="195" t="s">
        <v>947</v>
      </c>
      <c r="D373" s="196"/>
      <c r="E373" s="196"/>
      <c r="F373" s="196"/>
      <c r="G373" s="196"/>
      <c r="H373" s="196"/>
      <c r="I373" s="196"/>
      <c r="J373" s="196"/>
      <c r="K373" s="196"/>
      <c r="L373" s="197"/>
      <c r="M373" s="470"/>
      <c r="N373" s="469"/>
      <c r="O373" s="471"/>
      <c r="P373" s="64"/>
      <c r="Q373" s="21"/>
      <c r="R373" s="21"/>
      <c r="W373" s="262"/>
      <c r="X373" s="262"/>
      <c r="AA373" s="262"/>
      <c r="AB373" s="262"/>
      <c r="AC373" s="262"/>
      <c r="AD373" s="22">
        <f>ROW()</f>
        <v>373</v>
      </c>
      <c r="AE373" s="22"/>
      <c r="AF373" s="22"/>
      <c r="AG373" s="22"/>
      <c r="AH373" s="22"/>
      <c r="AI373" s="22"/>
      <c r="AJ373" s="22"/>
      <c r="AK373" s="22"/>
      <c r="AL373" s="22"/>
      <c r="AM373" s="22"/>
      <c r="AN373" s="22"/>
      <c r="AO373" s="22"/>
      <c r="AP373" s="22"/>
      <c r="BA373" s="21"/>
      <c r="BB373" s="30" t="s">
        <v>948</v>
      </c>
      <c r="BC373" s="21" t="s">
        <v>127</v>
      </c>
      <c r="BD373" s="21" t="b">
        <v>1</v>
      </c>
      <c r="BE373" s="21">
        <f>H387</f>
        <v>0</v>
      </c>
      <c r="BF373" s="21" t="str">
        <f>""&amp;H387</f>
        <v/>
      </c>
      <c r="BG373" s="21" t="b">
        <v>1</v>
      </c>
      <c r="BH373" s="21" t="b">
        <v>0</v>
      </c>
      <c r="BI373" s="21"/>
      <c r="BJ373" s="21"/>
      <c r="BK373" s="21" t="str">
        <f ca="1">_xlfn.FORMULATEXT(BE373)</f>
        <v>=H387</v>
      </c>
      <c r="BL373" s="21" t="str">
        <f ca="1">_xlfn.FORMULATEXT(BE373)</f>
        <v>=H387</v>
      </c>
      <c r="BM373" s="21"/>
      <c r="BN373" s="21"/>
      <c r="BO373" s="21"/>
      <c r="BP373" s="21"/>
      <c r="BQ373" s="21"/>
      <c r="BR373" s="21"/>
    </row>
    <row r="374" spans="1:70" s="261" customFormat="1" ht="14.5">
      <c r="A374" s="64" t="s">
        <v>673</v>
      </c>
      <c r="B374" s="256">
        <v>44</v>
      </c>
      <c r="C374" s="195" t="s">
        <v>949</v>
      </c>
      <c r="D374" s="196"/>
      <c r="E374" s="196"/>
      <c r="F374" s="196"/>
      <c r="G374" s="196"/>
      <c r="H374" s="196"/>
      <c r="I374" s="196"/>
      <c r="J374" s="196"/>
      <c r="K374" s="196"/>
      <c r="L374" s="197"/>
      <c r="M374" s="470"/>
      <c r="N374" s="469"/>
      <c r="O374" s="471"/>
      <c r="P374" s="64"/>
      <c r="Q374" s="21"/>
      <c r="R374" s="21"/>
      <c r="W374" s="262"/>
      <c r="X374" s="262"/>
      <c r="AA374" s="262"/>
      <c r="AB374" s="262"/>
      <c r="AC374" s="262"/>
      <c r="AD374" s="22">
        <f>ROW()</f>
        <v>374</v>
      </c>
      <c r="AE374" s="22"/>
      <c r="AF374" s="22"/>
      <c r="AG374" s="22"/>
      <c r="AH374" s="22"/>
      <c r="AI374" s="22"/>
      <c r="AJ374" s="22"/>
      <c r="AK374" s="22"/>
      <c r="AL374" s="22"/>
      <c r="AM374" s="22"/>
      <c r="AN374" s="22"/>
      <c r="AO374" s="22"/>
      <c r="AP374" s="22"/>
      <c r="BA374" s="21"/>
      <c r="BB374" s="30" t="s">
        <v>950</v>
      </c>
      <c r="BC374" s="21" t="s">
        <v>127</v>
      </c>
      <c r="BD374" s="21" t="b">
        <v>1</v>
      </c>
      <c r="BE374" s="21">
        <f>K387</f>
        <v>0</v>
      </c>
      <c r="BF374" s="21" t="str">
        <f>""&amp;K387</f>
        <v/>
      </c>
      <c r="BG374" s="21" t="b">
        <v>1</v>
      </c>
      <c r="BH374" s="21" t="b">
        <v>0</v>
      </c>
      <c r="BI374" s="21"/>
      <c r="BJ374" s="21"/>
      <c r="BK374" s="21" t="str">
        <f ca="1">_xlfn.FORMULATEXT(BE374)</f>
        <v>=K387</v>
      </c>
      <c r="BL374" s="21" t="str">
        <f ca="1">_xlfn.FORMULATEXT(BE374)</f>
        <v>=K387</v>
      </c>
      <c r="BM374" s="21"/>
      <c r="BN374" s="21"/>
      <c r="BO374" s="21"/>
      <c r="BP374" s="21"/>
      <c r="BQ374" s="21"/>
      <c r="BR374" s="21"/>
    </row>
    <row r="375" spans="1:70" s="261" customFormat="1" ht="14.5">
      <c r="A375" s="64" t="s">
        <v>673</v>
      </c>
      <c r="B375" s="256">
        <v>45</v>
      </c>
      <c r="C375" s="195" t="s">
        <v>951</v>
      </c>
      <c r="D375" s="196"/>
      <c r="E375" s="196"/>
      <c r="F375" s="196"/>
      <c r="G375" s="196"/>
      <c r="H375" s="196"/>
      <c r="I375" s="196"/>
      <c r="J375" s="196"/>
      <c r="K375" s="196"/>
      <c r="L375" s="197"/>
      <c r="M375" s="470"/>
      <c r="N375" s="469"/>
      <c r="O375" s="471"/>
      <c r="P375" s="64"/>
      <c r="Q375" s="21"/>
      <c r="R375" s="21"/>
      <c r="W375" s="262"/>
      <c r="X375" s="262"/>
      <c r="AA375" s="262"/>
      <c r="AB375" s="262"/>
      <c r="AC375" s="262"/>
      <c r="AD375" s="22">
        <f>ROW()</f>
        <v>375</v>
      </c>
      <c r="AE375" s="22"/>
      <c r="AF375" s="22"/>
      <c r="AG375" s="22"/>
      <c r="AH375" s="22"/>
      <c r="AI375" s="22"/>
      <c r="AJ375" s="22"/>
      <c r="AK375" s="22"/>
      <c r="AL375" s="22"/>
      <c r="AM375" s="22"/>
      <c r="AN375" s="22"/>
      <c r="AO375" s="22"/>
      <c r="AP375" s="22"/>
      <c r="BA375" s="21"/>
      <c r="BB375" s="30" t="s">
        <v>952</v>
      </c>
      <c r="BC375" s="21" t="s">
        <v>127</v>
      </c>
      <c r="BD375" s="21" t="b">
        <v>1</v>
      </c>
      <c r="BE375" s="21">
        <f>N387</f>
        <v>0</v>
      </c>
      <c r="BF375" s="21" t="str">
        <f>""&amp;N387</f>
        <v/>
      </c>
      <c r="BG375" s="21" t="b">
        <v>1</v>
      </c>
      <c r="BH375" s="21" t="b">
        <v>0</v>
      </c>
      <c r="BI375" s="21"/>
      <c r="BJ375" s="21"/>
      <c r="BK375" s="21" t="str">
        <f ca="1">_xlfn.FORMULATEXT(BE375)</f>
        <v>=N387</v>
      </c>
      <c r="BL375" s="21" t="str">
        <f ca="1">_xlfn.FORMULATEXT(BE375)</f>
        <v>=N387</v>
      </c>
      <c r="BM375" s="21"/>
      <c r="BN375" s="21"/>
      <c r="BO375" s="21"/>
      <c r="BP375" s="21"/>
      <c r="BQ375" s="21"/>
      <c r="BR375" s="21"/>
    </row>
    <row r="376" spans="1:70" s="261" customFormat="1" ht="14.5">
      <c r="A376" s="64" t="s">
        <v>673</v>
      </c>
      <c r="B376" s="256">
        <v>46</v>
      </c>
      <c r="C376" s="195" t="s">
        <v>953</v>
      </c>
      <c r="D376" s="196"/>
      <c r="E376" s="196"/>
      <c r="F376" s="196"/>
      <c r="G376" s="196"/>
      <c r="H376" s="196"/>
      <c r="I376" s="196"/>
      <c r="J376" s="196"/>
      <c r="K376" s="196"/>
      <c r="L376" s="197"/>
      <c r="M376" s="470"/>
      <c r="N376" s="469"/>
      <c r="O376" s="471"/>
      <c r="P376" s="64"/>
      <c r="Q376" s="21"/>
      <c r="R376" s="21"/>
      <c r="W376" s="262"/>
      <c r="X376" s="262"/>
      <c r="AA376" s="262"/>
      <c r="AB376" s="262"/>
      <c r="AC376" s="262"/>
      <c r="AD376" s="22">
        <f>ROW()</f>
        <v>376</v>
      </c>
      <c r="AE376" s="22"/>
      <c r="AF376" s="22"/>
      <c r="AG376" s="22"/>
      <c r="AH376" s="22"/>
      <c r="AI376" s="22"/>
      <c r="AJ376" s="22"/>
      <c r="AK376" s="22"/>
      <c r="AL376" s="22"/>
      <c r="AM376" s="22"/>
      <c r="AN376" s="22"/>
      <c r="AO376" s="22"/>
      <c r="AP376" s="22"/>
      <c r="BA376" s="21"/>
      <c r="BB376" s="30" t="s">
        <v>954</v>
      </c>
      <c r="BC376" s="21" t="s">
        <v>127</v>
      </c>
      <c r="BD376" s="21" t="b">
        <v>1</v>
      </c>
      <c r="BE376" s="21">
        <f>E388</f>
        <v>0</v>
      </c>
      <c r="BF376" s="21" t="str">
        <f>""&amp;E388</f>
        <v/>
      </c>
      <c r="BG376" s="21" t="b">
        <v>1</v>
      </c>
      <c r="BH376" s="21" t="b">
        <v>0</v>
      </c>
      <c r="BI376" s="21"/>
      <c r="BJ376" s="21"/>
      <c r="BK376" s="21" t="str">
        <f ca="1">_xlfn.FORMULATEXT(BE376)</f>
        <v>=E388</v>
      </c>
      <c r="BL376" s="21" t="str">
        <f ca="1">_xlfn.FORMULATEXT(BE376)</f>
        <v>=E388</v>
      </c>
      <c r="BM376" s="21"/>
      <c r="BN376" s="21"/>
      <c r="BO376" s="21"/>
      <c r="BP376" s="21"/>
      <c r="BQ376" s="21"/>
      <c r="BR376" s="21"/>
    </row>
    <row r="377" spans="1:70" s="261" customFormat="1" ht="14.5">
      <c r="A377" s="64" t="s">
        <v>673</v>
      </c>
      <c r="B377" s="256">
        <v>47</v>
      </c>
      <c r="C377" s="195" t="s">
        <v>955</v>
      </c>
      <c r="D377" s="196"/>
      <c r="E377" s="196"/>
      <c r="F377" s="196"/>
      <c r="G377" s="196"/>
      <c r="H377" s="196"/>
      <c r="I377" s="196"/>
      <c r="J377" s="196"/>
      <c r="K377" s="196"/>
      <c r="L377" s="197"/>
      <c r="M377" s="470"/>
      <c r="N377" s="469"/>
      <c r="O377" s="471"/>
      <c r="P377" s="64"/>
      <c r="Q377" s="21"/>
      <c r="R377" s="21"/>
      <c r="W377" s="262"/>
      <c r="X377" s="262"/>
      <c r="AA377" s="262"/>
      <c r="AB377" s="262"/>
      <c r="AC377" s="262"/>
      <c r="AD377" s="22">
        <f>ROW()</f>
        <v>377</v>
      </c>
      <c r="AE377" s="22"/>
      <c r="AF377" s="22"/>
      <c r="AG377" s="22"/>
      <c r="AH377" s="22"/>
      <c r="AI377" s="22"/>
      <c r="AJ377" s="22"/>
      <c r="AK377" s="22"/>
      <c r="AL377" s="22"/>
      <c r="AM377" s="22"/>
      <c r="AN377" s="22"/>
      <c r="AO377" s="22"/>
      <c r="AP377" s="22"/>
      <c r="BA377" s="21"/>
      <c r="BB377" s="30" t="s">
        <v>956</v>
      </c>
      <c r="BC377" s="21" t="s">
        <v>127</v>
      </c>
      <c r="BD377" s="21" t="b">
        <v>1</v>
      </c>
      <c r="BE377" s="21">
        <f>H388</f>
        <v>0</v>
      </c>
      <c r="BF377" s="21" t="str">
        <f>""&amp;H388</f>
        <v/>
      </c>
      <c r="BG377" s="21" t="b">
        <v>1</v>
      </c>
      <c r="BH377" s="21" t="b">
        <v>0</v>
      </c>
      <c r="BI377" s="21"/>
      <c r="BJ377" s="21"/>
      <c r="BK377" s="21" t="str">
        <f ca="1">_xlfn.FORMULATEXT(BE377)</f>
        <v>=H388</v>
      </c>
      <c r="BL377" s="21" t="str">
        <f ca="1">_xlfn.FORMULATEXT(BE377)</f>
        <v>=H388</v>
      </c>
      <c r="BM377" s="21"/>
      <c r="BN377" s="21"/>
      <c r="BO377" s="21"/>
      <c r="BP377" s="21"/>
      <c r="BQ377" s="21"/>
      <c r="BR377" s="21"/>
    </row>
    <row r="378" spans="1:70" s="261" customFormat="1" ht="14.5">
      <c r="A378" s="64" t="s">
        <v>673</v>
      </c>
      <c r="B378" s="64"/>
      <c r="C378" s="64"/>
      <c r="D378" s="64"/>
      <c r="E378" s="64"/>
      <c r="F378" s="64"/>
      <c r="G378" s="64"/>
      <c r="H378" s="64"/>
      <c r="I378" s="64"/>
      <c r="J378" s="64"/>
      <c r="K378" s="64"/>
      <c r="L378" s="64"/>
      <c r="M378" s="64"/>
      <c r="N378" s="64"/>
      <c r="O378" s="64"/>
      <c r="P378" s="64"/>
      <c r="Q378" s="21"/>
      <c r="R378" s="21"/>
      <c r="W378" s="262"/>
      <c r="X378" s="262"/>
      <c r="AA378" s="262"/>
      <c r="AB378" s="262"/>
      <c r="AC378" s="262"/>
      <c r="AD378" s="22">
        <f>ROW()</f>
        <v>378</v>
      </c>
      <c r="AE378" s="22"/>
      <c r="AF378" s="22"/>
      <c r="AG378" s="22"/>
      <c r="AH378" s="22"/>
      <c r="AI378" s="22"/>
      <c r="AJ378" s="22"/>
      <c r="AK378" s="22"/>
      <c r="AL378" s="22"/>
      <c r="AM378" s="22"/>
      <c r="AN378" s="22"/>
      <c r="AO378" s="22"/>
      <c r="AP378" s="22"/>
      <c r="BA378" s="21"/>
      <c r="BB378" s="30" t="s">
        <v>957</v>
      </c>
      <c r="BC378" s="21" t="s">
        <v>127</v>
      </c>
      <c r="BD378" s="21" t="b">
        <v>1</v>
      </c>
      <c r="BE378" s="21">
        <f>K388</f>
        <v>0</v>
      </c>
      <c r="BF378" s="21" t="str">
        <f>""&amp;K388</f>
        <v/>
      </c>
      <c r="BG378" s="21" t="b">
        <v>1</v>
      </c>
      <c r="BH378" s="21" t="b">
        <v>0</v>
      </c>
      <c r="BI378" s="21"/>
      <c r="BJ378" s="21"/>
      <c r="BK378" s="21" t="str">
        <f ca="1">_xlfn.FORMULATEXT(BE378)</f>
        <v>=K388</v>
      </c>
      <c r="BL378" s="21" t="str">
        <f ca="1">_xlfn.FORMULATEXT(BE378)</f>
        <v>=K388</v>
      </c>
      <c r="BM378" s="21"/>
      <c r="BN378" s="21"/>
      <c r="BO378" s="21"/>
      <c r="BP378" s="21"/>
      <c r="BQ378" s="21"/>
      <c r="BR378" s="21"/>
    </row>
    <row r="379" spans="1:70" s="261" customFormat="1" ht="14.5">
      <c r="A379" s="64" t="s">
        <v>673</v>
      </c>
      <c r="B379" s="158" t="s">
        <v>959</v>
      </c>
      <c r="C379" s="158"/>
      <c r="D379" s="158"/>
      <c r="E379" s="158"/>
      <c r="F379" s="158"/>
      <c r="G379" s="158"/>
      <c r="H379" s="158"/>
      <c r="I379" s="158"/>
      <c r="J379" s="158"/>
      <c r="K379" s="158"/>
      <c r="L379" s="64"/>
      <c r="M379" s="64"/>
      <c r="N379" s="64"/>
      <c r="O379" s="64"/>
      <c r="P379" s="64"/>
      <c r="Q379" s="21"/>
      <c r="R379" s="21"/>
      <c r="W379" s="262"/>
      <c r="X379" s="262"/>
      <c r="AA379" s="262"/>
      <c r="AB379" s="262"/>
      <c r="AC379" s="262"/>
      <c r="AD379" s="22">
        <f>ROW()</f>
        <v>379</v>
      </c>
      <c r="AE379" s="22"/>
      <c r="AF379" s="22"/>
      <c r="AG379" s="22"/>
      <c r="AH379" s="22"/>
      <c r="AI379" s="22"/>
      <c r="AJ379" s="22"/>
      <c r="AK379" s="22"/>
      <c r="AL379" s="22"/>
      <c r="AM379" s="22"/>
      <c r="AN379" s="22"/>
      <c r="AO379" s="22"/>
      <c r="AP379" s="22"/>
      <c r="BA379" s="21"/>
      <c r="BB379" s="30" t="s">
        <v>960</v>
      </c>
      <c r="BC379" s="21" t="s">
        <v>127</v>
      </c>
      <c r="BD379" s="21" t="b">
        <v>1</v>
      </c>
      <c r="BE379" s="21">
        <f>N388</f>
        <v>0</v>
      </c>
      <c r="BF379" s="21" t="str">
        <f>""&amp;N388</f>
        <v/>
      </c>
      <c r="BG379" s="21" t="b">
        <v>1</v>
      </c>
      <c r="BH379" s="21" t="b">
        <v>0</v>
      </c>
      <c r="BI379" s="21"/>
      <c r="BJ379" s="21"/>
      <c r="BK379" s="21" t="str">
        <f ca="1">_xlfn.FORMULATEXT(BE379)</f>
        <v>=N388</v>
      </c>
      <c r="BL379" s="21" t="str">
        <f ca="1">_xlfn.FORMULATEXT(BE379)</f>
        <v>=N388</v>
      </c>
      <c r="BM379" s="21"/>
      <c r="BN379" s="21"/>
      <c r="BO379" s="21"/>
      <c r="BP379" s="21"/>
      <c r="BQ379" s="21"/>
      <c r="BR379" s="21"/>
    </row>
    <row r="380" spans="1:70" s="261" customFormat="1" ht="14.5">
      <c r="A380" s="64" t="s">
        <v>673</v>
      </c>
      <c r="B380" s="267" t="s">
        <v>625</v>
      </c>
      <c r="C380" s="268"/>
      <c r="D380" s="268"/>
      <c r="E380" s="269" t="s">
        <v>961</v>
      </c>
      <c r="F380" s="270"/>
      <c r="G380" s="271"/>
      <c r="H380" s="269" t="s">
        <v>962</v>
      </c>
      <c r="I380" s="270"/>
      <c r="J380" s="271"/>
      <c r="K380" s="269" t="s">
        <v>963</v>
      </c>
      <c r="L380" s="270"/>
      <c r="M380" s="271"/>
      <c r="N380" s="272" t="s">
        <v>964</v>
      </c>
      <c r="O380" s="273"/>
      <c r="P380" s="64"/>
      <c r="Q380" s="21"/>
      <c r="R380" s="21"/>
      <c r="W380" s="262"/>
      <c r="X380" s="262"/>
      <c r="AA380" s="262"/>
      <c r="AB380" s="262"/>
      <c r="AC380" s="262"/>
      <c r="AD380" s="22">
        <f>ROW()</f>
        <v>380</v>
      </c>
      <c r="AE380" s="22"/>
      <c r="AF380" s="22"/>
      <c r="AG380" s="22"/>
      <c r="AH380" s="22"/>
      <c r="AI380" s="22"/>
      <c r="AJ380" s="22"/>
      <c r="AK380" s="22"/>
      <c r="AL380" s="22"/>
      <c r="AM380" s="22"/>
      <c r="AN380" s="22"/>
      <c r="AO380" s="22"/>
      <c r="AP380" s="22"/>
      <c r="BA380" s="21"/>
      <c r="BB380" s="30" t="s">
        <v>965</v>
      </c>
      <c r="BC380" s="21" t="s">
        <v>127</v>
      </c>
      <c r="BD380" s="21" t="b">
        <v>1</v>
      </c>
      <c r="BE380" s="21">
        <f>E389</f>
        <v>0</v>
      </c>
      <c r="BF380" s="21" t="str">
        <f>""&amp;E389</f>
        <v/>
      </c>
      <c r="BG380" s="21" t="b">
        <v>1</v>
      </c>
      <c r="BH380" s="21" t="b">
        <v>0</v>
      </c>
      <c r="BI380" s="21"/>
      <c r="BJ380" s="21"/>
      <c r="BK380" s="21" t="str">
        <f ca="1">_xlfn.FORMULATEXT(BE380)</f>
        <v>=E389</v>
      </c>
      <c r="BL380" s="21" t="str">
        <f ca="1">_xlfn.FORMULATEXT(BE380)</f>
        <v>=E389</v>
      </c>
      <c r="BM380" s="21"/>
      <c r="BN380" s="21"/>
      <c r="BO380" s="21"/>
      <c r="BP380" s="21"/>
      <c r="BQ380" s="21"/>
      <c r="BR380" s="21"/>
    </row>
    <row r="381" spans="1:70" s="261" customFormat="1" ht="14.5">
      <c r="A381" s="64" t="s">
        <v>673</v>
      </c>
      <c r="B381" s="233" t="s">
        <v>966</v>
      </c>
      <c r="C381" s="234"/>
      <c r="D381" s="234"/>
      <c r="E381" s="481"/>
      <c r="F381" s="481"/>
      <c r="G381" s="481"/>
      <c r="H381" s="481"/>
      <c r="I381" s="481"/>
      <c r="J381" s="481"/>
      <c r="K381" s="481"/>
      <c r="L381" s="481"/>
      <c r="M381" s="481"/>
      <c r="N381" s="481"/>
      <c r="O381" s="481"/>
      <c r="P381" s="64"/>
      <c r="Q381" s="21"/>
      <c r="R381" s="21"/>
      <c r="W381" s="262"/>
      <c r="X381" s="262"/>
      <c r="AA381" s="262"/>
      <c r="AB381" s="262"/>
      <c r="AC381" s="262"/>
      <c r="AD381" s="22">
        <f>ROW()</f>
        <v>381</v>
      </c>
      <c r="AE381" s="22"/>
      <c r="AF381" s="22"/>
      <c r="AG381" s="22"/>
      <c r="AH381" s="22"/>
      <c r="AI381" s="22"/>
      <c r="AJ381" s="22"/>
      <c r="AK381" s="22"/>
      <c r="AL381" s="22"/>
      <c r="AM381" s="22"/>
      <c r="AN381" s="22"/>
      <c r="AO381" s="22"/>
      <c r="AP381" s="22"/>
      <c r="BA381" s="21"/>
      <c r="BB381" s="30" t="s">
        <v>967</v>
      </c>
      <c r="BC381" s="21" t="s">
        <v>127</v>
      </c>
      <c r="BD381" s="21" t="b">
        <v>1</v>
      </c>
      <c r="BE381" s="21">
        <f>H389</f>
        <v>0</v>
      </c>
      <c r="BF381" s="21" t="str">
        <f>""&amp;H389</f>
        <v/>
      </c>
      <c r="BG381" s="21" t="b">
        <v>1</v>
      </c>
      <c r="BH381" s="21" t="b">
        <v>0</v>
      </c>
      <c r="BI381" s="21"/>
      <c r="BJ381" s="21"/>
      <c r="BK381" s="21" t="str">
        <f ca="1">_xlfn.FORMULATEXT(BE381)</f>
        <v>=H389</v>
      </c>
      <c r="BL381" s="21" t="str">
        <f ca="1">_xlfn.FORMULATEXT(BE381)</f>
        <v>=H389</v>
      </c>
      <c r="BM381" s="21"/>
      <c r="BN381" s="21"/>
      <c r="BO381" s="21"/>
      <c r="BP381" s="21"/>
      <c r="BQ381" s="21"/>
      <c r="BR381" s="21"/>
    </row>
    <row r="382" spans="1:83" s="274" customFormat="1" ht="14.5">
      <c r="A382" s="64" t="s">
        <v>673</v>
      </c>
      <c r="B382" s="275" t="s">
        <v>968</v>
      </c>
      <c r="C382" s="275"/>
      <c r="D382" s="275"/>
      <c r="E382" s="408"/>
      <c r="F382" s="407"/>
      <c r="G382" s="409"/>
      <c r="H382" s="408"/>
      <c r="I382" s="407"/>
      <c r="J382" s="409"/>
      <c r="K382" s="408"/>
      <c r="L382" s="407"/>
      <c r="M382" s="409"/>
      <c r="N382" s="643"/>
      <c r="O382" s="644"/>
      <c r="P382" s="64"/>
      <c r="Q382" s="21"/>
      <c r="R382" s="21"/>
      <c r="S382" s="261"/>
      <c r="T382" s="261"/>
      <c r="U382" s="261"/>
      <c r="V382" s="261"/>
      <c r="W382" s="262"/>
      <c r="X382" s="262"/>
      <c r="Y382" s="261"/>
      <c r="Z382" s="261"/>
      <c r="AA382" s="262"/>
      <c r="AB382" s="262"/>
      <c r="AC382" s="262"/>
      <c r="AD382" s="22">
        <f>ROW()</f>
        <v>382</v>
      </c>
      <c r="AE382" s="22"/>
      <c r="AF382" s="22"/>
      <c r="AG382" s="22"/>
      <c r="AH382" s="22"/>
      <c r="AI382" s="22"/>
      <c r="AJ382" s="22"/>
      <c r="AK382" s="22"/>
      <c r="AL382" s="22"/>
      <c r="AM382" s="22"/>
      <c r="AN382" s="22"/>
      <c r="AO382" s="22"/>
      <c r="AP382" s="22"/>
      <c r="AQ382" s="261"/>
      <c r="AR382" s="261"/>
      <c r="AS382" s="261"/>
      <c r="AT382" s="261"/>
      <c r="AU382" s="261"/>
      <c r="AV382" s="261"/>
      <c r="AW382" s="261"/>
      <c r="AX382" s="261"/>
      <c r="AY382" s="261"/>
      <c r="AZ382" s="261"/>
      <c r="BA382" s="21"/>
      <c r="BB382" s="30" t="s">
        <v>969</v>
      </c>
      <c r="BC382" s="21" t="s">
        <v>127</v>
      </c>
      <c r="BD382" s="21" t="b">
        <v>1</v>
      </c>
      <c r="BE382" s="21">
        <f>K389</f>
        <v>0</v>
      </c>
      <c r="BF382" s="21" t="str">
        <f>""&amp;K389</f>
        <v/>
      </c>
      <c r="BG382" s="21" t="b">
        <v>1</v>
      </c>
      <c r="BH382" s="21" t="b">
        <v>0</v>
      </c>
      <c r="BI382" s="21"/>
      <c r="BJ382" s="21"/>
      <c r="BK382" s="21" t="str">
        <f ca="1">_xlfn.FORMULATEXT(BE382)</f>
        <v>=K389</v>
      </c>
      <c r="BL382" s="21" t="str">
        <f ca="1">_xlfn.FORMULATEXT(BE382)</f>
        <v>=K389</v>
      </c>
      <c r="BM382" s="21"/>
      <c r="BN382" s="21"/>
      <c r="BO382" s="21"/>
      <c r="BP382" s="21"/>
      <c r="BQ382" s="21"/>
      <c r="BR382" s="21"/>
      <c r="BS382" s="261"/>
      <c r="BT382" s="261"/>
      <c r="BU382" s="261"/>
      <c r="BV382" s="261"/>
      <c r="BW382" s="261"/>
      <c r="BX382" s="261"/>
      <c r="CE382" s="261"/>
    </row>
    <row r="383" spans="1:70" s="274" customFormat="1" ht="14.5">
      <c r="A383" s="64" t="s">
        <v>673</v>
      </c>
      <c r="B383" s="276" t="s">
        <v>970</v>
      </c>
      <c r="C383" s="276"/>
      <c r="D383" s="276"/>
      <c r="E383" s="623" t="str" cm="1">
        <f t="array" ref="E383">TEXT(SUM(_xlfn.NUMBERVALUE(E384:G394)),"0.00")</f>
        <v>0.00</v>
      </c>
      <c r="F383" s="622"/>
      <c r="G383" s="624"/>
      <c r="H383" s="623" t="str" cm="1">
        <f t="array" ref="H383">TEXT(SUM(_xlfn.NUMBERVALUE(H384:J394)),"0.00")</f>
        <v>0.00</v>
      </c>
      <c r="I383" s="622"/>
      <c r="J383" s="624"/>
      <c r="K383" s="623" t="str" cm="1">
        <f t="array" ref="K383">TEXT(SUM(_xlfn.NUMBERVALUE(K384:M394)),"0.00")</f>
        <v>0.00</v>
      </c>
      <c r="L383" s="622"/>
      <c r="M383" s="624"/>
      <c r="N383" s="623" t="str" cm="1">
        <f t="array" ref="N383">TEXT(SUM(_xlfn.NUMBERVALUE(N384:O394)),"0.00")</f>
        <v>0.00</v>
      </c>
      <c r="O383" s="624"/>
      <c r="P383" s="64"/>
      <c r="Q383" s="21"/>
      <c r="R383" s="21"/>
      <c r="S383" s="261"/>
      <c r="T383" s="261"/>
      <c r="U383" s="261"/>
      <c r="V383" s="261"/>
      <c r="W383" s="262"/>
      <c r="X383" s="262"/>
      <c r="Y383" s="261"/>
      <c r="Z383" s="261"/>
      <c r="AA383" s="262"/>
      <c r="AB383" s="262"/>
      <c r="AC383" s="262"/>
      <c r="AD383" s="22">
        <f>ROW()</f>
        <v>383</v>
      </c>
      <c r="AE383" s="22"/>
      <c r="AF383" s="22"/>
      <c r="AG383" s="22"/>
      <c r="AH383" s="22"/>
      <c r="AI383" s="22"/>
      <c r="AJ383" s="22"/>
      <c r="AK383" s="22"/>
      <c r="AL383" s="22"/>
      <c r="AM383" s="22"/>
      <c r="AN383" s="22"/>
      <c r="AO383" s="22"/>
      <c r="AP383" s="22"/>
      <c r="AQ383" s="261"/>
      <c r="AR383" s="261"/>
      <c r="AS383" s="261"/>
      <c r="AT383" s="261"/>
      <c r="AU383" s="261"/>
      <c r="AV383" s="261"/>
      <c r="AW383" s="261"/>
      <c r="AX383" s="261"/>
      <c r="AY383" s="261"/>
      <c r="AZ383" s="261"/>
      <c r="BA383" s="21"/>
      <c r="BB383" s="30" t="s">
        <v>971</v>
      </c>
      <c r="BC383" s="21" t="s">
        <v>127</v>
      </c>
      <c r="BD383" s="21" t="b">
        <v>1</v>
      </c>
      <c r="BE383" s="21">
        <f>N389</f>
        <v>0</v>
      </c>
      <c r="BF383" s="21" t="str">
        <f>""&amp;N389</f>
        <v/>
      </c>
      <c r="BG383" s="21" t="b">
        <v>1</v>
      </c>
      <c r="BH383" s="21" t="b">
        <v>0</v>
      </c>
      <c r="BI383" s="21"/>
      <c r="BJ383" s="21"/>
      <c r="BK383" s="21" t="str">
        <f ca="1">_xlfn.FORMULATEXT(BE383)</f>
        <v>=N389</v>
      </c>
      <c r="BL383" s="21" t="str">
        <f ca="1">_xlfn.FORMULATEXT(BE383)</f>
        <v>=N389</v>
      </c>
      <c r="BM383" s="21"/>
      <c r="BN383" s="21"/>
      <c r="BO383" s="21"/>
      <c r="BP383" s="21"/>
      <c r="BQ383" s="21"/>
      <c r="BR383" s="21"/>
    </row>
    <row r="384" spans="1:70" s="274" customFormat="1" ht="14.5">
      <c r="A384" s="64" t="s">
        <v>673</v>
      </c>
      <c r="B384" s="277" t="s">
        <v>972</v>
      </c>
      <c r="C384" s="277"/>
      <c r="D384" s="277"/>
      <c r="E384" s="408"/>
      <c r="F384" s="407"/>
      <c r="G384" s="409"/>
      <c r="H384" s="408"/>
      <c r="I384" s="407"/>
      <c r="J384" s="409"/>
      <c r="K384" s="408"/>
      <c r="L384" s="407"/>
      <c r="M384" s="409"/>
      <c r="N384" s="408"/>
      <c r="O384" s="409"/>
      <c r="P384" s="64"/>
      <c r="Q384" s="21"/>
      <c r="R384" s="21"/>
      <c r="S384" s="261"/>
      <c r="T384" s="261"/>
      <c r="U384" s="261"/>
      <c r="V384" s="261"/>
      <c r="W384" s="262"/>
      <c r="X384" s="262"/>
      <c r="Y384" s="261"/>
      <c r="Z384" s="261"/>
      <c r="AA384" s="262"/>
      <c r="AB384" s="262"/>
      <c r="AC384" s="262"/>
      <c r="AD384" s="22">
        <f>ROW()</f>
        <v>384</v>
      </c>
      <c r="AE384" s="22"/>
      <c r="AF384" s="22"/>
      <c r="AG384" s="22"/>
      <c r="AH384" s="22"/>
      <c r="AI384" s="22"/>
      <c r="AJ384" s="22"/>
      <c r="AK384" s="22"/>
      <c r="AL384" s="22"/>
      <c r="AM384" s="22"/>
      <c r="AN384" s="22"/>
      <c r="AO384" s="22"/>
      <c r="AP384" s="22"/>
      <c r="AQ384" s="261"/>
      <c r="AR384" s="261"/>
      <c r="AS384" s="261"/>
      <c r="AT384" s="261"/>
      <c r="AU384" s="261"/>
      <c r="AV384" s="261"/>
      <c r="AW384" s="261"/>
      <c r="AX384" s="261"/>
      <c r="AY384" s="261"/>
      <c r="AZ384" s="261"/>
      <c r="BA384" s="21"/>
      <c r="BB384" s="30" t="s">
        <v>973</v>
      </c>
      <c r="BC384" s="21" t="s">
        <v>127</v>
      </c>
      <c r="BD384" s="21" t="b">
        <v>1</v>
      </c>
      <c r="BE384" s="21">
        <f>E390</f>
        <v>0</v>
      </c>
      <c r="BF384" s="21" t="str">
        <f>""&amp;E390</f>
        <v/>
      </c>
      <c r="BG384" s="21" t="b">
        <v>1</v>
      </c>
      <c r="BH384" s="21" t="b">
        <v>0</v>
      </c>
      <c r="BI384" s="21"/>
      <c r="BJ384" s="21"/>
      <c r="BK384" s="21" t="str">
        <f ca="1">_xlfn.FORMULATEXT(BE384)</f>
        <v>=E390</v>
      </c>
      <c r="BL384" s="21" t="str">
        <f ca="1">_xlfn.FORMULATEXT(BE384)</f>
        <v>=E390</v>
      </c>
      <c r="BM384" s="21"/>
      <c r="BN384" s="21"/>
      <c r="BO384" s="21"/>
      <c r="BP384" s="21"/>
      <c r="BQ384" s="21"/>
      <c r="BR384" s="21"/>
    </row>
    <row r="385" spans="1:70" s="274" customFormat="1" ht="14.75" customHeight="1">
      <c r="A385" s="64" t="s">
        <v>673</v>
      </c>
      <c r="B385" s="278" t="s">
        <v>974</v>
      </c>
      <c r="C385" s="279"/>
      <c r="D385" s="280"/>
      <c r="E385" s="408"/>
      <c r="F385" s="407"/>
      <c r="G385" s="409"/>
      <c r="H385" s="408"/>
      <c r="I385" s="407"/>
      <c r="J385" s="409"/>
      <c r="K385" s="408"/>
      <c r="L385" s="407"/>
      <c r="M385" s="409"/>
      <c r="N385" s="408"/>
      <c r="O385" s="409"/>
      <c r="P385" s="64"/>
      <c r="Q385" s="21"/>
      <c r="R385" s="21"/>
      <c r="S385" s="261"/>
      <c r="T385" s="261"/>
      <c r="U385" s="261"/>
      <c r="V385" s="261"/>
      <c r="W385" s="262"/>
      <c r="X385" s="262"/>
      <c r="Y385" s="261"/>
      <c r="Z385" s="261"/>
      <c r="AA385" s="262"/>
      <c r="AB385" s="262"/>
      <c r="AC385" s="262"/>
      <c r="AD385" s="22">
        <f>ROW()</f>
        <v>385</v>
      </c>
      <c r="AE385" s="22"/>
      <c r="AF385" s="22"/>
      <c r="AG385" s="22"/>
      <c r="AH385" s="22"/>
      <c r="AI385" s="22"/>
      <c r="AJ385" s="22"/>
      <c r="AK385" s="22"/>
      <c r="AL385" s="22"/>
      <c r="AM385" s="22"/>
      <c r="AN385" s="22"/>
      <c r="AO385" s="22"/>
      <c r="AP385" s="22"/>
      <c r="AQ385" s="261"/>
      <c r="AR385" s="261"/>
      <c r="AS385" s="261"/>
      <c r="AT385" s="261"/>
      <c r="AU385" s="261"/>
      <c r="AV385" s="261"/>
      <c r="AW385" s="261"/>
      <c r="AX385" s="261"/>
      <c r="AY385" s="261"/>
      <c r="AZ385" s="261"/>
      <c r="BA385" s="21"/>
      <c r="BB385" s="30" t="s">
        <v>975</v>
      </c>
      <c r="BC385" s="21" t="s">
        <v>127</v>
      </c>
      <c r="BD385" s="21" t="b">
        <v>1</v>
      </c>
      <c r="BE385" s="21">
        <f>H390</f>
        <v>0</v>
      </c>
      <c r="BF385" s="21" t="str">
        <f>""&amp;H390</f>
        <v/>
      </c>
      <c r="BG385" s="21" t="b">
        <v>1</v>
      </c>
      <c r="BH385" s="21" t="b">
        <v>0</v>
      </c>
      <c r="BI385" s="21"/>
      <c r="BJ385" s="21"/>
      <c r="BK385" s="21" t="str">
        <f ca="1">_xlfn.FORMULATEXT(BE385)</f>
        <v>=H390</v>
      </c>
      <c r="BL385" s="21" t="str">
        <f ca="1">_xlfn.FORMULATEXT(BE385)</f>
        <v>=H390</v>
      </c>
      <c r="BM385" s="21"/>
      <c r="BN385" s="21"/>
      <c r="BO385" s="21"/>
      <c r="BP385" s="21"/>
      <c r="BQ385" s="21"/>
      <c r="BR385" s="21"/>
    </row>
    <row r="386" spans="1:70" s="274" customFormat="1" ht="14.5">
      <c r="A386" s="64" t="s">
        <v>673</v>
      </c>
      <c r="B386" s="275" t="s">
        <v>976</v>
      </c>
      <c r="C386" s="275"/>
      <c r="D386" s="275"/>
      <c r="E386" s="408"/>
      <c r="F386" s="407"/>
      <c r="G386" s="409"/>
      <c r="H386" s="408"/>
      <c r="I386" s="407"/>
      <c r="J386" s="409"/>
      <c r="K386" s="408"/>
      <c r="L386" s="407"/>
      <c r="M386" s="409"/>
      <c r="N386" s="408"/>
      <c r="O386" s="409"/>
      <c r="P386" s="64"/>
      <c r="Q386" s="21"/>
      <c r="R386" s="21"/>
      <c r="S386" s="261"/>
      <c r="T386" s="261"/>
      <c r="U386" s="261"/>
      <c r="V386" s="261"/>
      <c r="W386" s="262"/>
      <c r="X386" s="262"/>
      <c r="Y386" s="261"/>
      <c r="Z386" s="261"/>
      <c r="AA386" s="262"/>
      <c r="AB386" s="262"/>
      <c r="AC386" s="262"/>
      <c r="AD386" s="22">
        <f>ROW()</f>
        <v>386</v>
      </c>
      <c r="AE386" s="22"/>
      <c r="AF386" s="22"/>
      <c r="AG386" s="22"/>
      <c r="AH386" s="22"/>
      <c r="AI386" s="22"/>
      <c r="AJ386" s="22"/>
      <c r="AK386" s="22"/>
      <c r="AL386" s="22"/>
      <c r="AM386" s="22"/>
      <c r="AN386" s="22"/>
      <c r="AO386" s="22"/>
      <c r="AP386" s="22"/>
      <c r="AQ386" s="261"/>
      <c r="AR386" s="261"/>
      <c r="AS386" s="261"/>
      <c r="AT386" s="261"/>
      <c r="AU386" s="261"/>
      <c r="AV386" s="261"/>
      <c r="AW386" s="261"/>
      <c r="AX386" s="261"/>
      <c r="AY386" s="261"/>
      <c r="AZ386" s="261"/>
      <c r="BA386" s="21"/>
      <c r="BB386" s="30" t="s">
        <v>977</v>
      </c>
      <c r="BC386" s="21" t="s">
        <v>127</v>
      </c>
      <c r="BD386" s="21" t="b">
        <v>1</v>
      </c>
      <c r="BE386" s="21">
        <f>K390</f>
        <v>0</v>
      </c>
      <c r="BF386" s="21" t="str">
        <f>""&amp;K390</f>
        <v/>
      </c>
      <c r="BG386" s="21" t="b">
        <v>1</v>
      </c>
      <c r="BH386" s="21" t="b">
        <v>0</v>
      </c>
      <c r="BI386" s="21"/>
      <c r="BJ386" s="21"/>
      <c r="BK386" s="21" t="str">
        <f ca="1">_xlfn.FORMULATEXT(BE386)</f>
        <v>=K390</v>
      </c>
      <c r="BL386" s="21" t="str">
        <f ca="1">_xlfn.FORMULATEXT(BE386)</f>
        <v>=K390</v>
      </c>
      <c r="BM386" s="21"/>
      <c r="BN386" s="21"/>
      <c r="BO386" s="21"/>
      <c r="BP386" s="21"/>
      <c r="BQ386" s="21"/>
      <c r="BR386" s="21"/>
    </row>
    <row r="387" spans="1:70" s="274" customFormat="1" ht="27.65" customHeight="1">
      <c r="A387" s="64" t="s">
        <v>673</v>
      </c>
      <c r="B387" s="281" t="s">
        <v>978</v>
      </c>
      <c r="C387" s="281"/>
      <c r="D387" s="281"/>
      <c r="E387" s="408"/>
      <c r="F387" s="407"/>
      <c r="G387" s="409"/>
      <c r="H387" s="408"/>
      <c r="I387" s="407"/>
      <c r="J387" s="409"/>
      <c r="K387" s="408"/>
      <c r="L387" s="407"/>
      <c r="M387" s="409"/>
      <c r="N387" s="408"/>
      <c r="O387" s="409"/>
      <c r="P387" s="64"/>
      <c r="Q387" s="21"/>
      <c r="R387" s="21"/>
      <c r="S387" s="261"/>
      <c r="T387" s="261"/>
      <c r="U387" s="261"/>
      <c r="V387" s="261"/>
      <c r="W387" s="262"/>
      <c r="X387" s="262"/>
      <c r="Y387" s="261"/>
      <c r="Z387" s="261"/>
      <c r="AA387" s="262"/>
      <c r="AB387" s="262"/>
      <c r="AC387" s="262"/>
      <c r="AD387" s="22">
        <f>ROW()</f>
        <v>387</v>
      </c>
      <c r="AE387" s="22"/>
      <c r="AF387" s="22"/>
      <c r="AG387" s="22"/>
      <c r="AH387" s="22"/>
      <c r="AI387" s="22"/>
      <c r="AJ387" s="22"/>
      <c r="AK387" s="22"/>
      <c r="AL387" s="22"/>
      <c r="AM387" s="22"/>
      <c r="AN387" s="22"/>
      <c r="AO387" s="22"/>
      <c r="AP387" s="22"/>
      <c r="AQ387" s="261"/>
      <c r="AR387" s="261"/>
      <c r="AS387" s="261"/>
      <c r="AT387" s="261"/>
      <c r="AU387" s="261"/>
      <c r="AV387" s="261"/>
      <c r="AW387" s="261"/>
      <c r="AX387" s="261"/>
      <c r="AY387" s="261"/>
      <c r="AZ387" s="261"/>
      <c r="BA387" s="21"/>
      <c r="BB387" s="30" t="s">
        <v>979</v>
      </c>
      <c r="BC387" s="21" t="s">
        <v>127</v>
      </c>
      <c r="BD387" s="21" t="b">
        <v>1</v>
      </c>
      <c r="BE387" s="21">
        <f>N390</f>
        <v>0</v>
      </c>
      <c r="BF387" s="21" t="str">
        <f>""&amp;N390</f>
        <v/>
      </c>
      <c r="BG387" s="21" t="b">
        <v>1</v>
      </c>
      <c r="BH387" s="21" t="b">
        <v>0</v>
      </c>
      <c r="BI387" s="21"/>
      <c r="BJ387" s="21"/>
      <c r="BK387" s="21" t="str">
        <f ca="1">_xlfn.FORMULATEXT(BE387)</f>
        <v>=N390</v>
      </c>
      <c r="BL387" s="21" t="str">
        <f ca="1">_xlfn.FORMULATEXT(BE387)</f>
        <v>=N390</v>
      </c>
      <c r="BM387" s="21"/>
      <c r="BN387" s="21"/>
      <c r="BO387" s="21"/>
      <c r="BP387" s="21"/>
      <c r="BQ387" s="21"/>
      <c r="BR387" s="21"/>
    </row>
    <row r="388" spans="1:70" s="274" customFormat="1" ht="14.75" customHeight="1">
      <c r="A388" s="64" t="s">
        <v>673</v>
      </c>
      <c r="B388" s="275" t="s">
        <v>980</v>
      </c>
      <c r="C388" s="275"/>
      <c r="D388" s="275"/>
      <c r="E388" s="408"/>
      <c r="F388" s="407"/>
      <c r="G388" s="409"/>
      <c r="H388" s="408"/>
      <c r="I388" s="407"/>
      <c r="J388" s="409"/>
      <c r="K388" s="408"/>
      <c r="L388" s="407"/>
      <c r="M388" s="409"/>
      <c r="N388" s="408"/>
      <c r="O388" s="409"/>
      <c r="P388" s="64"/>
      <c r="Q388" s="21"/>
      <c r="R388" s="21"/>
      <c r="S388" s="261"/>
      <c r="T388" s="261"/>
      <c r="U388" s="261"/>
      <c r="V388" s="261"/>
      <c r="W388" s="262"/>
      <c r="X388" s="262"/>
      <c r="Y388" s="261"/>
      <c r="Z388" s="261"/>
      <c r="AA388" s="262"/>
      <c r="AB388" s="262"/>
      <c r="AC388" s="262"/>
      <c r="AD388" s="22">
        <f>ROW()</f>
        <v>388</v>
      </c>
      <c r="AE388" s="22"/>
      <c r="AF388" s="22"/>
      <c r="AG388" s="22"/>
      <c r="AH388" s="22"/>
      <c r="AI388" s="22"/>
      <c r="AJ388" s="22"/>
      <c r="AK388" s="22"/>
      <c r="AL388" s="22"/>
      <c r="AM388" s="22"/>
      <c r="AN388" s="22"/>
      <c r="AO388" s="22"/>
      <c r="AP388" s="22"/>
      <c r="AQ388" s="261"/>
      <c r="AR388" s="261"/>
      <c r="AS388" s="261"/>
      <c r="AT388" s="261"/>
      <c r="AU388" s="261"/>
      <c r="AV388" s="261"/>
      <c r="AW388" s="261"/>
      <c r="AX388" s="261"/>
      <c r="AY388" s="261"/>
      <c r="AZ388" s="261"/>
      <c r="BA388" s="21"/>
      <c r="BB388" s="30" t="s">
        <v>981</v>
      </c>
      <c r="BC388" s="21" t="s">
        <v>127</v>
      </c>
      <c r="BD388" s="21" t="b">
        <v>1</v>
      </c>
      <c r="BE388" s="21">
        <f>E391</f>
        <v>0</v>
      </c>
      <c r="BF388" s="21" t="str">
        <f>""&amp;E391</f>
        <v/>
      </c>
      <c r="BG388" s="21" t="b">
        <v>1</v>
      </c>
      <c r="BH388" s="21" t="b">
        <v>0</v>
      </c>
      <c r="BI388" s="21"/>
      <c r="BJ388" s="21"/>
      <c r="BK388" s="21" t="str">
        <f ca="1">_xlfn.FORMULATEXT(BE388)</f>
        <v>=E391</v>
      </c>
      <c r="BL388" s="21" t="str">
        <f ca="1">_xlfn.FORMULATEXT(BE388)</f>
        <v>=E391</v>
      </c>
      <c r="BM388" s="21"/>
      <c r="BN388" s="21"/>
      <c r="BO388" s="21"/>
      <c r="BP388" s="21"/>
      <c r="BQ388" s="21"/>
      <c r="BR388" s="21"/>
    </row>
    <row r="389" spans="1:70" s="274" customFormat="1" ht="14.75" customHeight="1">
      <c r="A389" s="64" t="s">
        <v>673</v>
      </c>
      <c r="B389" s="282" t="s">
        <v>982</v>
      </c>
      <c r="C389" s="240"/>
      <c r="D389" s="240"/>
      <c r="E389" s="408"/>
      <c r="F389" s="407"/>
      <c r="G389" s="409"/>
      <c r="H389" s="408"/>
      <c r="I389" s="407"/>
      <c r="J389" s="409"/>
      <c r="K389" s="408"/>
      <c r="L389" s="407"/>
      <c r="M389" s="409"/>
      <c r="N389" s="408"/>
      <c r="O389" s="409"/>
      <c r="P389" s="64"/>
      <c r="Q389" s="21"/>
      <c r="R389" s="21"/>
      <c r="S389" s="261"/>
      <c r="T389" s="261"/>
      <c r="U389" s="261"/>
      <c r="V389" s="261"/>
      <c r="W389" s="262"/>
      <c r="X389" s="262"/>
      <c r="Y389" s="261"/>
      <c r="Z389" s="261"/>
      <c r="AA389" s="283"/>
      <c r="AB389" s="283"/>
      <c r="AC389" s="283"/>
      <c r="AD389" s="22">
        <f>ROW()</f>
        <v>389</v>
      </c>
      <c r="AE389" s="22"/>
      <c r="AF389" s="22"/>
      <c r="AG389" s="22"/>
      <c r="AH389" s="22"/>
      <c r="AI389" s="22"/>
      <c r="AJ389" s="22"/>
      <c r="AK389" s="22"/>
      <c r="AL389" s="22"/>
      <c r="AM389" s="22"/>
      <c r="AN389" s="22"/>
      <c r="AO389" s="22"/>
      <c r="AP389" s="22"/>
      <c r="AQ389" s="261"/>
      <c r="AR389" s="261"/>
      <c r="AS389" s="261"/>
      <c r="AT389" s="261"/>
      <c r="AU389" s="261"/>
      <c r="AV389" s="261"/>
      <c r="AW389" s="261"/>
      <c r="AX389" s="261"/>
      <c r="AY389" s="261"/>
      <c r="AZ389" s="261"/>
      <c r="BA389" s="21"/>
      <c r="BB389" s="30" t="s">
        <v>983</v>
      </c>
      <c r="BC389" s="21" t="s">
        <v>127</v>
      </c>
      <c r="BD389" s="21" t="b">
        <v>1</v>
      </c>
      <c r="BE389" s="21">
        <f>H391</f>
        <v>0</v>
      </c>
      <c r="BF389" s="21" t="str">
        <f>""&amp;H391</f>
        <v/>
      </c>
      <c r="BG389" s="21" t="b">
        <v>1</v>
      </c>
      <c r="BH389" s="21" t="b">
        <v>0</v>
      </c>
      <c r="BI389" s="21"/>
      <c r="BJ389" s="21"/>
      <c r="BK389" s="21" t="str">
        <f ca="1">_xlfn.FORMULATEXT(BE389)</f>
        <v>=H391</v>
      </c>
      <c r="BL389" s="21" t="str">
        <f ca="1">_xlfn.FORMULATEXT(BE389)</f>
        <v>=H391</v>
      </c>
      <c r="BM389" s="21"/>
      <c r="BN389" s="21"/>
      <c r="BO389" s="21"/>
      <c r="BP389" s="21"/>
      <c r="BQ389" s="21"/>
      <c r="BR389" s="21"/>
    </row>
    <row r="390" spans="1:70" s="274" customFormat="1" ht="14.75" customHeight="1">
      <c r="A390" s="64" t="s">
        <v>673</v>
      </c>
      <c r="B390" s="281" t="s">
        <v>984</v>
      </c>
      <c r="C390" s="275"/>
      <c r="D390" s="275"/>
      <c r="E390" s="408"/>
      <c r="F390" s="407"/>
      <c r="G390" s="409"/>
      <c r="H390" s="408"/>
      <c r="I390" s="407"/>
      <c r="J390" s="409"/>
      <c r="K390" s="408"/>
      <c r="L390" s="407"/>
      <c r="M390" s="409"/>
      <c r="N390" s="408"/>
      <c r="O390" s="409"/>
      <c r="P390" s="64"/>
      <c r="Q390" s="21"/>
      <c r="R390" s="21"/>
      <c r="W390" s="283"/>
      <c r="X390" s="283"/>
      <c r="AA390" s="283"/>
      <c r="AB390" s="283"/>
      <c r="AC390" s="283"/>
      <c r="AD390" s="22">
        <f>ROW()</f>
        <v>390</v>
      </c>
      <c r="AE390" s="22"/>
      <c r="AF390" s="22"/>
      <c r="AG390" s="22"/>
      <c r="AH390" s="22"/>
      <c r="AI390" s="22"/>
      <c r="AJ390" s="22"/>
      <c r="AK390" s="22"/>
      <c r="AL390" s="22"/>
      <c r="AM390" s="22"/>
      <c r="AN390" s="22"/>
      <c r="AO390" s="22"/>
      <c r="AP390" s="22"/>
      <c r="AQ390" s="261"/>
      <c r="AY390" s="261"/>
      <c r="AZ390" s="261"/>
      <c r="BA390" s="21"/>
      <c r="BB390" s="30" t="s">
        <v>985</v>
      </c>
      <c r="BC390" s="21" t="s">
        <v>127</v>
      </c>
      <c r="BD390" s="21" t="b">
        <v>1</v>
      </c>
      <c r="BE390" s="21">
        <f>K391</f>
        <v>0</v>
      </c>
      <c r="BF390" s="21" t="str">
        <f>""&amp;K391</f>
        <v/>
      </c>
      <c r="BG390" s="21" t="b">
        <v>1</v>
      </c>
      <c r="BH390" s="21" t="b">
        <v>0</v>
      </c>
      <c r="BI390" s="21"/>
      <c r="BJ390" s="21"/>
      <c r="BK390" s="21" t="str">
        <f ca="1">_xlfn.FORMULATEXT(BE390)</f>
        <v>=K391</v>
      </c>
      <c r="BL390" s="21" t="str">
        <f ca="1">_xlfn.FORMULATEXT(BE390)</f>
        <v>=K391</v>
      </c>
      <c r="BM390" s="21"/>
      <c r="BN390" s="21"/>
      <c r="BO390" s="21"/>
      <c r="BP390" s="21"/>
      <c r="BQ390" s="21"/>
      <c r="BR390" s="21"/>
    </row>
    <row r="391" spans="1:70" s="274" customFormat="1" ht="14.5">
      <c r="A391" s="64" t="s">
        <v>673</v>
      </c>
      <c r="B391" s="282" t="s">
        <v>986</v>
      </c>
      <c r="C391" s="240"/>
      <c r="D391" s="240"/>
      <c r="E391" s="408"/>
      <c r="F391" s="407"/>
      <c r="G391" s="409"/>
      <c r="H391" s="408"/>
      <c r="I391" s="407"/>
      <c r="J391" s="409"/>
      <c r="K391" s="408"/>
      <c r="L391" s="407"/>
      <c r="M391" s="409"/>
      <c r="N391" s="408"/>
      <c r="O391" s="409"/>
      <c r="P391" s="64"/>
      <c r="Q391" s="21"/>
      <c r="R391" s="21"/>
      <c r="W391" s="283"/>
      <c r="X391" s="283"/>
      <c r="AA391" s="283"/>
      <c r="AB391" s="283"/>
      <c r="AC391" s="283"/>
      <c r="AD391" s="22">
        <f>ROW()</f>
        <v>391</v>
      </c>
      <c r="AE391" s="22"/>
      <c r="AF391" s="22"/>
      <c r="AG391" s="22"/>
      <c r="AH391" s="22"/>
      <c r="AI391" s="22"/>
      <c r="AJ391" s="22"/>
      <c r="AK391" s="22"/>
      <c r="AL391" s="22"/>
      <c r="AM391" s="22"/>
      <c r="AN391" s="22"/>
      <c r="AO391" s="22"/>
      <c r="AP391" s="22"/>
      <c r="AQ391" s="261"/>
      <c r="BA391" s="21"/>
      <c r="BB391" s="30" t="s">
        <v>987</v>
      </c>
      <c r="BC391" s="21" t="s">
        <v>127</v>
      </c>
      <c r="BD391" s="21" t="b">
        <v>1</v>
      </c>
      <c r="BE391" s="21">
        <f>N391</f>
        <v>0</v>
      </c>
      <c r="BF391" s="21" t="str">
        <f>""&amp;N391</f>
        <v/>
      </c>
      <c r="BG391" s="21" t="b">
        <v>1</v>
      </c>
      <c r="BH391" s="21" t="b">
        <v>0</v>
      </c>
      <c r="BI391" s="21"/>
      <c r="BJ391" s="21"/>
      <c r="BK391" s="21" t="str">
        <f ca="1">_xlfn.FORMULATEXT(BE391)</f>
        <v>=N391</v>
      </c>
      <c r="BL391" s="21" t="str">
        <f ca="1">_xlfn.FORMULATEXT(BE391)</f>
        <v>=N391</v>
      </c>
      <c r="BM391" s="21"/>
      <c r="BN391" s="21"/>
      <c r="BO391" s="21"/>
      <c r="BP391" s="21"/>
      <c r="BQ391" s="21"/>
      <c r="BR391" s="21"/>
    </row>
    <row r="392" spans="1:70" s="274" customFormat="1" ht="14.75" customHeight="1">
      <c r="A392" s="64" t="s">
        <v>673</v>
      </c>
      <c r="B392" s="275" t="s">
        <v>988</v>
      </c>
      <c r="C392" s="275"/>
      <c r="D392" s="275"/>
      <c r="E392" s="408"/>
      <c r="F392" s="407"/>
      <c r="G392" s="409"/>
      <c r="H392" s="408"/>
      <c r="I392" s="407"/>
      <c r="J392" s="409"/>
      <c r="K392" s="408"/>
      <c r="L392" s="407"/>
      <c r="M392" s="409"/>
      <c r="N392" s="408"/>
      <c r="O392" s="409"/>
      <c r="P392" s="64"/>
      <c r="Q392" s="21"/>
      <c r="R392" s="21"/>
      <c r="W392" s="283"/>
      <c r="X392" s="283"/>
      <c r="AA392" s="283"/>
      <c r="AB392" s="283"/>
      <c r="AC392" s="283"/>
      <c r="AD392" s="22">
        <f>ROW()</f>
        <v>392</v>
      </c>
      <c r="AE392" s="22"/>
      <c r="AF392" s="22"/>
      <c r="AG392" s="22"/>
      <c r="AH392" s="22"/>
      <c r="AI392" s="22"/>
      <c r="AJ392" s="22"/>
      <c r="AK392" s="22"/>
      <c r="AL392" s="22"/>
      <c r="AM392" s="22"/>
      <c r="AN392" s="22"/>
      <c r="AO392" s="22"/>
      <c r="AP392" s="22"/>
      <c r="BA392" s="21"/>
      <c r="BB392" s="30" t="s">
        <v>989</v>
      </c>
      <c r="BC392" s="21" t="s">
        <v>127</v>
      </c>
      <c r="BD392" s="21" t="b">
        <v>1</v>
      </c>
      <c r="BE392" s="21">
        <f>E392</f>
        <v>0</v>
      </c>
      <c r="BF392" s="21" t="str">
        <f>""&amp;E392</f>
        <v/>
      </c>
      <c r="BG392" s="21" t="b">
        <v>1</v>
      </c>
      <c r="BH392" s="21" t="b">
        <v>0</v>
      </c>
      <c r="BI392" s="21"/>
      <c r="BJ392" s="21"/>
      <c r="BK392" s="21" t="str">
        <f ca="1">_xlfn.FORMULATEXT(BE392)</f>
        <v>=E392</v>
      </c>
      <c r="BL392" s="21" t="str">
        <f ca="1">_xlfn.FORMULATEXT(BE392)</f>
        <v>=E392</v>
      </c>
      <c r="BM392" s="21"/>
      <c r="BN392" s="21"/>
      <c r="BO392" s="21"/>
      <c r="BP392" s="21"/>
      <c r="BQ392" s="21"/>
      <c r="BR392" s="21"/>
    </row>
    <row r="393" spans="1:70" s="274" customFormat="1" ht="14.75" customHeight="1">
      <c r="A393" s="64" t="s">
        <v>673</v>
      </c>
      <c r="B393" s="482" t="s">
        <v>990</v>
      </c>
      <c r="C393" s="483"/>
      <c r="D393" s="484"/>
      <c r="E393" s="419"/>
      <c r="F393" s="417"/>
      <c r="G393" s="421"/>
      <c r="H393" s="419"/>
      <c r="I393" s="417"/>
      <c r="J393" s="421"/>
      <c r="K393" s="419"/>
      <c r="L393" s="417"/>
      <c r="M393" s="421"/>
      <c r="N393" s="419"/>
      <c r="O393" s="421"/>
      <c r="P393" s="64"/>
      <c r="Q393" s="21"/>
      <c r="R393" s="21"/>
      <c r="W393" s="283"/>
      <c r="X393" s="283"/>
      <c r="AA393" s="283"/>
      <c r="AB393" s="283"/>
      <c r="AC393" s="283"/>
      <c r="AD393" s="22">
        <f>ROW()</f>
        <v>393</v>
      </c>
      <c r="AE393" s="22"/>
      <c r="AF393" s="22"/>
      <c r="AG393" s="22"/>
      <c r="AH393" s="22"/>
      <c r="AI393" s="22"/>
      <c r="AJ393" s="22"/>
      <c r="AK393" s="22"/>
      <c r="AL393" s="22"/>
      <c r="AM393" s="22"/>
      <c r="AN393" s="22"/>
      <c r="AO393" s="22"/>
      <c r="AP393" s="22"/>
      <c r="BA393" s="21"/>
      <c r="BB393" s="30" t="s">
        <v>991</v>
      </c>
      <c r="BC393" s="21" t="s">
        <v>127</v>
      </c>
      <c r="BD393" s="21" t="b">
        <v>1</v>
      </c>
      <c r="BE393" s="21">
        <f>H392</f>
        <v>0</v>
      </c>
      <c r="BF393" s="21" t="str">
        <f>""&amp;H392</f>
        <v/>
      </c>
      <c r="BG393" s="21" t="b">
        <v>1</v>
      </c>
      <c r="BH393" s="21" t="b">
        <v>0</v>
      </c>
      <c r="BI393" s="21"/>
      <c r="BJ393" s="21"/>
      <c r="BK393" s="21" t="str">
        <f ca="1">_xlfn.FORMULATEXT(BE393)</f>
        <v>=H392</v>
      </c>
      <c r="BL393" s="21" t="str">
        <f ca="1">_xlfn.FORMULATEXT(BE393)</f>
        <v>=H392</v>
      </c>
      <c r="BM393" s="21"/>
      <c r="BN393" s="21"/>
      <c r="BO393" s="21"/>
      <c r="BP393" s="21"/>
      <c r="BQ393" s="21"/>
      <c r="BR393" s="21"/>
    </row>
    <row r="394" spans="1:70" s="274" customFormat="1" ht="14.75" customHeight="1">
      <c r="A394" s="64" t="s">
        <v>673</v>
      </c>
      <c r="B394" s="445"/>
      <c r="C394" s="444"/>
      <c r="D394" s="415"/>
      <c r="E394" s="420"/>
      <c r="F394" s="418"/>
      <c r="G394" s="422"/>
      <c r="H394" s="420"/>
      <c r="I394" s="418"/>
      <c r="J394" s="422"/>
      <c r="K394" s="420"/>
      <c r="L394" s="418"/>
      <c r="M394" s="422"/>
      <c r="N394" s="420"/>
      <c r="O394" s="422"/>
      <c r="P394" s="64"/>
      <c r="Q394" s="21"/>
      <c r="R394" s="21"/>
      <c r="W394" s="283"/>
      <c r="X394" s="283"/>
      <c r="AA394" s="283"/>
      <c r="AB394" s="283"/>
      <c r="AC394" s="283"/>
      <c r="AD394" s="22">
        <f>ROW()</f>
        <v>394</v>
      </c>
      <c r="AE394" s="22"/>
      <c r="AF394" s="22"/>
      <c r="AG394" s="22"/>
      <c r="AH394" s="22"/>
      <c r="AI394" s="22"/>
      <c r="AJ394" s="22"/>
      <c r="AK394" s="22"/>
      <c r="AL394" s="22"/>
      <c r="AM394" s="22"/>
      <c r="AN394" s="22"/>
      <c r="AO394" s="22"/>
      <c r="AP394" s="22"/>
      <c r="BA394" s="21"/>
      <c r="BB394" s="30" t="s">
        <v>992</v>
      </c>
      <c r="BC394" s="21" t="s">
        <v>127</v>
      </c>
      <c r="BD394" s="21" t="b">
        <v>1</v>
      </c>
      <c r="BE394" s="21">
        <f>K392</f>
        <v>0</v>
      </c>
      <c r="BF394" s="21" t="str">
        <f>""&amp;K392</f>
        <v/>
      </c>
      <c r="BG394" s="21" t="b">
        <v>1</v>
      </c>
      <c r="BH394" s="21" t="b">
        <v>0</v>
      </c>
      <c r="BI394" s="21"/>
      <c r="BJ394" s="21"/>
      <c r="BK394" s="21" t="str">
        <f ca="1">_xlfn.FORMULATEXT(BE394)</f>
        <v>=K392</v>
      </c>
      <c r="BL394" s="21" t="str">
        <f ca="1">_xlfn.FORMULATEXT(BE394)</f>
        <v>=K392</v>
      </c>
      <c r="BM394" s="21"/>
      <c r="BN394" s="21"/>
      <c r="BO394" s="21"/>
      <c r="BP394" s="21"/>
      <c r="BQ394" s="21"/>
      <c r="BR394" s="21"/>
    </row>
    <row r="395" spans="1:70" s="274" customFormat="1" ht="14.75" customHeight="1">
      <c r="A395" s="64" t="s">
        <v>673</v>
      </c>
      <c r="B395" s="284" t="s">
        <v>993</v>
      </c>
      <c r="C395" s="285"/>
      <c r="D395" s="285"/>
      <c r="E395" s="623" t="str" cm="1">
        <f t="array" ref="E395">TEXT(SUM(_xlfn.NUMBERVALUE(E396:G400)),"0.00")</f>
        <v>0.00</v>
      </c>
      <c r="F395" s="622"/>
      <c r="G395" s="624"/>
      <c r="H395" s="623" t="str" cm="1">
        <f t="array" ref="H395">TEXT(SUM(_xlfn.NUMBERVALUE(H396:J400)),"0.00")</f>
        <v>0.00</v>
      </c>
      <c r="I395" s="622"/>
      <c r="J395" s="624"/>
      <c r="K395" s="623" t="str" cm="1">
        <f t="array" ref="K395">TEXT(SUM(_xlfn.NUMBERVALUE(K396:M400)),"0.00")</f>
        <v>0.00</v>
      </c>
      <c r="L395" s="622"/>
      <c r="M395" s="624"/>
      <c r="N395" s="623" t="str" cm="1">
        <f t="array" ref="N395">TEXT(SUM(_xlfn.NUMBERVALUE(N396:O400)),"0.00")</f>
        <v>0.00</v>
      </c>
      <c r="O395" s="624"/>
      <c r="P395" s="64"/>
      <c r="Q395" s="21"/>
      <c r="R395" s="21"/>
      <c r="W395" s="283"/>
      <c r="X395" s="283"/>
      <c r="AA395" s="283"/>
      <c r="AB395" s="283"/>
      <c r="AC395" s="283"/>
      <c r="AD395" s="22">
        <f>ROW()</f>
        <v>395</v>
      </c>
      <c r="AE395" s="22"/>
      <c r="AF395" s="22"/>
      <c r="AG395" s="22"/>
      <c r="AH395" s="22"/>
      <c r="AI395" s="22"/>
      <c r="AJ395" s="22"/>
      <c r="AK395" s="22"/>
      <c r="AL395" s="22"/>
      <c r="AM395" s="22"/>
      <c r="AN395" s="22"/>
      <c r="AO395" s="22"/>
      <c r="AP395" s="22"/>
      <c r="BA395" s="21"/>
      <c r="BB395" s="30" t="s">
        <v>994</v>
      </c>
      <c r="BC395" s="21" t="s">
        <v>127</v>
      </c>
      <c r="BD395" s="21" t="b">
        <v>1</v>
      </c>
      <c r="BE395" s="21">
        <f>N392</f>
        <v>0</v>
      </c>
      <c r="BF395" s="21" t="str">
        <f>""&amp;N392</f>
        <v/>
      </c>
      <c r="BG395" s="21" t="b">
        <v>1</v>
      </c>
      <c r="BH395" s="21" t="b">
        <v>0</v>
      </c>
      <c r="BI395" s="21"/>
      <c r="BJ395" s="21"/>
      <c r="BK395" s="21" t="str">
        <f ca="1">_xlfn.FORMULATEXT(BE395)</f>
        <v>=N392</v>
      </c>
      <c r="BL395" s="21" t="str">
        <f ca="1">_xlfn.FORMULATEXT(BE395)</f>
        <v>=N392</v>
      </c>
      <c r="BM395" s="21"/>
      <c r="BN395" s="21"/>
      <c r="BO395" s="21"/>
      <c r="BP395" s="21"/>
      <c r="BQ395" s="21"/>
      <c r="BR395" s="261"/>
    </row>
    <row r="396" spans="1:70" s="274" customFormat="1" ht="14.75" customHeight="1">
      <c r="A396" s="64" t="s">
        <v>673</v>
      </c>
      <c r="B396" s="240" t="s">
        <v>995</v>
      </c>
      <c r="C396" s="240"/>
      <c r="D396" s="240"/>
      <c r="E396" s="408"/>
      <c r="F396" s="407"/>
      <c r="G396" s="409"/>
      <c r="H396" s="408"/>
      <c r="I396" s="407"/>
      <c r="J396" s="409"/>
      <c r="K396" s="408"/>
      <c r="L396" s="407"/>
      <c r="M396" s="409"/>
      <c r="N396" s="408"/>
      <c r="O396" s="409"/>
      <c r="P396" s="64"/>
      <c r="Q396" s="21"/>
      <c r="R396" s="21"/>
      <c r="W396" s="283"/>
      <c r="X396" s="283"/>
      <c r="AA396" s="283"/>
      <c r="AB396" s="283"/>
      <c r="AC396" s="283"/>
      <c r="AD396" s="22">
        <f>ROW()</f>
        <v>396</v>
      </c>
      <c r="AE396" s="22"/>
      <c r="AF396" s="22"/>
      <c r="AG396" s="22"/>
      <c r="AH396" s="22"/>
      <c r="AI396" s="22"/>
      <c r="AJ396" s="22"/>
      <c r="AK396" s="22"/>
      <c r="AL396" s="22"/>
      <c r="AM396" s="22"/>
      <c r="AN396" s="22"/>
      <c r="AO396" s="22"/>
      <c r="AP396" s="22"/>
      <c r="BA396" s="21"/>
      <c r="BB396" s="30" t="s">
        <v>996</v>
      </c>
      <c r="BC396" s="21" t="s">
        <v>127</v>
      </c>
      <c r="BD396" s="21" t="b">
        <v>1</v>
      </c>
      <c r="BE396" s="21">
        <f>E393</f>
        <v>0</v>
      </c>
      <c r="BF396" s="21" t="str">
        <f>""&amp;E393</f>
        <v/>
      </c>
      <c r="BG396" s="21" t="b">
        <v>1</v>
      </c>
      <c r="BH396" s="21" t="b">
        <v>0</v>
      </c>
      <c r="BI396" s="21"/>
      <c r="BJ396" s="21"/>
      <c r="BK396" s="21" t="str">
        <f ca="1">_xlfn.FORMULATEXT(BE396)</f>
        <v>=E393</v>
      </c>
      <c r="BL396" s="21" t="str">
        <f ca="1">_xlfn.FORMULATEXT(BE396)</f>
        <v>=E393</v>
      </c>
      <c r="BM396" s="21"/>
      <c r="BN396" s="21"/>
      <c r="BO396" s="21"/>
      <c r="BP396" s="21"/>
      <c r="BQ396" s="21"/>
      <c r="BR396" s="261"/>
    </row>
    <row r="397" spans="1:70" s="274" customFormat="1" ht="14.75" customHeight="1">
      <c r="A397" s="64" t="s">
        <v>673</v>
      </c>
      <c r="B397" s="240" t="s">
        <v>997</v>
      </c>
      <c r="C397" s="240"/>
      <c r="D397" s="240"/>
      <c r="E397" s="408"/>
      <c r="F397" s="407"/>
      <c r="G397" s="409"/>
      <c r="H397" s="408"/>
      <c r="I397" s="407"/>
      <c r="J397" s="409"/>
      <c r="K397" s="408"/>
      <c r="L397" s="407"/>
      <c r="M397" s="409"/>
      <c r="N397" s="408"/>
      <c r="O397" s="409"/>
      <c r="P397" s="64"/>
      <c r="Q397" s="21"/>
      <c r="R397" s="21"/>
      <c r="W397" s="283"/>
      <c r="X397" s="283"/>
      <c r="AA397" s="283"/>
      <c r="AB397" s="283"/>
      <c r="AC397" s="283"/>
      <c r="AD397" s="22">
        <f>ROW()</f>
        <v>397</v>
      </c>
      <c r="AE397" s="22"/>
      <c r="AF397" s="22"/>
      <c r="AG397" s="22"/>
      <c r="AH397" s="22"/>
      <c r="AI397" s="22"/>
      <c r="AJ397" s="22"/>
      <c r="AK397" s="22"/>
      <c r="AL397" s="22"/>
      <c r="AM397" s="22"/>
      <c r="AN397" s="22"/>
      <c r="AO397" s="22"/>
      <c r="AP397" s="22"/>
      <c r="BA397" s="21"/>
      <c r="BB397" s="30" t="s">
        <v>998</v>
      </c>
      <c r="BC397" s="21" t="s">
        <v>127</v>
      </c>
      <c r="BD397" s="21" t="b">
        <v>1</v>
      </c>
      <c r="BE397" s="21">
        <f>H393</f>
        <v>0</v>
      </c>
      <c r="BF397" s="21" t="str">
        <f>""&amp;H393</f>
        <v/>
      </c>
      <c r="BG397" s="21" t="b">
        <v>1</v>
      </c>
      <c r="BH397" s="21" t="b">
        <v>0</v>
      </c>
      <c r="BI397" s="21"/>
      <c r="BJ397" s="21"/>
      <c r="BK397" s="21" t="str">
        <f ca="1">_xlfn.FORMULATEXT(BE397)</f>
        <v>=H393</v>
      </c>
      <c r="BL397" s="21" t="str">
        <f ca="1">_xlfn.FORMULATEXT(BE397)</f>
        <v>=H393</v>
      </c>
      <c r="BM397" s="21"/>
      <c r="BN397" s="21"/>
      <c r="BO397" s="261"/>
      <c r="BP397" s="261"/>
      <c r="BQ397" s="261"/>
      <c r="BR397" s="261"/>
    </row>
    <row r="398" spans="1:70" s="274" customFormat="1" ht="14.75" customHeight="1">
      <c r="A398" s="64" t="s">
        <v>673</v>
      </c>
      <c r="B398" s="282" t="s">
        <v>999</v>
      </c>
      <c r="C398" s="240"/>
      <c r="D398" s="240"/>
      <c r="E398" s="408"/>
      <c r="F398" s="407"/>
      <c r="G398" s="409"/>
      <c r="H398" s="408"/>
      <c r="I398" s="407"/>
      <c r="J398" s="409"/>
      <c r="K398" s="408"/>
      <c r="L398" s="407"/>
      <c r="M398" s="409"/>
      <c r="N398" s="408"/>
      <c r="O398" s="409"/>
      <c r="P398" s="64"/>
      <c r="Q398" s="21"/>
      <c r="R398" s="21"/>
      <c r="W398" s="283"/>
      <c r="X398" s="283"/>
      <c r="AA398" s="283"/>
      <c r="AB398" s="283"/>
      <c r="AC398" s="283"/>
      <c r="AD398" s="22">
        <f>ROW()</f>
        <v>398</v>
      </c>
      <c r="AE398" s="22"/>
      <c r="AF398" s="22"/>
      <c r="AG398" s="22"/>
      <c r="AH398" s="22"/>
      <c r="AI398" s="22"/>
      <c r="AJ398" s="22"/>
      <c r="AK398" s="22"/>
      <c r="AL398" s="22"/>
      <c r="AM398" s="22"/>
      <c r="AN398" s="22"/>
      <c r="AO398" s="22"/>
      <c r="AP398" s="22"/>
      <c r="BA398" s="21"/>
      <c r="BB398" s="30" t="s">
        <v>1000</v>
      </c>
      <c r="BC398" s="21" t="s">
        <v>127</v>
      </c>
      <c r="BD398" s="21" t="b">
        <v>1</v>
      </c>
      <c r="BE398" s="21">
        <f>K393</f>
        <v>0</v>
      </c>
      <c r="BF398" s="21" t="str">
        <f>""&amp;K393</f>
        <v/>
      </c>
      <c r="BG398" s="21" t="b">
        <v>1</v>
      </c>
      <c r="BH398" s="21" t="b">
        <v>0</v>
      </c>
      <c r="BI398" s="21"/>
      <c r="BJ398" s="21"/>
      <c r="BK398" s="21" t="str">
        <f ca="1">_xlfn.FORMULATEXT(BE398)</f>
        <v>=K393</v>
      </c>
      <c r="BL398" s="21" t="str">
        <f ca="1">_xlfn.FORMULATEXT(BE398)</f>
        <v>=K393</v>
      </c>
      <c r="BM398" s="21"/>
      <c r="BN398" s="21"/>
      <c r="BO398" s="261"/>
      <c r="BP398" s="261"/>
      <c r="BQ398" s="261"/>
      <c r="BR398" s="261"/>
    </row>
    <row r="399" spans="1:70" s="274" customFormat="1" ht="15" customHeight="1">
      <c r="A399" s="64" t="s">
        <v>673</v>
      </c>
      <c r="B399" s="487" t="s">
        <v>1001</v>
      </c>
      <c r="C399" s="487"/>
      <c r="D399" s="487"/>
      <c r="E399" s="419"/>
      <c r="F399" s="417"/>
      <c r="G399" s="421"/>
      <c r="H399" s="419"/>
      <c r="I399" s="417"/>
      <c r="J399" s="421"/>
      <c r="K399" s="419"/>
      <c r="L399" s="417"/>
      <c r="M399" s="421"/>
      <c r="N399" s="419"/>
      <c r="O399" s="421"/>
      <c r="P399" s="64"/>
      <c r="Q399" s="21"/>
      <c r="R399" s="21"/>
      <c r="W399" s="283"/>
      <c r="X399" s="283"/>
      <c r="AA399" s="283"/>
      <c r="AB399" s="283"/>
      <c r="AC399" s="283"/>
      <c r="AD399" s="22">
        <f>ROW()</f>
        <v>399</v>
      </c>
      <c r="AE399" s="22"/>
      <c r="AF399" s="22"/>
      <c r="AG399" s="22"/>
      <c r="AH399" s="22"/>
      <c r="AI399" s="22"/>
      <c r="AJ399" s="22"/>
      <c r="AK399" s="22"/>
      <c r="AL399" s="22"/>
      <c r="AM399" s="22"/>
      <c r="AN399" s="22"/>
      <c r="AO399" s="22"/>
      <c r="AP399" s="22"/>
      <c r="BA399" s="21"/>
      <c r="BB399" s="30" t="s">
        <v>1002</v>
      </c>
      <c r="BC399" s="21" t="s">
        <v>127</v>
      </c>
      <c r="BD399" s="21" t="b">
        <v>1</v>
      </c>
      <c r="BE399" s="21">
        <f>N393</f>
        <v>0</v>
      </c>
      <c r="BF399" s="21" t="str">
        <f>""&amp;N393</f>
        <v/>
      </c>
      <c r="BG399" s="21" t="b">
        <v>1</v>
      </c>
      <c r="BH399" s="21" t="b">
        <v>0</v>
      </c>
      <c r="BI399" s="21"/>
      <c r="BJ399" s="21"/>
      <c r="BK399" s="21" t="str">
        <f ca="1">_xlfn.FORMULATEXT(BE399)</f>
        <v>=N393</v>
      </c>
      <c r="BL399" s="21" t="str">
        <f ca="1">_xlfn.FORMULATEXT(BE399)</f>
        <v>=N393</v>
      </c>
      <c r="BM399" s="21"/>
      <c r="BN399" s="261"/>
      <c r="BO399" s="261"/>
      <c r="BP399" s="261"/>
      <c r="BQ399" s="261"/>
      <c r="BR399" s="261"/>
    </row>
    <row r="400" spans="1:70" s="274" customFormat="1" ht="14.5">
      <c r="A400" s="64" t="s">
        <v>673</v>
      </c>
      <c r="B400" s="489"/>
      <c r="C400" s="488"/>
      <c r="D400" s="490"/>
      <c r="E400" s="420"/>
      <c r="F400" s="418"/>
      <c r="G400" s="422"/>
      <c r="H400" s="420"/>
      <c r="I400" s="418"/>
      <c r="J400" s="422"/>
      <c r="K400" s="420"/>
      <c r="L400" s="418"/>
      <c r="M400" s="422"/>
      <c r="N400" s="420"/>
      <c r="O400" s="422"/>
      <c r="P400" s="64"/>
      <c r="Q400" s="21"/>
      <c r="R400" s="21"/>
      <c r="W400" s="283"/>
      <c r="X400" s="283"/>
      <c r="AA400" s="283"/>
      <c r="AB400" s="283"/>
      <c r="AC400" s="283"/>
      <c r="AD400" s="22">
        <f>ROW()</f>
        <v>400</v>
      </c>
      <c r="AE400" s="22"/>
      <c r="AF400" s="22"/>
      <c r="AG400" s="22"/>
      <c r="AH400" s="22"/>
      <c r="AI400" s="22"/>
      <c r="AJ400" s="22"/>
      <c r="AK400" s="22"/>
      <c r="AL400" s="22"/>
      <c r="AM400" s="22"/>
      <c r="AN400" s="22"/>
      <c r="AO400" s="22"/>
      <c r="AP400" s="22"/>
      <c r="BA400" s="21"/>
      <c r="BB400" s="30" t="s">
        <v>1003</v>
      </c>
      <c r="BC400" s="21" t="s">
        <v>127</v>
      </c>
      <c r="BD400" s="21" t="b">
        <v>0</v>
      </c>
      <c r="BE400" s="21">
        <f>B394</f>
        <v>0</v>
      </c>
      <c r="BF400" s="21" t="str">
        <f>""&amp;B394</f>
        <v/>
      </c>
      <c r="BG400" s="21" t="b">
        <v>1</v>
      </c>
      <c r="BH400" s="21" t="b">
        <v>0</v>
      </c>
      <c r="BI400" s="21"/>
      <c r="BJ400" s="21"/>
      <c r="BK400" s="21" t="str">
        <f ca="1">_xlfn.FORMULATEXT(BE400)</f>
        <v>=B394</v>
      </c>
      <c r="BL400" s="21" t="str">
        <f ca="1">_xlfn.FORMULATEXT(BE400)</f>
        <v>=B394</v>
      </c>
      <c r="BM400" s="21"/>
      <c r="BN400" s="261"/>
      <c r="BO400" s="261"/>
      <c r="BP400" s="261"/>
      <c r="BQ400" s="261"/>
      <c r="BR400" s="261"/>
    </row>
    <row r="401" spans="1:70" s="274" customFormat="1" ht="14.75" customHeight="1">
      <c r="A401" s="64" t="s">
        <v>673</v>
      </c>
      <c r="B401" s="276" t="s">
        <v>1004</v>
      </c>
      <c r="C401" s="276"/>
      <c r="D401" s="276"/>
      <c r="E401" s="623" t="str">
        <f>TEXT(_xlfn.NUMBERVALUE(E382)+_xlfn.NUMBERVALUE(E383)-_xlfn.NUMBERVALUE(E395),"0.00")</f>
        <v>0.00</v>
      </c>
      <c r="F401" s="622"/>
      <c r="G401" s="624"/>
      <c r="H401" s="623" t="str">
        <f>TEXT(_xlfn.NUMBERVALUE(H382)+_xlfn.NUMBERVALUE(H383)-_xlfn.NUMBERVALUE(H395),"0.00")</f>
        <v>0.00</v>
      </c>
      <c r="I401" s="622"/>
      <c r="J401" s="624"/>
      <c r="K401" s="623" t="str">
        <f>TEXT(_xlfn.NUMBERVALUE(K382)+_xlfn.NUMBERVALUE(K383)-_xlfn.NUMBERVALUE(K395),"0.00")</f>
        <v>0.00</v>
      </c>
      <c r="L401" s="622"/>
      <c r="M401" s="624"/>
      <c r="N401" s="643"/>
      <c r="O401" s="644"/>
      <c r="P401" s="64"/>
      <c r="Q401" s="21"/>
      <c r="R401" s="21"/>
      <c r="W401" s="283"/>
      <c r="X401" s="283"/>
      <c r="AA401" s="283"/>
      <c r="AB401" s="283"/>
      <c r="AC401" s="283"/>
      <c r="AD401" s="22">
        <f>ROW()</f>
        <v>401</v>
      </c>
      <c r="AE401" s="22"/>
      <c r="AF401" s="22"/>
      <c r="AG401" s="22"/>
      <c r="AH401" s="22"/>
      <c r="AI401" s="22"/>
      <c r="AJ401" s="22"/>
      <c r="AK401" s="22"/>
      <c r="AL401" s="22"/>
      <c r="AM401" s="22"/>
      <c r="AN401" s="22"/>
      <c r="AO401" s="22"/>
      <c r="AP401" s="22"/>
      <c r="BA401" s="21"/>
      <c r="BB401" s="30" t="s">
        <v>1005</v>
      </c>
      <c r="BC401" s="21" t="s">
        <v>127</v>
      </c>
      <c r="BD401" s="21" t="b">
        <v>1</v>
      </c>
      <c r="BE401" s="21">
        <f>E396</f>
        <v>0</v>
      </c>
      <c r="BF401" s="21" t="str">
        <f>""&amp;E396</f>
        <v/>
      </c>
      <c r="BG401" s="21" t="b">
        <v>1</v>
      </c>
      <c r="BH401" s="21" t="b">
        <v>0</v>
      </c>
      <c r="BI401" s="21"/>
      <c r="BJ401" s="21"/>
      <c r="BK401" s="21" t="str">
        <f ca="1">_xlfn.FORMULATEXT(BE401)</f>
        <v>=E396</v>
      </c>
      <c r="BL401" s="21" t="str">
        <f ca="1">_xlfn.FORMULATEXT(BE401)</f>
        <v>=E396</v>
      </c>
      <c r="BM401" s="21"/>
      <c r="BN401" s="261"/>
      <c r="BO401" s="261"/>
      <c r="BP401" s="261"/>
      <c r="BQ401" s="261"/>
      <c r="BR401" s="261"/>
    </row>
    <row r="402" spans="1:70" s="274" customFormat="1" ht="14.75" customHeight="1">
      <c r="A402" s="64" t="s">
        <v>673</v>
      </c>
      <c r="B402" s="233" t="s">
        <v>1006</v>
      </c>
      <c r="C402" s="234"/>
      <c r="D402" s="234"/>
      <c r="E402" s="481"/>
      <c r="F402" s="481"/>
      <c r="G402" s="481"/>
      <c r="H402" s="481"/>
      <c r="I402" s="481"/>
      <c r="J402" s="481"/>
      <c r="K402" s="481"/>
      <c r="L402" s="481"/>
      <c r="M402" s="481"/>
      <c r="N402" s="481"/>
      <c r="O402" s="481"/>
      <c r="P402" s="64"/>
      <c r="Q402" s="21"/>
      <c r="R402" s="21"/>
      <c r="W402" s="283"/>
      <c r="X402" s="283"/>
      <c r="AA402" s="283"/>
      <c r="AB402" s="283"/>
      <c r="AC402" s="283"/>
      <c r="AD402" s="22">
        <f>ROW()</f>
        <v>402</v>
      </c>
      <c r="AE402" s="22"/>
      <c r="AF402" s="22"/>
      <c r="AG402" s="22"/>
      <c r="AH402" s="22"/>
      <c r="AI402" s="22"/>
      <c r="AJ402" s="22"/>
      <c r="AK402" s="22"/>
      <c r="AL402" s="22"/>
      <c r="AM402" s="22"/>
      <c r="AN402" s="22"/>
      <c r="AO402" s="22"/>
      <c r="AP402" s="22"/>
      <c r="BA402" s="21"/>
      <c r="BB402" s="30" t="s">
        <v>1007</v>
      </c>
      <c r="BC402" s="21" t="s">
        <v>127</v>
      </c>
      <c r="BD402" s="21" t="b">
        <v>1</v>
      </c>
      <c r="BE402" s="21">
        <f>H396</f>
        <v>0</v>
      </c>
      <c r="BF402" s="21" t="str">
        <f>""&amp;H396</f>
        <v/>
      </c>
      <c r="BG402" s="21" t="b">
        <v>1</v>
      </c>
      <c r="BH402" s="21" t="b">
        <v>0</v>
      </c>
      <c r="BI402" s="21"/>
      <c r="BJ402" s="21"/>
      <c r="BK402" s="21" t="str">
        <f ca="1">_xlfn.FORMULATEXT(BE402)</f>
        <v>=H396</v>
      </c>
      <c r="BL402" s="21" t="str">
        <f ca="1">_xlfn.FORMULATEXT(BE402)</f>
        <v>=H396</v>
      </c>
      <c r="BM402" s="21"/>
      <c r="BN402" s="261"/>
      <c r="BO402" s="261"/>
      <c r="BP402" s="261"/>
      <c r="BQ402" s="261"/>
      <c r="BR402" s="261"/>
    </row>
    <row r="403" spans="1:70" s="274" customFormat="1" ht="14.75" customHeight="1">
      <c r="A403" s="64" t="s">
        <v>673</v>
      </c>
      <c r="B403" s="276" t="s">
        <v>1008</v>
      </c>
      <c r="C403" s="276"/>
      <c r="D403" s="276"/>
      <c r="E403" s="408"/>
      <c r="F403" s="407"/>
      <c r="G403" s="409"/>
      <c r="H403" s="408"/>
      <c r="I403" s="407"/>
      <c r="J403" s="409"/>
      <c r="K403" s="408"/>
      <c r="L403" s="407"/>
      <c r="M403" s="409"/>
      <c r="N403" s="643"/>
      <c r="O403" s="644"/>
      <c r="P403" s="64"/>
      <c r="Q403" s="21"/>
      <c r="R403" s="21"/>
      <c r="W403" s="283"/>
      <c r="X403" s="283"/>
      <c r="AA403" s="283"/>
      <c r="AB403" s="283"/>
      <c r="AC403" s="283"/>
      <c r="AD403" s="22">
        <f>ROW()</f>
        <v>403</v>
      </c>
      <c r="AE403" s="22"/>
      <c r="AF403" s="22"/>
      <c r="AG403" s="22"/>
      <c r="AH403" s="22"/>
      <c r="AI403" s="22"/>
      <c r="AJ403" s="22"/>
      <c r="AK403" s="22"/>
      <c r="AL403" s="22"/>
      <c r="AM403" s="22"/>
      <c r="AN403" s="22"/>
      <c r="AO403" s="22"/>
      <c r="AP403" s="22"/>
      <c r="BA403" s="21"/>
      <c r="BB403" s="30" t="s">
        <v>1009</v>
      </c>
      <c r="BC403" s="21" t="s">
        <v>127</v>
      </c>
      <c r="BD403" s="21" t="b">
        <v>1</v>
      </c>
      <c r="BE403" s="21">
        <f>K396</f>
        <v>0</v>
      </c>
      <c r="BF403" s="21" t="str">
        <f>""&amp;K396</f>
        <v/>
      </c>
      <c r="BG403" s="21" t="b">
        <v>1</v>
      </c>
      <c r="BH403" s="21" t="b">
        <v>0</v>
      </c>
      <c r="BI403" s="21"/>
      <c r="BJ403" s="21"/>
      <c r="BK403" s="21" t="str">
        <f ca="1">_xlfn.FORMULATEXT(BE403)</f>
        <v>=K396</v>
      </c>
      <c r="BL403" s="21" t="str">
        <f ca="1">_xlfn.FORMULATEXT(BE403)</f>
        <v>=K396</v>
      </c>
      <c r="BM403" s="21"/>
      <c r="BN403" s="261"/>
      <c r="BO403" s="261"/>
      <c r="BP403" s="261"/>
      <c r="BQ403" s="261"/>
      <c r="BR403" s="261"/>
    </row>
    <row r="404" spans="1:70" s="274" customFormat="1" ht="14.75" customHeight="1">
      <c r="A404" s="64" t="s">
        <v>673</v>
      </c>
      <c r="B404" s="276" t="s">
        <v>970</v>
      </c>
      <c r="C404" s="276"/>
      <c r="D404" s="276"/>
      <c r="E404" s="623" t="str" cm="1">
        <f t="array" ref="E404">TEXT(SUM(_xlfn.NUMBERVALUE(E405:G408)),"0.00")</f>
        <v>0.00</v>
      </c>
      <c r="F404" s="622"/>
      <c r="G404" s="624"/>
      <c r="H404" s="623" t="str" cm="1">
        <f t="array" ref="H404">TEXT(SUM(_xlfn.NUMBERVALUE(H405:J408)),"0.00")</f>
        <v>0.00</v>
      </c>
      <c r="I404" s="622"/>
      <c r="J404" s="624"/>
      <c r="K404" s="623" t="str" cm="1">
        <f t="array" ref="K404">TEXT(SUM(_xlfn.NUMBERVALUE(K405:M408)),"0.00")</f>
        <v>0.00</v>
      </c>
      <c r="L404" s="622"/>
      <c r="M404" s="624"/>
      <c r="N404" s="623" t="str" cm="1">
        <f t="array" ref="N404">TEXT(SUM(_xlfn.NUMBERVALUE(N405:O408)),"0.00")</f>
        <v>0.00</v>
      </c>
      <c r="O404" s="624"/>
      <c r="P404" s="64"/>
      <c r="Q404" s="21"/>
      <c r="R404" s="21"/>
      <c r="W404" s="283"/>
      <c r="X404" s="283"/>
      <c r="AA404" s="283"/>
      <c r="AB404" s="283"/>
      <c r="AC404" s="283"/>
      <c r="AD404" s="22">
        <f>ROW()</f>
        <v>404</v>
      </c>
      <c r="AE404" s="22"/>
      <c r="AF404" s="22"/>
      <c r="AG404" s="22"/>
      <c r="AH404" s="22"/>
      <c r="AI404" s="22"/>
      <c r="AJ404" s="22"/>
      <c r="AK404" s="22"/>
      <c r="AL404" s="22"/>
      <c r="AM404" s="22"/>
      <c r="AN404" s="22"/>
      <c r="AO404" s="22"/>
      <c r="AP404" s="22"/>
      <c r="BA404" s="21"/>
      <c r="BB404" s="30" t="s">
        <v>1010</v>
      </c>
      <c r="BC404" s="21" t="s">
        <v>127</v>
      </c>
      <c r="BD404" s="21" t="b">
        <v>1</v>
      </c>
      <c r="BE404" s="21">
        <f>N396</f>
        <v>0</v>
      </c>
      <c r="BF404" s="21" t="str">
        <f>""&amp;N396</f>
        <v/>
      </c>
      <c r="BG404" s="21" t="b">
        <v>1</v>
      </c>
      <c r="BH404" s="21" t="b">
        <v>0</v>
      </c>
      <c r="BI404" s="21"/>
      <c r="BJ404" s="21"/>
      <c r="BK404" s="21" t="str">
        <f ca="1">_xlfn.FORMULATEXT(BE404)</f>
        <v>=N396</v>
      </c>
      <c r="BL404" s="21" t="str">
        <f ca="1">_xlfn.FORMULATEXT(BE404)</f>
        <v>=N396</v>
      </c>
      <c r="BM404" s="21"/>
      <c r="BN404" s="261"/>
      <c r="BO404" s="261"/>
      <c r="BP404" s="261"/>
      <c r="BQ404" s="261"/>
      <c r="BR404" s="261"/>
    </row>
    <row r="405" spans="1:70" s="274" customFormat="1" ht="14.75" customHeight="1">
      <c r="A405" s="64" t="s">
        <v>673</v>
      </c>
      <c r="B405" s="275" t="s">
        <v>1011</v>
      </c>
      <c r="C405" s="275"/>
      <c r="D405" s="275"/>
      <c r="E405" s="408"/>
      <c r="F405" s="407"/>
      <c r="G405" s="409"/>
      <c r="H405" s="408"/>
      <c r="I405" s="407"/>
      <c r="J405" s="409"/>
      <c r="K405" s="408"/>
      <c r="L405" s="407"/>
      <c r="M405" s="409"/>
      <c r="N405" s="408"/>
      <c r="O405" s="409"/>
      <c r="P405" s="64"/>
      <c r="Q405" s="21"/>
      <c r="R405" s="21"/>
      <c r="W405" s="283"/>
      <c r="X405" s="283"/>
      <c r="AA405" s="283"/>
      <c r="AB405" s="283"/>
      <c r="AC405" s="283"/>
      <c r="AD405" s="22">
        <f>ROW()</f>
        <v>405</v>
      </c>
      <c r="AE405" s="22"/>
      <c r="AF405" s="22"/>
      <c r="AG405" s="22"/>
      <c r="AH405" s="22"/>
      <c r="AI405" s="22"/>
      <c r="AJ405" s="22"/>
      <c r="AK405" s="22"/>
      <c r="AL405" s="22"/>
      <c r="AM405" s="22"/>
      <c r="AN405" s="22"/>
      <c r="AO405" s="22"/>
      <c r="AP405" s="22"/>
      <c r="BA405" s="21"/>
      <c r="BB405" s="30" t="s">
        <v>1012</v>
      </c>
      <c r="BC405" s="21" t="s">
        <v>127</v>
      </c>
      <c r="BD405" s="21" t="b">
        <v>1</v>
      </c>
      <c r="BE405" s="21">
        <f>E397</f>
        <v>0</v>
      </c>
      <c r="BF405" s="21" t="str">
        <f>""&amp;E397</f>
        <v/>
      </c>
      <c r="BG405" s="21" t="b">
        <v>1</v>
      </c>
      <c r="BH405" s="21" t="b">
        <v>0</v>
      </c>
      <c r="BI405" s="21"/>
      <c r="BJ405" s="21"/>
      <c r="BK405" s="21" t="str">
        <f ca="1">_xlfn.FORMULATEXT(BE405)</f>
        <v>=E397</v>
      </c>
      <c r="BL405" s="21" t="str">
        <f ca="1">_xlfn.FORMULATEXT(BE405)</f>
        <v>=E397</v>
      </c>
      <c r="BM405" s="21"/>
      <c r="BN405" s="261"/>
      <c r="BO405" s="261"/>
      <c r="BP405" s="261"/>
      <c r="BQ405" s="261"/>
      <c r="BR405" s="261"/>
    </row>
    <row r="406" spans="1:70" s="274" customFormat="1" ht="14.75" customHeight="1">
      <c r="A406" s="64" t="s">
        <v>673</v>
      </c>
      <c r="B406" s="282" t="s">
        <v>1013</v>
      </c>
      <c r="C406" s="240"/>
      <c r="D406" s="240"/>
      <c r="E406" s="408"/>
      <c r="F406" s="407"/>
      <c r="G406" s="409"/>
      <c r="H406" s="408"/>
      <c r="I406" s="407"/>
      <c r="J406" s="409"/>
      <c r="K406" s="408"/>
      <c r="L406" s="407"/>
      <c r="M406" s="409"/>
      <c r="N406" s="408"/>
      <c r="O406" s="409"/>
      <c r="P406" s="64"/>
      <c r="Q406" s="21"/>
      <c r="R406" s="21"/>
      <c r="W406" s="283"/>
      <c r="X406" s="283"/>
      <c r="AA406" s="283"/>
      <c r="AB406" s="283"/>
      <c r="AC406" s="283"/>
      <c r="AD406" s="22">
        <f>ROW()</f>
        <v>406</v>
      </c>
      <c r="AE406" s="22"/>
      <c r="AF406" s="22"/>
      <c r="AG406" s="22"/>
      <c r="AH406" s="22"/>
      <c r="AI406" s="22"/>
      <c r="AJ406" s="22"/>
      <c r="AK406" s="22"/>
      <c r="AL406" s="22"/>
      <c r="AM406" s="22"/>
      <c r="AN406" s="22"/>
      <c r="AO406" s="22"/>
      <c r="AP406" s="22"/>
      <c r="BA406" s="21"/>
      <c r="BB406" s="30" t="s">
        <v>1014</v>
      </c>
      <c r="BC406" s="21" t="s">
        <v>127</v>
      </c>
      <c r="BD406" s="21" t="b">
        <v>1</v>
      </c>
      <c r="BE406" s="21">
        <f>H397</f>
        <v>0</v>
      </c>
      <c r="BF406" s="21" t="str">
        <f>""&amp;H397</f>
        <v/>
      </c>
      <c r="BG406" s="21" t="b">
        <v>1</v>
      </c>
      <c r="BH406" s="21" t="b">
        <v>0</v>
      </c>
      <c r="BI406" s="21"/>
      <c r="BJ406" s="21"/>
      <c r="BK406" s="21" t="str">
        <f ca="1">_xlfn.FORMULATEXT(BE406)</f>
        <v>=H397</v>
      </c>
      <c r="BL406" s="21" t="str">
        <f ca="1">_xlfn.FORMULATEXT(BE406)</f>
        <v>=H397</v>
      </c>
      <c r="BM406" s="21"/>
      <c r="BN406" s="261"/>
      <c r="BO406" s="261"/>
      <c r="BP406" s="261"/>
      <c r="BQ406" s="261"/>
      <c r="BR406" s="261"/>
    </row>
    <row r="407" spans="1:70" s="274" customFormat="1" ht="14.75" customHeight="1">
      <c r="A407" s="64" t="s">
        <v>673</v>
      </c>
      <c r="B407" s="491" t="s">
        <v>1015</v>
      </c>
      <c r="C407" s="491"/>
      <c r="D407" s="491"/>
      <c r="E407" s="419"/>
      <c r="F407" s="417"/>
      <c r="G407" s="421"/>
      <c r="H407" s="419"/>
      <c r="I407" s="417"/>
      <c r="J407" s="421"/>
      <c r="K407" s="419"/>
      <c r="L407" s="417"/>
      <c r="M407" s="421"/>
      <c r="N407" s="419"/>
      <c r="O407" s="421"/>
      <c r="P407" s="64"/>
      <c r="Q407" s="21"/>
      <c r="R407" s="21"/>
      <c r="W407" s="283"/>
      <c r="X407" s="283"/>
      <c r="AA407" s="283"/>
      <c r="AB407" s="283"/>
      <c r="AC407" s="283"/>
      <c r="AD407" s="22">
        <f>ROW()</f>
        <v>407</v>
      </c>
      <c r="AE407" s="22"/>
      <c r="AF407" s="22"/>
      <c r="AG407" s="22"/>
      <c r="AH407" s="22"/>
      <c r="AI407" s="22"/>
      <c r="AJ407" s="22"/>
      <c r="AK407" s="22"/>
      <c r="AL407" s="22"/>
      <c r="AM407" s="22"/>
      <c r="AN407" s="22"/>
      <c r="AO407" s="22"/>
      <c r="AP407" s="22"/>
      <c r="BA407" s="21"/>
      <c r="BB407" s="30" t="s">
        <v>1016</v>
      </c>
      <c r="BC407" s="21" t="s">
        <v>127</v>
      </c>
      <c r="BD407" s="21" t="b">
        <v>1</v>
      </c>
      <c r="BE407" s="21">
        <f>K397</f>
        <v>0</v>
      </c>
      <c r="BF407" s="21" t="str">
        <f>""&amp;K397</f>
        <v/>
      </c>
      <c r="BG407" s="21" t="b">
        <v>1</v>
      </c>
      <c r="BH407" s="21" t="b">
        <v>0</v>
      </c>
      <c r="BI407" s="21"/>
      <c r="BJ407" s="21"/>
      <c r="BK407" s="21" t="str">
        <f ca="1">_xlfn.FORMULATEXT(BE407)</f>
        <v>=K397</v>
      </c>
      <c r="BL407" s="21" t="str">
        <f ca="1">_xlfn.FORMULATEXT(BE407)</f>
        <v>=K397</v>
      </c>
      <c r="BM407" s="21"/>
      <c r="BN407" s="261"/>
      <c r="BO407" s="261"/>
      <c r="BP407" s="261"/>
      <c r="BQ407" s="261"/>
      <c r="BR407" s="261"/>
    </row>
    <row r="408" spans="1:83" ht="14.5">
      <c r="A408" s="64" t="s">
        <v>673</v>
      </c>
      <c r="B408" s="489"/>
      <c r="C408" s="488"/>
      <c r="D408" s="490"/>
      <c r="E408" s="420"/>
      <c r="F408" s="418"/>
      <c r="G408" s="422"/>
      <c r="H408" s="420"/>
      <c r="I408" s="418"/>
      <c r="J408" s="422"/>
      <c r="K408" s="420"/>
      <c r="L408" s="418"/>
      <c r="M408" s="422"/>
      <c r="N408" s="420"/>
      <c r="O408" s="422"/>
      <c r="P408" s="64"/>
      <c r="S408" s="274"/>
      <c r="T408" s="274"/>
      <c r="U408" s="274"/>
      <c r="V408" s="274"/>
      <c r="W408" s="283"/>
      <c r="X408" s="283"/>
      <c r="Y408" s="274"/>
      <c r="Z408" s="274"/>
      <c r="AA408" s="283"/>
      <c r="AB408" s="283"/>
      <c r="AC408" s="283"/>
      <c r="AD408" s="22">
        <f>ROW()</f>
        <v>408</v>
      </c>
      <c r="AE408" s="22"/>
      <c r="AF408" s="22"/>
      <c r="AG408" s="22"/>
      <c r="AH408" s="22"/>
      <c r="AI408" s="22"/>
      <c r="AJ408" s="22"/>
      <c r="AK408" s="22"/>
      <c r="AL408" s="22"/>
      <c r="AM408" s="22"/>
      <c r="AN408" s="22"/>
      <c r="AO408" s="22"/>
      <c r="AP408" s="22"/>
      <c r="AQ408" s="274"/>
      <c r="AR408" s="274"/>
      <c r="AS408" s="274"/>
      <c r="AT408" s="274"/>
      <c r="AU408" s="274"/>
      <c r="AV408" s="274"/>
      <c r="AW408" s="274"/>
      <c r="AX408" s="274"/>
      <c r="AY408" s="274"/>
      <c r="AZ408" s="274"/>
      <c r="BB408" s="30" t="s">
        <v>1017</v>
      </c>
      <c r="BC408" s="21" t="s">
        <v>127</v>
      </c>
      <c r="BD408" s="21" t="b">
        <v>1</v>
      </c>
      <c r="BE408" s="21">
        <f>N397</f>
        <v>0</v>
      </c>
      <c r="BF408" s="21" t="str">
        <f>""&amp;N397</f>
        <v/>
      </c>
      <c r="BG408" s="21" t="b">
        <v>1</v>
      </c>
      <c r="BH408" s="21" t="b">
        <v>0</v>
      </c>
      <c r="BK408" s="21" t="str">
        <f ca="1">_xlfn.FORMULATEXT(BE408)</f>
        <v>=N397</v>
      </c>
      <c r="BL408" s="21" t="str">
        <f ca="1">_xlfn.FORMULATEXT(BE408)</f>
        <v>=N397</v>
      </c>
      <c r="BN408" s="261"/>
      <c r="BO408" s="261"/>
      <c r="BP408" s="261"/>
      <c r="BQ408" s="261"/>
      <c r="BR408" s="261"/>
      <c r="BS408" s="274"/>
      <c r="BT408" s="274"/>
      <c r="BU408" s="274"/>
      <c r="BV408" s="274"/>
      <c r="BW408" s="274"/>
      <c r="BX408" s="274"/>
      <c r="CE408" s="274"/>
    </row>
    <row r="409" spans="1:70" ht="14.5">
      <c r="A409" s="64" t="s">
        <v>673</v>
      </c>
      <c r="B409" s="284" t="s">
        <v>993</v>
      </c>
      <c r="C409" s="285"/>
      <c r="D409" s="285"/>
      <c r="E409" s="623" t="str" cm="1">
        <f t="array" ref="E409">TEXT(SUM(_xlfn.NUMBERVALUE(E410:G414)),"0.00")</f>
        <v>0.00</v>
      </c>
      <c r="F409" s="622"/>
      <c r="G409" s="624"/>
      <c r="H409" s="623" t="str" cm="1">
        <f t="array" ref="H409">TEXT(SUM(_xlfn.NUMBERVALUE(H410:J414)),"0.00")</f>
        <v>0.00</v>
      </c>
      <c r="I409" s="622"/>
      <c r="J409" s="624"/>
      <c r="K409" s="623" t="str" cm="1">
        <f t="array" ref="K409">TEXT(SUM(_xlfn.NUMBERVALUE(K410:M414)),"0.00")</f>
        <v>0.00</v>
      </c>
      <c r="L409" s="622"/>
      <c r="M409" s="624"/>
      <c r="N409" s="623" t="str" cm="1">
        <f t="array" ref="N409">TEXT(SUM(_xlfn.NUMBERVALUE(N410:O414)),"0.00")</f>
        <v>0.00</v>
      </c>
      <c r="O409" s="624"/>
      <c r="P409" s="64"/>
      <c r="S409" s="274"/>
      <c r="T409" s="274"/>
      <c r="U409" s="274"/>
      <c r="V409" s="274"/>
      <c r="W409" s="283"/>
      <c r="X409" s="283"/>
      <c r="Y409" s="274"/>
      <c r="Z409" s="274"/>
      <c r="AA409" s="283"/>
      <c r="AB409" s="283"/>
      <c r="AC409" s="283"/>
      <c r="AD409" s="22">
        <f>ROW()</f>
        <v>409</v>
      </c>
      <c r="AE409" s="22"/>
      <c r="AF409" s="22"/>
      <c r="AG409" s="22"/>
      <c r="AH409" s="22"/>
      <c r="AI409" s="22"/>
      <c r="AJ409" s="22"/>
      <c r="AK409" s="22"/>
      <c r="AL409" s="22"/>
      <c r="AM409" s="22"/>
      <c r="AN409" s="22"/>
      <c r="AO409" s="22"/>
      <c r="AP409" s="22"/>
      <c r="AQ409" s="274"/>
      <c r="AR409" s="274"/>
      <c r="AS409" s="274"/>
      <c r="AT409" s="274"/>
      <c r="AU409" s="274"/>
      <c r="AV409" s="274"/>
      <c r="AW409" s="274"/>
      <c r="AX409" s="274"/>
      <c r="AY409" s="274"/>
      <c r="AZ409" s="274"/>
      <c r="BB409" s="30" t="s">
        <v>1018</v>
      </c>
      <c r="BC409" s="21" t="s">
        <v>127</v>
      </c>
      <c r="BD409" s="21" t="b">
        <v>1</v>
      </c>
      <c r="BE409" s="21">
        <f>E398</f>
        <v>0</v>
      </c>
      <c r="BF409" s="21" t="str">
        <f>""&amp;E398</f>
        <v/>
      </c>
      <c r="BG409" s="21" t="b">
        <v>1</v>
      </c>
      <c r="BH409" s="21" t="b">
        <v>0</v>
      </c>
      <c r="BK409" s="21" t="str">
        <f ca="1">_xlfn.FORMULATEXT(BE409)</f>
        <v>=E398</v>
      </c>
      <c r="BL409" s="21" t="str">
        <f ca="1">_xlfn.FORMULATEXT(BE409)</f>
        <v>=E398</v>
      </c>
      <c r="BN409" s="261"/>
      <c r="BO409" s="261"/>
      <c r="BP409" s="261"/>
      <c r="BQ409" s="261"/>
      <c r="BR409" s="261"/>
    </row>
    <row r="410" spans="1:70" ht="14.5">
      <c r="A410" s="64" t="s">
        <v>673</v>
      </c>
      <c r="B410" s="275" t="s">
        <v>1019</v>
      </c>
      <c r="C410" s="275"/>
      <c r="D410" s="275"/>
      <c r="E410" s="408"/>
      <c r="F410" s="407"/>
      <c r="G410" s="409"/>
      <c r="H410" s="408"/>
      <c r="I410" s="407"/>
      <c r="J410" s="409"/>
      <c r="K410" s="408"/>
      <c r="L410" s="407"/>
      <c r="M410" s="409"/>
      <c r="N410" s="408"/>
      <c r="O410" s="409"/>
      <c r="P410" s="64"/>
      <c r="S410" s="274"/>
      <c r="T410" s="274"/>
      <c r="U410" s="274"/>
      <c r="V410" s="274"/>
      <c r="W410" s="283"/>
      <c r="X410" s="283"/>
      <c r="Y410" s="274"/>
      <c r="Z410" s="274"/>
      <c r="AA410" s="283"/>
      <c r="AB410" s="283"/>
      <c r="AC410" s="283"/>
      <c r="AD410" s="22">
        <f>ROW()</f>
        <v>410</v>
      </c>
      <c r="AE410" s="22"/>
      <c r="AF410" s="22"/>
      <c r="AG410" s="22"/>
      <c r="AH410" s="22"/>
      <c r="AI410" s="22"/>
      <c r="AJ410" s="22"/>
      <c r="AK410" s="22"/>
      <c r="AL410" s="22"/>
      <c r="AM410" s="22"/>
      <c r="AN410" s="22"/>
      <c r="AO410" s="22"/>
      <c r="AP410" s="22"/>
      <c r="AQ410" s="274"/>
      <c r="AR410" s="274"/>
      <c r="AS410" s="274"/>
      <c r="AT410" s="274"/>
      <c r="AU410" s="274"/>
      <c r="AV410" s="274"/>
      <c r="AW410" s="274"/>
      <c r="AX410" s="274"/>
      <c r="AY410" s="274"/>
      <c r="AZ410" s="274"/>
      <c r="BB410" s="30" t="s">
        <v>1020</v>
      </c>
      <c r="BC410" s="21" t="s">
        <v>127</v>
      </c>
      <c r="BD410" s="21" t="b">
        <v>1</v>
      </c>
      <c r="BE410" s="21">
        <f>H398</f>
        <v>0</v>
      </c>
      <c r="BF410" s="21" t="str">
        <f>""&amp;H398</f>
        <v/>
      </c>
      <c r="BG410" s="21" t="b">
        <v>1</v>
      </c>
      <c r="BH410" s="21" t="b">
        <v>0</v>
      </c>
      <c r="BK410" s="21" t="str">
        <f ca="1">_xlfn.FORMULATEXT(BE410)</f>
        <v>=H398</v>
      </c>
      <c r="BL410" s="21" t="str">
        <f ca="1">_xlfn.FORMULATEXT(BE410)</f>
        <v>=H398</v>
      </c>
      <c r="BN410" s="261"/>
      <c r="BO410" s="261"/>
      <c r="BP410" s="261"/>
      <c r="BQ410" s="261"/>
      <c r="BR410" s="261"/>
    </row>
    <row r="411" spans="1:70" ht="14.75" customHeight="1">
      <c r="A411" s="64" t="s">
        <v>673</v>
      </c>
      <c r="B411" s="275" t="s">
        <v>997</v>
      </c>
      <c r="C411" s="275"/>
      <c r="D411" s="275"/>
      <c r="E411" s="408"/>
      <c r="F411" s="407"/>
      <c r="G411" s="409"/>
      <c r="H411" s="408"/>
      <c r="I411" s="407"/>
      <c r="J411" s="409"/>
      <c r="K411" s="408"/>
      <c r="L411" s="407"/>
      <c r="M411" s="409"/>
      <c r="N411" s="408"/>
      <c r="O411" s="409"/>
      <c r="P411" s="64"/>
      <c r="S411" s="274"/>
      <c r="T411" s="274"/>
      <c r="U411" s="274"/>
      <c r="V411" s="274"/>
      <c r="W411" s="283"/>
      <c r="X411" s="283"/>
      <c r="Y411" s="274"/>
      <c r="Z411" s="274"/>
      <c r="AA411" s="283"/>
      <c r="AB411" s="283"/>
      <c r="AC411" s="283"/>
      <c r="AD411" s="22">
        <f>ROW()</f>
        <v>411</v>
      </c>
      <c r="AE411" s="22"/>
      <c r="AF411" s="22"/>
      <c r="AG411" s="22"/>
      <c r="AH411" s="22"/>
      <c r="AI411" s="22"/>
      <c r="AJ411" s="22"/>
      <c r="AK411" s="22"/>
      <c r="AL411" s="22"/>
      <c r="AM411" s="22"/>
      <c r="AN411" s="22"/>
      <c r="AO411" s="22"/>
      <c r="AP411" s="22"/>
      <c r="AQ411" s="274"/>
      <c r="AR411" s="274"/>
      <c r="AS411" s="274"/>
      <c r="AT411" s="274"/>
      <c r="AU411" s="274"/>
      <c r="AV411" s="274"/>
      <c r="AW411" s="274"/>
      <c r="AX411" s="274"/>
      <c r="AY411" s="274"/>
      <c r="AZ411" s="274"/>
      <c r="BB411" s="30" t="s">
        <v>1021</v>
      </c>
      <c r="BC411" s="21" t="s">
        <v>127</v>
      </c>
      <c r="BD411" s="21" t="b">
        <v>1</v>
      </c>
      <c r="BE411" s="21">
        <f>K398</f>
        <v>0</v>
      </c>
      <c r="BF411" s="21" t="str">
        <f>""&amp;K398</f>
        <v/>
      </c>
      <c r="BG411" s="21" t="b">
        <v>1</v>
      </c>
      <c r="BH411" s="21" t="b">
        <v>0</v>
      </c>
      <c r="BK411" s="21" t="str">
        <f ca="1">_xlfn.FORMULATEXT(BE411)</f>
        <v>=K398</v>
      </c>
      <c r="BL411" s="21" t="str">
        <f ca="1">_xlfn.FORMULATEXT(BE411)</f>
        <v>=K398</v>
      </c>
      <c r="BN411" s="261"/>
      <c r="BO411" s="261"/>
      <c r="BP411" s="261"/>
      <c r="BQ411" s="261"/>
      <c r="BR411" s="261"/>
    </row>
    <row r="412" spans="1:70" ht="14.5">
      <c r="A412" s="64" t="s">
        <v>673</v>
      </c>
      <c r="B412" s="275" t="s">
        <v>999</v>
      </c>
      <c r="C412" s="275"/>
      <c r="D412" s="275"/>
      <c r="E412" s="408"/>
      <c r="F412" s="407"/>
      <c r="G412" s="409"/>
      <c r="H412" s="408"/>
      <c r="I412" s="407"/>
      <c r="J412" s="409"/>
      <c r="K412" s="408"/>
      <c r="L412" s="407"/>
      <c r="M412" s="409"/>
      <c r="N412" s="408"/>
      <c r="O412" s="409"/>
      <c r="P412" s="64"/>
      <c r="S412" s="274"/>
      <c r="T412" s="274"/>
      <c r="U412" s="274"/>
      <c r="V412" s="274"/>
      <c r="W412" s="283"/>
      <c r="X412" s="283"/>
      <c r="Y412" s="274"/>
      <c r="Z412" s="274"/>
      <c r="AA412" s="283"/>
      <c r="AB412" s="283"/>
      <c r="AC412" s="283"/>
      <c r="AD412" s="22">
        <f>ROW()</f>
        <v>412</v>
      </c>
      <c r="AE412" s="22"/>
      <c r="AF412" s="22"/>
      <c r="AG412" s="22"/>
      <c r="AH412" s="22"/>
      <c r="AI412" s="22"/>
      <c r="AJ412" s="22"/>
      <c r="AK412" s="22"/>
      <c r="AL412" s="22"/>
      <c r="AM412" s="22"/>
      <c r="AN412" s="22"/>
      <c r="AO412" s="22"/>
      <c r="AP412" s="22"/>
      <c r="AQ412" s="274"/>
      <c r="AR412" s="274"/>
      <c r="AS412" s="274"/>
      <c r="AT412" s="274"/>
      <c r="AU412" s="274"/>
      <c r="AV412" s="274"/>
      <c r="AW412" s="274"/>
      <c r="AX412" s="274"/>
      <c r="AY412" s="274"/>
      <c r="AZ412" s="274"/>
      <c r="BB412" s="30" t="s">
        <v>1022</v>
      </c>
      <c r="BC412" s="21" t="s">
        <v>127</v>
      </c>
      <c r="BD412" s="21" t="b">
        <v>1</v>
      </c>
      <c r="BE412" s="21">
        <f>N398</f>
        <v>0</v>
      </c>
      <c r="BF412" s="21" t="str">
        <f>""&amp;N398</f>
        <v/>
      </c>
      <c r="BG412" s="21" t="b">
        <v>1</v>
      </c>
      <c r="BH412" s="21" t="b">
        <v>0</v>
      </c>
      <c r="BK412" s="21" t="str">
        <f ca="1">_xlfn.FORMULATEXT(BE412)</f>
        <v>=N398</v>
      </c>
      <c r="BL412" s="21" t="str">
        <f ca="1">_xlfn.FORMULATEXT(BE412)</f>
        <v>=N398</v>
      </c>
      <c r="BN412" s="261"/>
      <c r="BO412" s="261"/>
      <c r="BP412" s="261"/>
      <c r="BQ412" s="261"/>
      <c r="BR412" s="261"/>
    </row>
    <row r="413" spans="1:70" ht="14.5">
      <c r="A413" s="64" t="s">
        <v>673</v>
      </c>
      <c r="B413" s="487" t="s">
        <v>1001</v>
      </c>
      <c r="C413" s="487"/>
      <c r="D413" s="487"/>
      <c r="E413" s="419"/>
      <c r="F413" s="417"/>
      <c r="G413" s="421"/>
      <c r="H413" s="419"/>
      <c r="I413" s="417"/>
      <c r="J413" s="421"/>
      <c r="K413" s="419"/>
      <c r="L413" s="417"/>
      <c r="M413" s="421"/>
      <c r="N413" s="419"/>
      <c r="O413" s="421"/>
      <c r="P413" s="64"/>
      <c r="S413" s="274"/>
      <c r="T413" s="274"/>
      <c r="U413" s="274"/>
      <c r="V413" s="274"/>
      <c r="W413" s="283"/>
      <c r="X413" s="283"/>
      <c r="Y413" s="274"/>
      <c r="Z413" s="274"/>
      <c r="AA413" s="283"/>
      <c r="AB413" s="283"/>
      <c r="AC413" s="283"/>
      <c r="AD413" s="22">
        <f>ROW()</f>
        <v>413</v>
      </c>
      <c r="AE413" s="22"/>
      <c r="AF413" s="22"/>
      <c r="AG413" s="22"/>
      <c r="AH413" s="22"/>
      <c r="AI413" s="22"/>
      <c r="AJ413" s="22"/>
      <c r="AK413" s="22"/>
      <c r="AL413" s="22"/>
      <c r="AM413" s="22"/>
      <c r="AN413" s="22"/>
      <c r="AO413" s="22"/>
      <c r="AP413" s="22"/>
      <c r="AQ413" s="274"/>
      <c r="AR413" s="274"/>
      <c r="AS413" s="274"/>
      <c r="AT413" s="274"/>
      <c r="AU413" s="274"/>
      <c r="AV413" s="274"/>
      <c r="AW413" s="274"/>
      <c r="AX413" s="274"/>
      <c r="AY413" s="274"/>
      <c r="AZ413" s="274"/>
      <c r="BB413" s="30" t="s">
        <v>1023</v>
      </c>
      <c r="BC413" s="21" t="s">
        <v>127</v>
      </c>
      <c r="BD413" s="21" t="b">
        <v>1</v>
      </c>
      <c r="BE413" s="21">
        <f>E399</f>
        <v>0</v>
      </c>
      <c r="BF413" s="21" t="str">
        <f>""&amp;E399</f>
        <v/>
      </c>
      <c r="BG413" s="21" t="b">
        <v>1</v>
      </c>
      <c r="BH413" s="21" t="b">
        <v>0</v>
      </c>
      <c r="BK413" s="21" t="str">
        <f ca="1">_xlfn.FORMULATEXT(BE413)</f>
        <v>=E399</v>
      </c>
      <c r="BL413" s="21" t="str">
        <f ca="1">_xlfn.FORMULATEXT(BE413)</f>
        <v>=E399</v>
      </c>
      <c r="BN413" s="261"/>
      <c r="BO413" s="261"/>
      <c r="BP413" s="261"/>
      <c r="BQ413" s="261"/>
      <c r="BR413" s="261"/>
    </row>
    <row r="414" spans="1:70" ht="14.5">
      <c r="A414" s="64" t="s">
        <v>673</v>
      </c>
      <c r="B414" s="489"/>
      <c r="C414" s="488"/>
      <c r="D414" s="490"/>
      <c r="E414" s="420"/>
      <c r="F414" s="418"/>
      <c r="G414" s="422"/>
      <c r="H414" s="420"/>
      <c r="I414" s="418"/>
      <c r="J414" s="422"/>
      <c r="K414" s="420"/>
      <c r="L414" s="418"/>
      <c r="M414" s="422"/>
      <c r="N414" s="420"/>
      <c r="O414" s="422"/>
      <c r="P414" s="64"/>
      <c r="S414" s="274"/>
      <c r="T414" s="274"/>
      <c r="U414" s="274"/>
      <c r="V414" s="274"/>
      <c r="W414" s="283"/>
      <c r="X414" s="283"/>
      <c r="Y414" s="274"/>
      <c r="Z414" s="274"/>
      <c r="AA414" s="283"/>
      <c r="AB414" s="283"/>
      <c r="AC414" s="283"/>
      <c r="AD414" s="22">
        <f>ROW()</f>
        <v>414</v>
      </c>
      <c r="AE414" s="22"/>
      <c r="AF414" s="22"/>
      <c r="AG414" s="22"/>
      <c r="AH414" s="22"/>
      <c r="AI414" s="22"/>
      <c r="AJ414" s="22"/>
      <c r="AK414" s="22"/>
      <c r="AL414" s="22"/>
      <c r="AM414" s="22"/>
      <c r="AN414" s="22"/>
      <c r="AO414" s="22"/>
      <c r="AP414" s="22"/>
      <c r="AQ414" s="274"/>
      <c r="AR414" s="274"/>
      <c r="AS414" s="274"/>
      <c r="AT414" s="274"/>
      <c r="AU414" s="274"/>
      <c r="AV414" s="274"/>
      <c r="AW414" s="274"/>
      <c r="AX414" s="274"/>
      <c r="AY414" s="274"/>
      <c r="AZ414" s="274"/>
      <c r="BB414" s="30" t="s">
        <v>1024</v>
      </c>
      <c r="BC414" s="21" t="s">
        <v>127</v>
      </c>
      <c r="BD414" s="21" t="b">
        <v>1</v>
      </c>
      <c r="BE414" s="21">
        <f>H399</f>
        <v>0</v>
      </c>
      <c r="BF414" s="21" t="str">
        <f>""&amp;H399</f>
        <v/>
      </c>
      <c r="BG414" s="21" t="b">
        <v>1</v>
      </c>
      <c r="BH414" s="21" t="b">
        <v>0</v>
      </c>
      <c r="BK414" s="21" t="str">
        <f ca="1">_xlfn.FORMULATEXT(BE414)</f>
        <v>=H399</v>
      </c>
      <c r="BL414" s="21" t="str">
        <f ca="1">_xlfn.FORMULATEXT(BE414)</f>
        <v>=H399</v>
      </c>
      <c r="BN414" s="261"/>
      <c r="BO414" s="261"/>
      <c r="BP414" s="261"/>
      <c r="BQ414" s="261"/>
      <c r="BR414" s="261"/>
    </row>
    <row r="415" spans="1:70" ht="14.5">
      <c r="A415" s="64" t="s">
        <v>673</v>
      </c>
      <c r="B415" s="285" t="s">
        <v>1004</v>
      </c>
      <c r="C415" s="285"/>
      <c r="D415" s="285"/>
      <c r="E415" s="623" t="str">
        <f>TEXT(_xlfn.NUMBERVALUE(E403)+_xlfn.NUMBERVALUE(E404)-_xlfn.NUMBERVALUE(E409),"0.00")</f>
        <v>0.00</v>
      </c>
      <c r="F415" s="622"/>
      <c r="G415" s="624"/>
      <c r="H415" s="623" t="str">
        <f>TEXT(_xlfn.NUMBERVALUE(H403)+_xlfn.NUMBERVALUE(H404)-_xlfn.NUMBERVALUE(H409),"0.00")</f>
        <v>0.00</v>
      </c>
      <c r="I415" s="622"/>
      <c r="J415" s="624"/>
      <c r="K415" s="623" t="str">
        <f>TEXT(_xlfn.NUMBERVALUE(K403)+_xlfn.NUMBERVALUE(K404)-_xlfn.NUMBERVALUE(K409),"0.00")</f>
        <v>0.00</v>
      </c>
      <c r="L415" s="622"/>
      <c r="M415" s="624"/>
      <c r="N415" s="643"/>
      <c r="O415" s="644"/>
      <c r="P415" s="64"/>
      <c r="S415" s="274"/>
      <c r="T415" s="274"/>
      <c r="U415" s="274"/>
      <c r="V415" s="274"/>
      <c r="W415" s="283"/>
      <c r="X415" s="283"/>
      <c r="Y415" s="274"/>
      <c r="Z415" s="274"/>
      <c r="AD415" s="22">
        <f>ROW()</f>
        <v>415</v>
      </c>
      <c r="AE415" s="22"/>
      <c r="AF415" s="22"/>
      <c r="AG415" s="22"/>
      <c r="AH415" s="22"/>
      <c r="AI415" s="22"/>
      <c r="AJ415" s="22"/>
      <c r="AK415" s="22"/>
      <c r="AL415" s="22"/>
      <c r="AM415" s="22"/>
      <c r="AN415" s="22"/>
      <c r="AO415" s="22"/>
      <c r="AP415" s="22"/>
      <c r="AQ415" s="274"/>
      <c r="AR415" s="274"/>
      <c r="AS415" s="274"/>
      <c r="AT415" s="274"/>
      <c r="AU415" s="274"/>
      <c r="AV415" s="274"/>
      <c r="AW415" s="274"/>
      <c r="AX415" s="274"/>
      <c r="AY415" s="274"/>
      <c r="AZ415" s="274"/>
      <c r="BB415" s="30" t="s">
        <v>1025</v>
      </c>
      <c r="BC415" s="21" t="s">
        <v>127</v>
      </c>
      <c r="BD415" s="21" t="b">
        <v>1</v>
      </c>
      <c r="BE415" s="21">
        <f>K399</f>
        <v>0</v>
      </c>
      <c r="BF415" s="21" t="str">
        <f>""&amp;K399</f>
        <v/>
      </c>
      <c r="BG415" s="21" t="b">
        <v>1</v>
      </c>
      <c r="BH415" s="21" t="b">
        <v>0</v>
      </c>
      <c r="BK415" s="21" t="str">
        <f ca="1">_xlfn.FORMULATEXT(BE415)</f>
        <v>=K399</v>
      </c>
      <c r="BL415" s="21" t="str">
        <f ca="1">_xlfn.FORMULATEXT(BE415)</f>
        <v>=K399</v>
      </c>
      <c r="BN415" s="261"/>
      <c r="BO415" s="261"/>
      <c r="BP415" s="261"/>
      <c r="BQ415" s="261"/>
      <c r="BR415" s="261"/>
    </row>
    <row r="416" spans="1:70" ht="14.5">
      <c r="A416" s="64" t="s">
        <v>673</v>
      </c>
      <c r="B416" s="64"/>
      <c r="C416" s="64"/>
      <c r="D416" s="64"/>
      <c r="E416" s="64"/>
      <c r="F416" s="64"/>
      <c r="G416" s="64"/>
      <c r="H416" s="64"/>
      <c r="I416" s="64"/>
      <c r="J416" s="64"/>
      <c r="K416" s="64"/>
      <c r="L416" s="64"/>
      <c r="M416" s="64"/>
      <c r="N416" s="64"/>
      <c r="O416" s="64"/>
      <c r="P416" s="64"/>
      <c r="AD416" s="22">
        <f>ROW()</f>
        <v>416</v>
      </c>
      <c r="AE416" s="22"/>
      <c r="AF416" s="22"/>
      <c r="AG416" s="22"/>
      <c r="AH416" s="22"/>
      <c r="AI416" s="22"/>
      <c r="AJ416" s="22"/>
      <c r="AK416" s="22"/>
      <c r="AL416" s="22"/>
      <c r="AM416" s="22"/>
      <c r="AN416" s="22"/>
      <c r="AO416" s="22"/>
      <c r="AP416" s="22"/>
      <c r="AQ416" s="274"/>
      <c r="AY416" s="274"/>
      <c r="AZ416" s="274"/>
      <c r="BB416" s="30" t="s">
        <v>1026</v>
      </c>
      <c r="BC416" s="21" t="s">
        <v>127</v>
      </c>
      <c r="BD416" s="21" t="b">
        <v>1</v>
      </c>
      <c r="BE416" s="261">
        <f>N399</f>
        <v>0</v>
      </c>
      <c r="BF416" s="21" t="str">
        <f>""&amp;N399</f>
        <v/>
      </c>
      <c r="BG416" s="21" t="b">
        <v>1</v>
      </c>
      <c r="BH416" s="21" t="b">
        <v>0</v>
      </c>
      <c r="BJ416" s="261"/>
      <c r="BK416" s="21" t="str">
        <f ca="1">_xlfn.FORMULATEXT(BE416)</f>
        <v>=N399</v>
      </c>
      <c r="BL416" s="21" t="str">
        <f ca="1">_xlfn.FORMULATEXT(BE416)</f>
        <v>=N399</v>
      </c>
      <c r="BN416" s="261"/>
      <c r="BO416" s="261"/>
      <c r="BP416" s="261"/>
      <c r="BQ416" s="261"/>
      <c r="BR416" s="261"/>
    </row>
    <row r="417" spans="1:81" s="710" customFormat="1" ht="14.5" hidden="1">
      <c r="A417" s="753" t="s">
        <v>673</v>
      </c>
      <c r="B417" s="754" t="s">
        <v>1028</v>
      </c>
      <c r="C417" s="755"/>
      <c r="D417" s="755"/>
      <c r="E417" s="755"/>
      <c r="F417" s="755"/>
      <c r="G417" s="755"/>
      <c r="H417" s="755"/>
      <c r="I417" s="755"/>
      <c r="J417" s="755"/>
      <c r="K417" s="755"/>
      <c r="L417" s="755"/>
      <c r="M417" s="755"/>
      <c r="N417" s="755"/>
      <c r="O417" s="755"/>
      <c r="P417" s="753"/>
      <c r="Q417" s="710"/>
      <c r="R417" s="710"/>
      <c r="S417" s="710"/>
      <c r="T417" s="710"/>
      <c r="U417" s="710"/>
      <c r="V417" s="710"/>
      <c r="W417" s="710"/>
      <c r="X417" s="710"/>
      <c r="Y417" s="710"/>
      <c r="Z417" s="710"/>
      <c r="AA417" s="710"/>
      <c r="AB417" s="710"/>
      <c r="AC417" s="710"/>
      <c r="AD417" s="22">
        <f>ROW()</f>
        <v>417</v>
      </c>
      <c r="AE417" s="22"/>
      <c r="AF417" s="22"/>
      <c r="AG417" s="22"/>
      <c r="AH417" s="22"/>
      <c r="AI417" s="22"/>
      <c r="AJ417" s="22"/>
      <c r="AK417" s="22"/>
      <c r="AL417" s="22"/>
      <c r="AM417" s="22"/>
      <c r="AN417" s="22"/>
      <c r="AO417" s="22"/>
      <c r="AP417" s="22"/>
      <c r="AQ417" s="756"/>
      <c r="AR417" s="710"/>
      <c r="AS417" s="710"/>
      <c r="AT417" s="710"/>
      <c r="AU417" s="710"/>
      <c r="AV417" s="710"/>
      <c r="AW417" s="710"/>
      <c r="AX417" s="710"/>
      <c r="AY417" s="710"/>
      <c r="AZ417" s="710"/>
      <c r="BA417" s="710"/>
      <c r="BB417" s="714" t="s">
        <v>1029</v>
      </c>
      <c r="BC417" s="710" t="s">
        <v>127</v>
      </c>
      <c r="BD417" s="710" t="b">
        <v>0</v>
      </c>
      <c r="BE417" s="757">
        <f>B400</f>
        <v>0</v>
      </c>
      <c r="BF417" s="710" t="str">
        <f>""&amp;B400</f>
        <v/>
      </c>
      <c r="BG417" s="710" t="b">
        <v>1</v>
      </c>
      <c r="BH417" s="710" t="b">
        <v>0</v>
      </c>
      <c r="BI417" s="710"/>
      <c r="BJ417" s="757"/>
      <c r="BK417" s="710" t="str">
        <f ca="1">_xlfn.FORMULATEXT(BE417)</f>
        <v>=B400</v>
      </c>
      <c r="BL417" s="710" t="str">
        <f ca="1">_xlfn.FORMULATEXT(BE417)</f>
        <v>=B400</v>
      </c>
      <c r="BM417" s="710"/>
      <c r="BN417" s="757"/>
      <c r="BO417" s="757"/>
      <c r="BP417" s="757"/>
      <c r="BQ417" s="757"/>
      <c r="BR417" s="756"/>
      <c r="BS417" s="710"/>
      <c r="BT417" s="710"/>
      <c r="BU417" s="710"/>
      <c r="BV417" s="710"/>
      <c r="BW417" s="710"/>
      <c r="BX417" s="710"/>
      <c r="BY417" s="710"/>
      <c r="BZ417" s="710"/>
      <c r="CA417" s="710"/>
      <c r="CB417" s="710"/>
      <c r="CC417" s="710"/>
    </row>
    <row r="418" spans="1:81" s="710" customFormat="1" ht="14.75" customHeight="1" hidden="1">
      <c r="A418" s="753" t="s">
        <v>673</v>
      </c>
      <c r="B418" s="753"/>
      <c r="C418" s="753"/>
      <c r="D418" s="753"/>
      <c r="E418" s="753"/>
      <c r="F418" s="753"/>
      <c r="G418" s="753"/>
      <c r="H418" s="753"/>
      <c r="I418" s="753"/>
      <c r="J418" s="753"/>
      <c r="K418" s="753"/>
      <c r="L418" s="753"/>
      <c r="M418" s="753"/>
      <c r="N418" s="753"/>
      <c r="O418" s="753"/>
      <c r="P418" s="753"/>
      <c r="Q418" s="710"/>
      <c r="R418" s="710"/>
      <c r="S418" s="710"/>
      <c r="T418" s="710"/>
      <c r="U418" s="710"/>
      <c r="V418" s="710"/>
      <c r="W418" s="710"/>
      <c r="X418" s="710"/>
      <c r="Y418" s="710"/>
      <c r="Z418" s="710"/>
      <c r="AA418" s="710"/>
      <c r="AB418" s="710"/>
      <c r="AC418" s="710"/>
      <c r="AD418" s="22">
        <f>ROW()</f>
        <v>418</v>
      </c>
      <c r="AE418" s="22"/>
      <c r="AF418" s="22"/>
      <c r="AG418" s="22"/>
      <c r="AH418" s="22"/>
      <c r="AI418" s="22"/>
      <c r="AJ418" s="22"/>
      <c r="AK418" s="22"/>
      <c r="AL418" s="22"/>
      <c r="AM418" s="22"/>
      <c r="AN418" s="22"/>
      <c r="AO418" s="22"/>
      <c r="AP418" s="22"/>
      <c r="AQ418" s="710"/>
      <c r="AR418" s="710"/>
      <c r="AS418" s="710"/>
      <c r="AT418" s="710"/>
      <c r="AU418" s="710"/>
      <c r="AV418" s="710"/>
      <c r="AW418" s="710"/>
      <c r="AX418" s="710"/>
      <c r="AY418" s="710"/>
      <c r="AZ418" s="710"/>
      <c r="BA418" s="710"/>
      <c r="BB418" s="714" t="s">
        <v>1030</v>
      </c>
      <c r="BC418" s="710" t="s">
        <v>123</v>
      </c>
      <c r="BD418" s="710" t="b">
        <v>0</v>
      </c>
      <c r="BE418" s="757" t="s">
        <v>886</v>
      </c>
      <c r="BF418" s="710" t="s">
        <v>886</v>
      </c>
      <c r="BG418" s="710" t="b">
        <v>0</v>
      </c>
      <c r="BH418" s="710" t="b">
        <v>0</v>
      </c>
      <c r="BI418" s="710"/>
      <c r="BJ418" s="757"/>
      <c r="BK418" s="710" t="s">
        <v>125</v>
      </c>
      <c r="BL418" s="710" t="s">
        <v>125</v>
      </c>
      <c r="BM418" s="710"/>
      <c r="BN418" s="757"/>
      <c r="BO418" s="757"/>
      <c r="BP418" s="757"/>
      <c r="BQ418" s="757"/>
      <c r="BR418" s="756"/>
      <c r="BS418" s="710"/>
      <c r="BT418" s="710"/>
      <c r="BU418" s="710"/>
      <c r="BV418" s="710"/>
      <c r="BW418" s="710"/>
      <c r="BX418" s="710"/>
      <c r="BY418" s="710"/>
      <c r="BZ418" s="710"/>
      <c r="CA418" s="710"/>
      <c r="CB418" s="710"/>
      <c r="CC418" s="710"/>
    </row>
    <row r="419" spans="1:81" s="710" customFormat="1" ht="14.5" hidden="1">
      <c r="A419" s="753" t="s">
        <v>673</v>
      </c>
      <c r="B419" s="753"/>
      <c r="C419" s="758" t="s">
        <v>735</v>
      </c>
      <c r="D419" s="758"/>
      <c r="E419" s="758"/>
      <c r="F419" s="758"/>
      <c r="G419" s="758"/>
      <c r="H419" s="759" t="s">
        <v>1031</v>
      </c>
      <c r="I419" s="759"/>
      <c r="J419" s="759" t="s">
        <v>1032</v>
      </c>
      <c r="K419" s="759"/>
      <c r="L419" s="759"/>
      <c r="M419" s="759" t="s">
        <v>1033</v>
      </c>
      <c r="N419" s="759"/>
      <c r="O419" s="753"/>
      <c r="P419" s="753"/>
      <c r="Q419" s="710"/>
      <c r="R419" s="760"/>
      <c r="S419" s="710"/>
      <c r="T419" s="710"/>
      <c r="U419" s="710"/>
      <c r="V419" s="710"/>
      <c r="W419" s="710"/>
      <c r="X419" s="710"/>
      <c r="Y419" s="710"/>
      <c r="Z419" s="710"/>
      <c r="AA419" s="710"/>
      <c r="AB419" s="710"/>
      <c r="AC419" s="710"/>
      <c r="AD419" s="22">
        <f>ROW()</f>
        <v>419</v>
      </c>
      <c r="AE419" s="22"/>
      <c r="AF419" s="22"/>
      <c r="AG419" s="22"/>
      <c r="AH419" s="22"/>
      <c r="AI419" s="22"/>
      <c r="AJ419" s="22"/>
      <c r="AK419" s="22"/>
      <c r="AL419" s="22"/>
      <c r="AM419" s="22"/>
      <c r="AN419" s="22"/>
      <c r="AO419" s="22"/>
      <c r="AP419" s="22"/>
      <c r="AQ419" s="710"/>
      <c r="AR419" s="710"/>
      <c r="AS419" s="710"/>
      <c r="AT419" s="710"/>
      <c r="AU419" s="710"/>
      <c r="AV419" s="710"/>
      <c r="AW419" s="710"/>
      <c r="AX419" s="710"/>
      <c r="AY419" s="710"/>
      <c r="AZ419" s="710"/>
      <c r="BA419" s="710"/>
      <c r="BB419" s="714" t="s">
        <v>1034</v>
      </c>
      <c r="BC419" s="710" t="s">
        <v>123</v>
      </c>
      <c r="BD419" s="710" t="b">
        <v>0</v>
      </c>
      <c r="BE419" s="757" t="str">
        <f>""</f>
        <v/>
      </c>
      <c r="BF419" s="710" t="str">
        <f>""&amp;""</f>
        <v/>
      </c>
      <c r="BG419" s="710" t="b">
        <v>0</v>
      </c>
      <c r="BH419" s="710" t="b">
        <v>0</v>
      </c>
      <c r="BI419" s="710"/>
      <c r="BJ419" s="757"/>
      <c r="BK419" s="710" t="s">
        <v>125</v>
      </c>
      <c r="BL419" s="710" t="s">
        <v>125</v>
      </c>
      <c r="BM419" s="710"/>
      <c r="BN419" s="757"/>
      <c r="BO419" s="756"/>
      <c r="BP419" s="756"/>
      <c r="BQ419" s="756"/>
      <c r="BR419" s="756"/>
      <c r="BS419" s="710"/>
      <c r="BT419" s="710"/>
      <c r="BU419" s="710"/>
      <c r="BV419" s="710"/>
      <c r="BW419" s="710"/>
      <c r="BX419" s="710"/>
      <c r="BY419" s="710"/>
      <c r="BZ419" s="710"/>
      <c r="CA419" s="710"/>
      <c r="CB419" s="710"/>
      <c r="CC419" s="710"/>
    </row>
    <row r="420" spans="1:81" s="710" customFormat="1" ht="14.75" customHeight="1" hidden="1">
      <c r="A420" s="753" t="s">
        <v>673</v>
      </c>
      <c r="B420" s="761"/>
      <c r="C420" s="762" t="s">
        <v>1035</v>
      </c>
      <c r="D420" s="762"/>
      <c r="E420" s="762"/>
      <c r="F420" s="762"/>
      <c r="G420" s="762"/>
      <c r="H420" s="763"/>
      <c r="I420" s="764"/>
      <c r="J420" s="763"/>
      <c r="K420" s="765"/>
      <c r="L420" s="764"/>
      <c r="M420" s="763"/>
      <c r="N420" s="764"/>
      <c r="O420" s="761"/>
      <c r="P420" s="753"/>
      <c r="Q420" s="710"/>
      <c r="R420" s="766"/>
      <c r="S420" s="710"/>
      <c r="T420" s="710"/>
      <c r="U420" s="710"/>
      <c r="V420" s="710"/>
      <c r="W420" s="710"/>
      <c r="X420" s="710"/>
      <c r="Y420" s="710"/>
      <c r="Z420" s="710"/>
      <c r="AA420" s="710"/>
      <c r="AB420" s="710"/>
      <c r="AC420" s="710"/>
      <c r="AD420" s="22">
        <f>ROW()</f>
        <v>420</v>
      </c>
      <c r="AE420" s="22"/>
      <c r="AF420" s="22"/>
      <c r="AG420" s="22"/>
      <c r="AH420" s="22"/>
      <c r="AI420" s="22"/>
      <c r="AJ420" s="22"/>
      <c r="AK420" s="22"/>
      <c r="AL420" s="22"/>
      <c r="AM420" s="22"/>
      <c r="AN420" s="22"/>
      <c r="AO420" s="22"/>
      <c r="AP420" s="22"/>
      <c r="AQ420" s="710"/>
      <c r="AR420" s="710"/>
      <c r="AS420" s="710"/>
      <c r="AT420" s="710"/>
      <c r="AU420" s="710"/>
      <c r="AV420" s="710"/>
      <c r="AW420" s="710"/>
      <c r="AX420" s="710"/>
      <c r="AY420" s="710"/>
      <c r="AZ420" s="710"/>
      <c r="BA420" s="710"/>
      <c r="BB420" s="714" t="s">
        <v>1036</v>
      </c>
      <c r="BC420" s="710" t="s">
        <v>127</v>
      </c>
      <c r="BD420" s="710" t="b">
        <v>1</v>
      </c>
      <c r="BE420" s="757">
        <f>E403</f>
        <v>0</v>
      </c>
      <c r="BF420" s="710" t="str">
        <f>""&amp;E403</f>
        <v/>
      </c>
      <c r="BG420" s="710" t="b">
        <v>1</v>
      </c>
      <c r="BH420" s="710" t="b">
        <v>0</v>
      </c>
      <c r="BI420" s="710"/>
      <c r="BJ420" s="757"/>
      <c r="BK420" s="710" t="str">
        <f ca="1">_xlfn.FORMULATEXT(BE420)</f>
        <v>=E403</v>
      </c>
      <c r="BL420" s="710" t="str">
        <f ca="1">_xlfn.FORMULATEXT(BE420)</f>
        <v>=E403</v>
      </c>
      <c r="BM420" s="710"/>
      <c r="BN420" s="757"/>
      <c r="BO420" s="756"/>
      <c r="BP420" s="756"/>
      <c r="BQ420" s="756"/>
      <c r="BR420" s="756"/>
      <c r="BS420" s="710"/>
      <c r="BT420" s="710"/>
      <c r="BU420" s="710"/>
      <c r="BV420" s="710"/>
      <c r="BW420" s="710"/>
      <c r="BX420" s="710"/>
      <c r="BY420" s="710"/>
      <c r="BZ420" s="710"/>
      <c r="CA420" s="710"/>
      <c r="CB420" s="710"/>
      <c r="CC420" s="710"/>
    </row>
    <row r="421" spans="1:81" s="710" customFormat="1" ht="14.75" customHeight="1" hidden="1">
      <c r="A421" s="753" t="s">
        <v>673</v>
      </c>
      <c r="B421" s="761"/>
      <c r="C421" s="762" t="s">
        <v>1037</v>
      </c>
      <c r="D421" s="762"/>
      <c r="E421" s="762"/>
      <c r="F421" s="762"/>
      <c r="G421" s="762"/>
      <c r="H421" s="763"/>
      <c r="I421" s="764"/>
      <c r="J421" s="763"/>
      <c r="K421" s="765"/>
      <c r="L421" s="764"/>
      <c r="M421" s="763"/>
      <c r="N421" s="764"/>
      <c r="O421" s="761"/>
      <c r="P421" s="753"/>
      <c r="Q421" s="710"/>
      <c r="R421" s="767"/>
      <c r="S421" s="710"/>
      <c r="T421" s="710"/>
      <c r="U421" s="710"/>
      <c r="V421" s="710"/>
      <c r="W421" s="710"/>
      <c r="X421" s="710"/>
      <c r="Y421" s="710"/>
      <c r="Z421" s="710"/>
      <c r="AA421" s="710"/>
      <c r="AB421" s="710"/>
      <c r="AC421" s="710"/>
      <c r="AD421" s="22">
        <f>ROW()</f>
        <v>421</v>
      </c>
      <c r="AE421" s="22"/>
      <c r="AF421" s="22"/>
      <c r="AG421" s="22"/>
      <c r="AH421" s="22"/>
      <c r="AI421" s="22"/>
      <c r="AJ421" s="22"/>
      <c r="AK421" s="22"/>
      <c r="AL421" s="22"/>
      <c r="AM421" s="22"/>
      <c r="AN421" s="22"/>
      <c r="AO421" s="22"/>
      <c r="AP421" s="22"/>
      <c r="AQ421" s="710"/>
      <c r="AR421" s="710"/>
      <c r="AS421" s="710"/>
      <c r="AT421" s="710"/>
      <c r="AU421" s="710"/>
      <c r="AV421" s="710"/>
      <c r="AW421" s="710"/>
      <c r="AX421" s="710"/>
      <c r="AY421" s="710"/>
      <c r="AZ421" s="710"/>
      <c r="BA421" s="710"/>
      <c r="BB421" s="714" t="s">
        <v>1038</v>
      </c>
      <c r="BC421" s="710" t="s">
        <v>127</v>
      </c>
      <c r="BD421" s="710" t="b">
        <v>1</v>
      </c>
      <c r="BE421" s="757">
        <f>H403</f>
        <v>0</v>
      </c>
      <c r="BF421" s="710" t="str">
        <f>""&amp;H403</f>
        <v/>
      </c>
      <c r="BG421" s="710" t="b">
        <v>1</v>
      </c>
      <c r="BH421" s="710" t="b">
        <v>0</v>
      </c>
      <c r="BI421" s="710"/>
      <c r="BJ421" s="757"/>
      <c r="BK421" s="710" t="str">
        <f ca="1">_xlfn.FORMULATEXT(BE421)</f>
        <v>=H403</v>
      </c>
      <c r="BL421" s="710" t="str">
        <f ca="1">_xlfn.FORMULATEXT(BE421)</f>
        <v>=H403</v>
      </c>
      <c r="BM421" s="710"/>
      <c r="BN421" s="756"/>
      <c r="BO421" s="756"/>
      <c r="BP421" s="756"/>
      <c r="BQ421" s="756"/>
      <c r="BR421" s="756"/>
      <c r="BS421" s="710"/>
      <c r="BT421" s="710"/>
      <c r="BU421" s="710"/>
      <c r="BV421" s="710"/>
      <c r="BW421" s="710"/>
      <c r="BX421" s="710"/>
      <c r="BY421" s="710"/>
      <c r="BZ421" s="710"/>
      <c r="CA421" s="710"/>
      <c r="CB421" s="710"/>
      <c r="CC421" s="710"/>
    </row>
    <row r="422" spans="1:81" s="710" customFormat="1" ht="14.75" customHeight="1" hidden="1">
      <c r="A422" s="753" t="s">
        <v>673</v>
      </c>
      <c r="B422" s="761"/>
      <c r="C422" s="768" t="s">
        <v>1039</v>
      </c>
      <c r="D422" s="762"/>
      <c r="E422" s="762"/>
      <c r="F422" s="762"/>
      <c r="G422" s="762"/>
      <c r="H422" s="763"/>
      <c r="I422" s="764"/>
      <c r="J422" s="763"/>
      <c r="K422" s="765"/>
      <c r="L422" s="764"/>
      <c r="M422" s="763"/>
      <c r="N422" s="764"/>
      <c r="O422" s="761"/>
      <c r="P422" s="753"/>
      <c r="Q422" s="710"/>
      <c r="R422" s="767"/>
      <c r="S422" s="710"/>
      <c r="T422" s="710"/>
      <c r="U422" s="710"/>
      <c r="V422" s="710"/>
      <c r="W422" s="710"/>
      <c r="X422" s="710"/>
      <c r="Y422" s="710"/>
      <c r="Z422" s="710"/>
      <c r="AA422" s="710"/>
      <c r="AB422" s="710"/>
      <c r="AC422" s="710"/>
      <c r="AD422" s="22">
        <f>ROW()</f>
        <v>422</v>
      </c>
      <c r="AE422" s="22"/>
      <c r="AF422" s="22"/>
      <c r="AG422" s="22"/>
      <c r="AH422" s="22"/>
      <c r="AI422" s="22"/>
      <c r="AJ422" s="22"/>
      <c r="AK422" s="22"/>
      <c r="AL422" s="22"/>
      <c r="AM422" s="22"/>
      <c r="AN422" s="22"/>
      <c r="AO422" s="22"/>
      <c r="AP422" s="22"/>
      <c r="AQ422" s="710"/>
      <c r="AR422" s="710"/>
      <c r="AS422" s="710"/>
      <c r="AT422" s="710"/>
      <c r="AU422" s="710"/>
      <c r="AV422" s="710"/>
      <c r="AW422" s="710"/>
      <c r="AX422" s="710"/>
      <c r="AY422" s="710"/>
      <c r="AZ422" s="710"/>
      <c r="BA422" s="710"/>
      <c r="BB422" s="714" t="s">
        <v>1040</v>
      </c>
      <c r="BC422" s="710" t="s">
        <v>127</v>
      </c>
      <c r="BD422" s="710" t="b">
        <v>1</v>
      </c>
      <c r="BE422" s="757">
        <f>K403</f>
        <v>0</v>
      </c>
      <c r="BF422" s="710" t="str">
        <f>""&amp;K403</f>
        <v/>
      </c>
      <c r="BG422" s="710" t="b">
        <v>1</v>
      </c>
      <c r="BH422" s="710" t="b">
        <v>0</v>
      </c>
      <c r="BI422" s="710"/>
      <c r="BJ422" s="757"/>
      <c r="BK422" s="710" t="str">
        <f ca="1">_xlfn.FORMULATEXT(BE422)</f>
        <v>=K403</v>
      </c>
      <c r="BL422" s="710" t="str">
        <f ca="1">_xlfn.FORMULATEXT(BE422)</f>
        <v>=K403</v>
      </c>
      <c r="BM422" s="710"/>
      <c r="BN422" s="756"/>
      <c r="BO422" s="756"/>
      <c r="BP422" s="756"/>
      <c r="BQ422" s="756"/>
      <c r="BR422" s="756"/>
      <c r="BS422" s="710"/>
      <c r="BT422" s="710"/>
      <c r="BU422" s="710"/>
      <c r="BV422" s="710"/>
      <c r="BW422" s="710"/>
      <c r="BX422" s="710"/>
      <c r="BY422" s="710"/>
      <c r="BZ422" s="710"/>
      <c r="CA422" s="710"/>
      <c r="CB422" s="710"/>
      <c r="CC422" s="710"/>
    </row>
    <row r="423" spans="1:81" s="710" customFormat="1" ht="14.5" hidden="1">
      <c r="A423" s="753" t="s">
        <v>673</v>
      </c>
      <c r="B423" s="761"/>
      <c r="C423" s="762" t="s">
        <v>1041</v>
      </c>
      <c r="D423" s="762"/>
      <c r="E423" s="762"/>
      <c r="F423" s="762"/>
      <c r="G423" s="762"/>
      <c r="H423" s="763"/>
      <c r="I423" s="764"/>
      <c r="J423" s="763"/>
      <c r="K423" s="765"/>
      <c r="L423" s="764"/>
      <c r="M423" s="763"/>
      <c r="N423" s="764"/>
      <c r="O423" s="761"/>
      <c r="P423" s="753"/>
      <c r="Q423" s="710"/>
      <c r="R423" s="767"/>
      <c r="S423" s="710"/>
      <c r="T423" s="710"/>
      <c r="U423" s="710"/>
      <c r="V423" s="710"/>
      <c r="W423" s="710"/>
      <c r="X423" s="710"/>
      <c r="Y423" s="710"/>
      <c r="Z423" s="710"/>
      <c r="AA423" s="710"/>
      <c r="AB423" s="710"/>
      <c r="AC423" s="710"/>
      <c r="AD423" s="22">
        <f>ROW()</f>
        <v>423</v>
      </c>
      <c r="AE423" s="22"/>
      <c r="AF423" s="22"/>
      <c r="AG423" s="22"/>
      <c r="AH423" s="22"/>
      <c r="AI423" s="22"/>
      <c r="AJ423" s="22"/>
      <c r="AK423" s="22"/>
      <c r="AL423" s="22"/>
      <c r="AM423" s="22"/>
      <c r="AN423" s="22"/>
      <c r="AO423" s="22"/>
      <c r="AP423" s="22"/>
      <c r="AQ423" s="710"/>
      <c r="AR423" s="710"/>
      <c r="AS423" s="710"/>
      <c r="AT423" s="710"/>
      <c r="AU423" s="710"/>
      <c r="AV423" s="710"/>
      <c r="AW423" s="710"/>
      <c r="AX423" s="710"/>
      <c r="AY423" s="710"/>
      <c r="AZ423" s="710"/>
      <c r="BA423" s="710"/>
      <c r="BB423" s="714" t="s">
        <v>1042</v>
      </c>
      <c r="BC423" s="710" t="s">
        <v>127</v>
      </c>
      <c r="BD423" s="710" t="b">
        <v>1</v>
      </c>
      <c r="BE423" s="757">
        <f>N403</f>
        <v>0</v>
      </c>
      <c r="BF423" s="710" t="str">
        <f>""&amp;N403</f>
        <v/>
      </c>
      <c r="BG423" s="710" t="b">
        <v>0</v>
      </c>
      <c r="BH423" s="710" t="b">
        <v>0</v>
      </c>
      <c r="BI423" s="710"/>
      <c r="BJ423" s="757"/>
      <c r="BK423" s="710" t="str">
        <f ca="1">_xlfn.FORMULATEXT(BE423)</f>
        <v>=N403</v>
      </c>
      <c r="BL423" s="710" t="str">
        <f ca="1">_xlfn.FORMULATEXT(BE423)</f>
        <v>=N403</v>
      </c>
      <c r="BM423" s="710"/>
      <c r="BN423" s="756"/>
      <c r="BO423" s="756"/>
      <c r="BP423" s="756"/>
      <c r="BQ423" s="756"/>
      <c r="BR423" s="756"/>
      <c r="BS423" s="710"/>
      <c r="BT423" s="710"/>
      <c r="BU423" s="710"/>
      <c r="BV423" s="710"/>
      <c r="BW423" s="710"/>
      <c r="BX423" s="710"/>
      <c r="BY423" s="710"/>
      <c r="BZ423" s="710"/>
      <c r="CA423" s="710"/>
      <c r="CB423" s="710"/>
      <c r="CC423" s="710"/>
    </row>
    <row r="424" spans="1:81" s="710" customFormat="1" ht="14.75" customHeight="1" hidden="1">
      <c r="A424" s="753" t="s">
        <v>673</v>
      </c>
      <c r="B424" s="761"/>
      <c r="C424" s="762" t="s">
        <v>1043</v>
      </c>
      <c r="D424" s="762"/>
      <c r="E424" s="762"/>
      <c r="F424" s="762"/>
      <c r="G424" s="762"/>
      <c r="H424" s="763"/>
      <c r="I424" s="764"/>
      <c r="J424" s="763"/>
      <c r="K424" s="765"/>
      <c r="L424" s="764"/>
      <c r="M424" s="763"/>
      <c r="N424" s="764"/>
      <c r="O424" s="761"/>
      <c r="P424" s="753"/>
      <c r="Q424" s="710"/>
      <c r="R424" s="767"/>
      <c r="S424" s="710"/>
      <c r="T424" s="710"/>
      <c r="U424" s="710"/>
      <c r="V424" s="710"/>
      <c r="W424" s="710"/>
      <c r="X424" s="710"/>
      <c r="Y424" s="710"/>
      <c r="Z424" s="710"/>
      <c r="AA424" s="710"/>
      <c r="AB424" s="710"/>
      <c r="AC424" s="710"/>
      <c r="AD424" s="22">
        <f>ROW()</f>
        <v>424</v>
      </c>
      <c r="AE424" s="22"/>
      <c r="AF424" s="22"/>
      <c r="AG424" s="22"/>
      <c r="AH424" s="22"/>
      <c r="AI424" s="22"/>
      <c r="AJ424" s="22"/>
      <c r="AK424" s="22"/>
      <c r="AL424" s="22"/>
      <c r="AM424" s="22"/>
      <c r="AN424" s="22"/>
      <c r="AO424" s="22"/>
      <c r="AP424" s="22"/>
      <c r="AQ424" s="710"/>
      <c r="AR424" s="710"/>
      <c r="AS424" s="710"/>
      <c r="AT424" s="710"/>
      <c r="AU424" s="710"/>
      <c r="AV424" s="710"/>
      <c r="AW424" s="710"/>
      <c r="AX424" s="710"/>
      <c r="AY424" s="710"/>
      <c r="AZ424" s="710"/>
      <c r="BA424" s="757"/>
      <c r="BB424" s="714" t="s">
        <v>1044</v>
      </c>
      <c r="BC424" s="710" t="s">
        <v>127</v>
      </c>
      <c r="BD424" s="710" t="b">
        <v>1</v>
      </c>
      <c r="BE424" s="757" t="str">
        <f>E404</f>
        <v>0.00</v>
      </c>
      <c r="BF424" s="710" t="str">
        <f>""&amp;E404</f>
        <v>0.00</v>
      </c>
      <c r="BG424" s="710" t="b">
        <v>0</v>
      </c>
      <c r="BH424" s="710" t="b">
        <v>0</v>
      </c>
      <c r="BI424" s="710"/>
      <c r="BJ424" s="757"/>
      <c r="BK424" s="710" t="str">
        <f ca="1">_xlfn.FORMULATEXT(BE424)</f>
        <v>=E404</v>
      </c>
      <c r="BL424" s="710" t="str">
        <f ca="1">_xlfn.FORMULATEXT(BE424)</f>
        <v>=E404</v>
      </c>
      <c r="BM424" s="710"/>
      <c r="BN424" s="756"/>
      <c r="BO424" s="756"/>
      <c r="BP424" s="756"/>
      <c r="BQ424" s="756"/>
      <c r="BR424" s="756"/>
      <c r="BS424" s="710"/>
      <c r="BT424" s="710"/>
      <c r="BU424" s="710"/>
      <c r="BV424" s="710"/>
      <c r="BW424" s="710"/>
      <c r="BX424" s="710"/>
      <c r="BY424" s="710"/>
      <c r="BZ424" s="710"/>
      <c r="CA424" s="710"/>
      <c r="CB424" s="710"/>
      <c r="CC424" s="710"/>
    </row>
    <row r="425" spans="1:81" s="710" customFormat="1" ht="14.5" hidden="1">
      <c r="A425" s="753" t="s">
        <v>673</v>
      </c>
      <c r="B425" s="753"/>
      <c r="C425" s="753"/>
      <c r="D425" s="753"/>
      <c r="E425" s="753"/>
      <c r="F425" s="753"/>
      <c r="G425" s="753"/>
      <c r="H425" s="753"/>
      <c r="I425" s="753"/>
      <c r="J425" s="753"/>
      <c r="K425" s="753"/>
      <c r="L425" s="753"/>
      <c r="M425" s="753"/>
      <c r="N425" s="753"/>
      <c r="O425" s="753"/>
      <c r="P425" s="753"/>
      <c r="Q425" s="710"/>
      <c r="R425" s="767"/>
      <c r="S425" s="710"/>
      <c r="T425" s="710"/>
      <c r="U425" s="710"/>
      <c r="V425" s="710"/>
      <c r="W425" s="710"/>
      <c r="X425" s="710"/>
      <c r="Y425" s="710"/>
      <c r="Z425" s="710"/>
      <c r="AA425" s="710"/>
      <c r="AB425" s="710"/>
      <c r="AC425" s="710"/>
      <c r="AD425" s="22">
        <f>ROW()</f>
        <v>425</v>
      </c>
      <c r="AE425" s="22"/>
      <c r="AF425" s="22"/>
      <c r="AG425" s="22"/>
      <c r="AH425" s="22"/>
      <c r="AI425" s="22"/>
      <c r="AJ425" s="22"/>
      <c r="AK425" s="22"/>
      <c r="AL425" s="22"/>
      <c r="AM425" s="22"/>
      <c r="AN425" s="22"/>
      <c r="AO425" s="22"/>
      <c r="AP425" s="22"/>
      <c r="AQ425" s="710"/>
      <c r="AR425" s="710"/>
      <c r="AS425" s="710"/>
      <c r="AT425" s="710"/>
      <c r="AU425" s="710"/>
      <c r="AV425" s="710"/>
      <c r="AW425" s="710"/>
      <c r="AX425" s="710"/>
      <c r="AY425" s="710"/>
      <c r="AZ425" s="710"/>
      <c r="BA425" s="757"/>
      <c r="BB425" s="714" t="s">
        <v>1045</v>
      </c>
      <c r="BC425" s="710" t="s">
        <v>127</v>
      </c>
      <c r="BD425" s="710" t="b">
        <v>1</v>
      </c>
      <c r="BE425" s="757" t="str">
        <f>H404</f>
        <v>0.00</v>
      </c>
      <c r="BF425" s="710" t="str">
        <f>""&amp;H404</f>
        <v>0.00</v>
      </c>
      <c r="BG425" s="710" t="b">
        <v>0</v>
      </c>
      <c r="BH425" s="710" t="b">
        <v>0</v>
      </c>
      <c r="BI425" s="710"/>
      <c r="BJ425" s="757"/>
      <c r="BK425" s="710" t="str">
        <f ca="1">_xlfn.FORMULATEXT(BE425)</f>
        <v>=H404</v>
      </c>
      <c r="BL425" s="710" t="str">
        <f ca="1">_xlfn.FORMULATEXT(BE425)</f>
        <v>=H404</v>
      </c>
      <c r="BM425" s="710"/>
      <c r="BN425" s="756"/>
      <c r="BO425" s="756"/>
      <c r="BP425" s="756"/>
      <c r="BQ425" s="756"/>
      <c r="BR425" s="756"/>
      <c r="BS425" s="710"/>
      <c r="BT425" s="710"/>
      <c r="BU425" s="710"/>
      <c r="BV425" s="710"/>
      <c r="BW425" s="710"/>
      <c r="BX425" s="710"/>
      <c r="BY425" s="710"/>
      <c r="BZ425" s="710"/>
      <c r="CA425" s="710"/>
      <c r="CB425" s="710"/>
      <c r="CC425" s="710"/>
    </row>
    <row r="426" spans="1:70" ht="14.75" customHeight="1">
      <c r="A426" s="64" t="s">
        <v>673</v>
      </c>
      <c r="B426" s="292" t="s">
        <v>1047</v>
      </c>
      <c r="C426" s="292"/>
      <c r="D426" s="292"/>
      <c r="E426" s="292"/>
      <c r="F426" s="292"/>
      <c r="G426" s="292"/>
      <c r="H426" s="292"/>
      <c r="I426" s="292"/>
      <c r="J426" s="292"/>
      <c r="K426" s="64"/>
      <c r="L426" s="64"/>
      <c r="M426" s="64"/>
      <c r="N426" s="64"/>
      <c r="O426" s="64"/>
      <c r="P426" s="64"/>
      <c r="R426" s="290"/>
      <c r="AD426" s="22">
        <f>ROW()</f>
        <v>426</v>
      </c>
      <c r="AE426" s="22"/>
      <c r="AF426" s="22"/>
      <c r="AG426" s="22"/>
      <c r="AH426" s="22"/>
      <c r="AI426" s="22"/>
      <c r="AJ426" s="22"/>
      <c r="AK426" s="22"/>
      <c r="AL426" s="22"/>
      <c r="AM426" s="22"/>
      <c r="AN426" s="22"/>
      <c r="AO426" s="22"/>
      <c r="AP426" s="22"/>
      <c r="BA426" s="261"/>
      <c r="BB426" s="30" t="s">
        <v>1048</v>
      </c>
      <c r="BC426" s="21" t="s">
        <v>127</v>
      </c>
      <c r="BD426" s="21" t="b">
        <v>1</v>
      </c>
      <c r="BE426" s="261" t="str">
        <f>K404</f>
        <v>0.00</v>
      </c>
      <c r="BF426" s="21" t="str">
        <f>""&amp;K404</f>
        <v>0.00</v>
      </c>
      <c r="BG426" s="21" t="b">
        <v>0</v>
      </c>
      <c r="BH426" s="21" t="b">
        <v>0</v>
      </c>
      <c r="BJ426" s="261"/>
      <c r="BK426" s="21" t="str">
        <f ca="1">_xlfn.FORMULATEXT(BE426)</f>
        <v>=K404</v>
      </c>
      <c r="BL426" s="21" t="str">
        <f ca="1">_xlfn.FORMULATEXT(BE426)</f>
        <v>=K404</v>
      </c>
      <c r="BN426" s="274"/>
      <c r="BO426" s="274"/>
      <c r="BP426" s="274"/>
      <c r="BQ426" s="274"/>
      <c r="BR426" s="274"/>
    </row>
    <row r="427" spans="1:70" ht="14.5">
      <c r="A427" s="64" t="s">
        <v>673</v>
      </c>
      <c r="B427" s="64"/>
      <c r="C427" s="64"/>
      <c r="D427" s="64"/>
      <c r="E427" s="64"/>
      <c r="F427" s="64"/>
      <c r="G427" s="64"/>
      <c r="H427" s="64"/>
      <c r="I427" s="64"/>
      <c r="J427" s="64"/>
      <c r="K427" s="64"/>
      <c r="L427" s="64"/>
      <c r="M427" s="64"/>
      <c r="N427" s="64"/>
      <c r="O427" s="64"/>
      <c r="P427" s="64"/>
      <c r="R427" s="290"/>
      <c r="AA427" s="493">
        <v>2</v>
      </c>
      <c r="AB427" s="22">
        <f>IF(AC427="0",1,2)</f>
        <v>2</v>
      </c>
      <c r="AC427" s="21"/>
      <c r="AD427" s="22">
        <f>ROW()</f>
        <v>427</v>
      </c>
      <c r="AE427" s="22"/>
      <c r="AF427" s="22"/>
      <c r="AG427" s="22"/>
      <c r="AH427" s="22"/>
      <c r="AI427" s="22"/>
      <c r="AJ427" s="22"/>
      <c r="AK427" s="22"/>
      <c r="AL427" s="22"/>
      <c r="AM427" s="22"/>
      <c r="AN427" s="22"/>
      <c r="AO427" s="22"/>
      <c r="AP427" s="22"/>
      <c r="BA427" s="261"/>
      <c r="BB427" s="30" t="s">
        <v>1049</v>
      </c>
      <c r="BC427" s="21" t="s">
        <v>127</v>
      </c>
      <c r="BD427" s="21" t="b">
        <v>1</v>
      </c>
      <c r="BE427" s="261" t="str">
        <f>N404</f>
        <v>0.00</v>
      </c>
      <c r="BF427" s="21" t="str">
        <f>""&amp;N404</f>
        <v>0.00</v>
      </c>
      <c r="BG427" s="21" t="b">
        <v>0</v>
      </c>
      <c r="BH427" s="21" t="b">
        <v>0</v>
      </c>
      <c r="BJ427" s="261"/>
      <c r="BK427" s="21" t="str">
        <f ca="1">_xlfn.FORMULATEXT(BE427)</f>
        <v>=N404</v>
      </c>
      <c r="BL427" s="21" t="str">
        <f ca="1">_xlfn.FORMULATEXT(BE427)</f>
        <v>=N404</v>
      </c>
      <c r="BN427" s="274"/>
      <c r="BO427" s="274"/>
      <c r="BP427" s="274"/>
      <c r="BQ427" s="274"/>
      <c r="BR427" s="274"/>
    </row>
    <row r="428" spans="1:70" ht="14.5">
      <c r="A428" s="64" t="s">
        <v>673</v>
      </c>
      <c r="B428" s="89" t="s">
        <v>1050</v>
      </c>
      <c r="C428" s="89"/>
      <c r="D428" s="89"/>
      <c r="E428" s="89"/>
      <c r="F428" s="89"/>
      <c r="G428" s="89"/>
      <c r="H428" s="89"/>
      <c r="I428" s="89"/>
      <c r="J428" s="89"/>
      <c r="K428" s="89"/>
      <c r="L428" s="89"/>
      <c r="M428" s="89"/>
      <c r="N428" s="89"/>
      <c r="O428" s="89"/>
      <c r="P428" s="89"/>
      <c r="R428" s="290"/>
      <c r="AD428" s="22">
        <f>ROW()</f>
        <v>428</v>
      </c>
      <c r="AE428" s="22"/>
      <c r="AF428" s="22"/>
      <c r="AG428" s="22"/>
      <c r="AH428" s="22"/>
      <c r="AI428" s="22"/>
      <c r="AJ428" s="22"/>
      <c r="AK428" s="22"/>
      <c r="AL428" s="22"/>
      <c r="AM428" s="22"/>
      <c r="AN428" s="22"/>
      <c r="AO428" s="22"/>
      <c r="AP428" s="22"/>
      <c r="BA428" s="261"/>
      <c r="BB428" s="30" t="s">
        <v>1051</v>
      </c>
      <c r="BC428" s="21" t="s">
        <v>127</v>
      </c>
      <c r="BD428" s="21" t="b">
        <v>1</v>
      </c>
      <c r="BE428" s="261" t="str">
        <f>E409</f>
        <v>0.00</v>
      </c>
      <c r="BF428" s="21" t="str">
        <f>""&amp;E409</f>
        <v>0.00</v>
      </c>
      <c r="BG428" s="21" t="b">
        <v>0</v>
      </c>
      <c r="BH428" s="21" t="b">
        <v>0</v>
      </c>
      <c r="BJ428" s="261"/>
      <c r="BK428" s="21" t="str">
        <f ca="1">_xlfn.FORMULATEXT(BE428)</f>
        <v>=E409</v>
      </c>
      <c r="BL428" s="21" t="str">
        <f ca="1">_xlfn.FORMULATEXT(BE428)</f>
        <v>=E409</v>
      </c>
      <c r="BN428" s="274"/>
      <c r="BO428" s="274"/>
      <c r="BP428" s="274"/>
      <c r="BQ428" s="274"/>
      <c r="BR428" s="274"/>
    </row>
    <row r="429" spans="1:70" ht="14.75" customHeight="1">
      <c r="A429" s="64" t="s">
        <v>673</v>
      </c>
      <c r="B429" s="64"/>
      <c r="C429" s="64"/>
      <c r="D429" s="64"/>
      <c r="E429" s="64"/>
      <c r="F429" s="64"/>
      <c r="G429" s="64"/>
      <c r="H429" s="64"/>
      <c r="I429" s="64"/>
      <c r="J429" s="64"/>
      <c r="K429" s="64"/>
      <c r="L429" s="64"/>
      <c r="M429" s="64"/>
      <c r="N429" s="64"/>
      <c r="O429" s="64"/>
      <c r="P429" s="64"/>
      <c r="R429" s="290"/>
      <c r="AD429" s="22">
        <f>ROW()</f>
        <v>429</v>
      </c>
      <c r="AE429" s="22"/>
      <c r="AF429" s="22"/>
      <c r="AG429" s="22"/>
      <c r="AH429" s="22"/>
      <c r="AI429" s="22"/>
      <c r="AJ429" s="22"/>
      <c r="AK429" s="22"/>
      <c r="AL429" s="22"/>
      <c r="AM429" s="22"/>
      <c r="AN429" s="22"/>
      <c r="AO429" s="22"/>
      <c r="AP429" s="22"/>
      <c r="BA429" s="261"/>
      <c r="BB429" s="30" t="s">
        <v>1052</v>
      </c>
      <c r="BC429" s="21" t="s">
        <v>127</v>
      </c>
      <c r="BD429" s="21" t="b">
        <v>1</v>
      </c>
      <c r="BE429" s="261" t="str">
        <f>H409</f>
        <v>0.00</v>
      </c>
      <c r="BF429" s="21" t="str">
        <f>""&amp;H409</f>
        <v>0.00</v>
      </c>
      <c r="BG429" s="21" t="b">
        <v>0</v>
      </c>
      <c r="BH429" s="21" t="b">
        <v>0</v>
      </c>
      <c r="BJ429" s="261"/>
      <c r="BK429" s="21" t="str">
        <f ca="1">_xlfn.FORMULATEXT(BE429)</f>
        <v>=H409</v>
      </c>
      <c r="BL429" s="21" t="str">
        <f ca="1">_xlfn.FORMULATEXT(BE429)</f>
        <v>=H409</v>
      </c>
      <c r="BN429" s="274"/>
      <c r="BO429" s="274"/>
      <c r="BP429" s="274"/>
      <c r="BQ429" s="274"/>
      <c r="BR429" s="274"/>
    </row>
    <row r="430" spans="1:70" ht="14.75" customHeight="1">
      <c r="A430" s="64" t="s">
        <v>673</v>
      </c>
      <c r="B430" s="64"/>
      <c r="C430" s="64"/>
      <c r="D430" s="64"/>
      <c r="E430" s="64"/>
      <c r="F430" s="64"/>
      <c r="G430" s="64"/>
      <c r="H430" s="64"/>
      <c r="I430" s="64"/>
      <c r="J430" s="64"/>
      <c r="K430" s="64"/>
      <c r="L430" s="64"/>
      <c r="M430" s="64"/>
      <c r="N430" s="64"/>
      <c r="O430" s="64"/>
      <c r="P430" s="64"/>
      <c r="R430" s="290"/>
      <c r="AD430" s="22">
        <f>ROW()</f>
        <v>430</v>
      </c>
      <c r="AE430" s="22"/>
      <c r="AF430" s="22"/>
      <c r="AG430" s="22"/>
      <c r="AH430" s="22"/>
      <c r="AI430" s="22"/>
      <c r="AJ430" s="22"/>
      <c r="AK430" s="22"/>
      <c r="AL430" s="22"/>
      <c r="AM430" s="22"/>
      <c r="AN430" s="22"/>
      <c r="AO430" s="22"/>
      <c r="AP430" s="22"/>
      <c r="BA430" s="261"/>
      <c r="BB430" s="30" t="s">
        <v>1053</v>
      </c>
      <c r="BC430" s="21" t="s">
        <v>127</v>
      </c>
      <c r="BD430" s="21" t="b">
        <v>1</v>
      </c>
      <c r="BE430" s="261" t="str">
        <f>K409</f>
        <v>0.00</v>
      </c>
      <c r="BF430" s="21" t="str">
        <f>""&amp;K409</f>
        <v>0.00</v>
      </c>
      <c r="BG430" s="21" t="b">
        <v>0</v>
      </c>
      <c r="BH430" s="21" t="b">
        <v>0</v>
      </c>
      <c r="BJ430" s="261"/>
      <c r="BK430" s="21" t="str">
        <f ca="1">_xlfn.FORMULATEXT(BE430)</f>
        <v>=K409</v>
      </c>
      <c r="BL430" s="21" t="str">
        <f ca="1">_xlfn.FORMULATEXT(BE430)</f>
        <v>=K409</v>
      </c>
      <c r="BN430" s="274"/>
      <c r="BO430" s="274"/>
      <c r="BP430" s="274"/>
      <c r="BQ430" s="274"/>
      <c r="BR430" s="274"/>
    </row>
    <row r="431" spans="1:70" ht="14.5">
      <c r="A431" s="64" t="s">
        <v>673</v>
      </c>
      <c r="B431" s="494" t="s">
        <v>1054</v>
      </c>
      <c r="C431" s="494"/>
      <c r="D431" s="494"/>
      <c r="E431" s="494"/>
      <c r="F431" s="293"/>
      <c r="G431" s="293"/>
      <c r="H431" s="293"/>
      <c r="I431" s="293"/>
      <c r="J431" s="293"/>
      <c r="K431" s="293"/>
      <c r="L431" s="293"/>
      <c r="M431" s="64"/>
      <c r="N431" s="64"/>
      <c r="O431" s="64"/>
      <c r="P431" s="64"/>
      <c r="R431" s="290"/>
      <c r="AD431" s="22">
        <f>ROW()</f>
        <v>431</v>
      </c>
      <c r="AE431" s="22"/>
      <c r="AF431" s="22"/>
      <c r="AG431" s="22"/>
      <c r="AH431" s="22"/>
      <c r="AI431" s="22"/>
      <c r="AJ431" s="22"/>
      <c r="AK431" s="22"/>
      <c r="AL431" s="22"/>
      <c r="AM431" s="22"/>
      <c r="AN431" s="22"/>
      <c r="AO431" s="22"/>
      <c r="AP431" s="22"/>
      <c r="BA431" s="261"/>
      <c r="BB431" s="30" t="s">
        <v>1055</v>
      </c>
      <c r="BC431" s="21" t="s">
        <v>127</v>
      </c>
      <c r="BD431" s="21" t="b">
        <v>1</v>
      </c>
      <c r="BE431" s="261" t="str">
        <f>N409</f>
        <v>0.00</v>
      </c>
      <c r="BF431" s="21" t="str">
        <f>""&amp;N409</f>
        <v>0.00</v>
      </c>
      <c r="BG431" s="21" t="b">
        <v>0</v>
      </c>
      <c r="BH431" s="21" t="b">
        <v>0</v>
      </c>
      <c r="BJ431" s="261"/>
      <c r="BK431" s="21" t="str">
        <f ca="1">_xlfn.FORMULATEXT(BE431)</f>
        <v>=N409</v>
      </c>
      <c r="BL431" s="21" t="str">
        <f ca="1">_xlfn.FORMULATEXT(BE431)</f>
        <v>=N409</v>
      </c>
      <c r="BN431" s="274"/>
      <c r="BO431" s="274"/>
      <c r="BP431" s="274"/>
      <c r="BQ431" s="274"/>
      <c r="BR431" s="274"/>
    </row>
    <row r="432" spans="1:70" ht="14.5">
      <c r="A432" s="64" t="s">
        <v>673</v>
      </c>
      <c r="B432" s="414"/>
      <c r="C432" s="413"/>
      <c r="D432" s="413"/>
      <c r="E432" s="415"/>
      <c r="F432" s="294"/>
      <c r="G432" s="64"/>
      <c r="H432" s="64"/>
      <c r="I432" s="64"/>
      <c r="J432" s="64"/>
      <c r="K432" s="64"/>
      <c r="L432" s="64"/>
      <c r="M432" s="64"/>
      <c r="N432" s="64"/>
      <c r="O432" s="64"/>
      <c r="P432" s="64"/>
      <c r="R432" s="290"/>
      <c r="AD432" s="22">
        <f>ROW()</f>
        <v>432</v>
      </c>
      <c r="AE432" s="22"/>
      <c r="AF432" s="22"/>
      <c r="AG432" s="22"/>
      <c r="AH432" s="22"/>
      <c r="AI432" s="22"/>
      <c r="AJ432" s="22"/>
      <c r="AK432" s="22"/>
      <c r="AL432" s="22"/>
      <c r="AM432" s="22"/>
      <c r="AN432" s="22"/>
      <c r="AO432" s="22"/>
      <c r="AP432" s="22"/>
      <c r="BA432" s="261"/>
      <c r="BB432" s="30" t="s">
        <v>1056</v>
      </c>
      <c r="BC432" s="21" t="s">
        <v>127</v>
      </c>
      <c r="BD432" s="21" t="b">
        <v>1</v>
      </c>
      <c r="BE432" s="261" t="str">
        <f>E415</f>
        <v>0.00</v>
      </c>
      <c r="BF432" s="21" t="str">
        <f>""&amp;E415</f>
        <v>0.00</v>
      </c>
      <c r="BG432" s="21" t="b">
        <v>0</v>
      </c>
      <c r="BH432" s="21" t="b">
        <v>0</v>
      </c>
      <c r="BJ432" s="261"/>
      <c r="BK432" s="21" t="str">
        <f ca="1">_xlfn.FORMULATEXT(BE432)</f>
        <v>=E415</v>
      </c>
      <c r="BL432" s="21" t="str">
        <f ca="1">_xlfn.FORMULATEXT(BE432)</f>
        <v>=E415</v>
      </c>
      <c r="BN432" s="274"/>
      <c r="BO432" s="274"/>
      <c r="BP432" s="274"/>
      <c r="BQ432" s="274"/>
      <c r="BR432" s="274"/>
    </row>
    <row r="433" spans="1:70" ht="14.5">
      <c r="A433" s="64" t="s">
        <v>673</v>
      </c>
      <c r="B433" s="64"/>
      <c r="C433" s="64"/>
      <c r="D433" s="64"/>
      <c r="E433" s="64"/>
      <c r="F433" s="64"/>
      <c r="G433" s="64"/>
      <c r="H433" s="64"/>
      <c r="I433" s="64"/>
      <c r="J433" s="64"/>
      <c r="K433" s="64"/>
      <c r="L433" s="64"/>
      <c r="M433" s="64"/>
      <c r="N433" s="64"/>
      <c r="O433" s="64"/>
      <c r="P433" s="64"/>
      <c r="R433" s="290"/>
      <c r="AA433" s="493">
        <v>2</v>
      </c>
      <c r="AB433" s="22">
        <f>IF(AC433="0",1,2)</f>
        <v>2</v>
      </c>
      <c r="AC433" s="21"/>
      <c r="AD433" s="22">
        <f>ROW()</f>
        <v>433</v>
      </c>
      <c r="AE433" s="22"/>
      <c r="AF433" s="22"/>
      <c r="AG433" s="22"/>
      <c r="AH433" s="22"/>
      <c r="AI433" s="22"/>
      <c r="AJ433" s="22"/>
      <c r="AK433" s="22"/>
      <c r="AL433" s="22"/>
      <c r="AM433" s="22"/>
      <c r="AN433" s="22"/>
      <c r="AO433" s="22"/>
      <c r="AP433" s="22"/>
      <c r="BA433" s="261"/>
      <c r="BB433" s="30" t="s">
        <v>1057</v>
      </c>
      <c r="BC433" s="21" t="s">
        <v>127</v>
      </c>
      <c r="BD433" s="21" t="b">
        <v>1</v>
      </c>
      <c r="BE433" s="261" t="str">
        <f>H415</f>
        <v>0.00</v>
      </c>
      <c r="BF433" s="21" t="str">
        <f>""&amp;H415</f>
        <v>0.00</v>
      </c>
      <c r="BG433" s="21" t="b">
        <v>0</v>
      </c>
      <c r="BH433" s="21" t="b">
        <v>0</v>
      </c>
      <c r="BJ433" s="261"/>
      <c r="BK433" s="21" t="str">
        <f ca="1">_xlfn.FORMULATEXT(BE433)</f>
        <v>=H415</v>
      </c>
      <c r="BL433" s="21" t="str">
        <f ca="1">_xlfn.FORMULATEXT(BE433)</f>
        <v>=H415</v>
      </c>
      <c r="BN433" s="274"/>
      <c r="BO433" s="274"/>
      <c r="BP433" s="274"/>
      <c r="BQ433" s="274"/>
      <c r="BR433" s="274"/>
    </row>
    <row r="434" spans="1:70" ht="14.5">
      <c r="A434" s="64" t="s">
        <v>673</v>
      </c>
      <c r="B434" s="89" t="s">
        <v>1058</v>
      </c>
      <c r="C434" s="89"/>
      <c r="D434" s="89"/>
      <c r="E434" s="89"/>
      <c r="F434" s="89"/>
      <c r="G434" s="89"/>
      <c r="H434" s="89"/>
      <c r="I434" s="89"/>
      <c r="J434" s="89"/>
      <c r="K434" s="89"/>
      <c r="L434" s="89"/>
      <c r="M434" s="64"/>
      <c r="N434" s="64"/>
      <c r="O434" s="64"/>
      <c r="P434" s="64"/>
      <c r="R434" s="290"/>
      <c r="AD434" s="22">
        <f>ROW()</f>
        <v>434</v>
      </c>
      <c r="AE434" s="22"/>
      <c r="AF434" s="22"/>
      <c r="AG434" s="22"/>
      <c r="AH434" s="22"/>
      <c r="AI434" s="22"/>
      <c r="AJ434" s="22"/>
      <c r="AK434" s="22"/>
      <c r="AL434" s="22"/>
      <c r="AM434" s="22"/>
      <c r="AN434" s="22"/>
      <c r="AO434" s="22"/>
      <c r="AP434" s="22"/>
      <c r="BA434" s="261"/>
      <c r="BB434" s="30" t="s">
        <v>1059</v>
      </c>
      <c r="BC434" s="21" t="s">
        <v>127</v>
      </c>
      <c r="BD434" s="21" t="b">
        <v>1</v>
      </c>
      <c r="BE434" s="261" t="str">
        <f>K415</f>
        <v>0.00</v>
      </c>
      <c r="BF434" s="21" t="str">
        <f>""&amp;K415</f>
        <v>0.00</v>
      </c>
      <c r="BG434" s="21" t="b">
        <v>0</v>
      </c>
      <c r="BH434" s="21" t="b">
        <v>0</v>
      </c>
      <c r="BJ434" s="261"/>
      <c r="BK434" s="21" t="str">
        <f ca="1">_xlfn.FORMULATEXT(BE434)</f>
        <v>=K415</v>
      </c>
      <c r="BL434" s="21" t="str">
        <f ca="1">_xlfn.FORMULATEXT(BE434)</f>
        <v>=K415</v>
      </c>
      <c r="BN434" s="274"/>
      <c r="BO434" s="274"/>
      <c r="BP434" s="274"/>
      <c r="BQ434" s="274"/>
      <c r="BR434" s="274"/>
    </row>
    <row r="435" spans="1:70" ht="14.75" customHeight="1">
      <c r="A435" s="64" t="s">
        <v>673</v>
      </c>
      <c r="B435" s="295"/>
      <c r="C435" s="295"/>
      <c r="D435" s="295"/>
      <c r="E435" s="295"/>
      <c r="F435" s="295"/>
      <c r="G435" s="295"/>
      <c r="H435" s="295"/>
      <c r="I435" s="295"/>
      <c r="J435" s="295"/>
      <c r="K435" s="295"/>
      <c r="L435" s="64"/>
      <c r="M435" s="64"/>
      <c r="N435" s="64"/>
      <c r="O435" s="64"/>
      <c r="P435" s="64"/>
      <c r="R435" s="290"/>
      <c r="AD435" s="22">
        <f>ROW()</f>
        <v>435</v>
      </c>
      <c r="AE435" s="22"/>
      <c r="AF435" s="22"/>
      <c r="AG435" s="22"/>
      <c r="AH435" s="22"/>
      <c r="AI435" s="22"/>
      <c r="AJ435" s="22"/>
      <c r="AK435" s="22"/>
      <c r="AL435" s="22"/>
      <c r="AM435" s="22"/>
      <c r="AN435" s="22"/>
      <c r="AO435" s="22"/>
      <c r="AP435" s="22"/>
      <c r="BA435" s="261"/>
      <c r="BB435" s="30" t="s">
        <v>1060</v>
      </c>
      <c r="BC435" s="21" t="s">
        <v>127</v>
      </c>
      <c r="BD435" s="21" t="b">
        <v>1</v>
      </c>
      <c r="BE435" s="261">
        <f>N415</f>
        <v>0</v>
      </c>
      <c r="BF435" s="21" t="str">
        <f>""&amp;N415</f>
        <v/>
      </c>
      <c r="BG435" s="21" t="b">
        <v>0</v>
      </c>
      <c r="BH435" s="21" t="b">
        <v>0</v>
      </c>
      <c r="BJ435" s="261"/>
      <c r="BK435" s="21" t="str">
        <f ca="1">_xlfn.FORMULATEXT(BE435)</f>
        <v>=N415</v>
      </c>
      <c r="BL435" s="21" t="str">
        <f ca="1">_xlfn.FORMULATEXT(BE435)</f>
        <v>=N415</v>
      </c>
      <c r="BN435" s="274"/>
      <c r="BO435" s="274"/>
      <c r="BP435" s="274"/>
      <c r="BQ435" s="274"/>
      <c r="BR435" s="274"/>
    </row>
    <row r="436" spans="1:70" ht="14.5">
      <c r="A436" s="64" t="s">
        <v>673</v>
      </c>
      <c r="B436" s="64"/>
      <c r="C436" s="64"/>
      <c r="D436" s="64"/>
      <c r="E436" s="64"/>
      <c r="F436" s="64"/>
      <c r="G436" s="64"/>
      <c r="H436" s="64"/>
      <c r="I436" s="64"/>
      <c r="J436" s="64"/>
      <c r="K436" s="64"/>
      <c r="L436" s="64"/>
      <c r="M436" s="64"/>
      <c r="N436" s="64"/>
      <c r="O436" s="64"/>
      <c r="P436" s="64"/>
      <c r="R436" s="290"/>
      <c r="AD436" s="22">
        <f>ROW()</f>
        <v>436</v>
      </c>
      <c r="AE436" s="22"/>
      <c r="AF436" s="22"/>
      <c r="AG436" s="22"/>
      <c r="AH436" s="22"/>
      <c r="AI436" s="22"/>
      <c r="AJ436" s="22"/>
      <c r="AK436" s="22"/>
      <c r="AL436" s="22"/>
      <c r="AM436" s="22"/>
      <c r="AN436" s="22"/>
      <c r="AO436" s="22"/>
      <c r="AP436" s="22"/>
      <c r="BA436" s="261"/>
      <c r="BB436" s="30" t="s">
        <v>1061</v>
      </c>
      <c r="BC436" s="21" t="s">
        <v>127</v>
      </c>
      <c r="BD436" s="21" t="b">
        <v>1</v>
      </c>
      <c r="BE436" s="261">
        <f>E405</f>
        <v>0</v>
      </c>
      <c r="BF436" s="21" t="str">
        <f>""&amp;E405</f>
        <v/>
      </c>
      <c r="BG436" s="21" t="b">
        <v>1</v>
      </c>
      <c r="BH436" s="21" t="b">
        <v>0</v>
      </c>
      <c r="BJ436" s="261"/>
      <c r="BK436" s="21" t="str">
        <f ca="1">_xlfn.FORMULATEXT(BE436)</f>
        <v>=E405</v>
      </c>
      <c r="BL436" s="21" t="str">
        <f ca="1">_xlfn.FORMULATEXT(BE436)</f>
        <v>=E405</v>
      </c>
      <c r="BN436" s="274"/>
      <c r="BO436" s="274"/>
      <c r="BP436" s="274"/>
      <c r="BQ436" s="274"/>
      <c r="BR436" s="274"/>
    </row>
    <row r="437" spans="1:70" ht="14.75" customHeight="1">
      <c r="A437" s="64" t="s">
        <v>673</v>
      </c>
      <c r="B437" s="494" t="s">
        <v>1062</v>
      </c>
      <c r="C437" s="494"/>
      <c r="D437" s="494"/>
      <c r="E437" s="494"/>
      <c r="F437" s="293"/>
      <c r="G437" s="293"/>
      <c r="H437" s="293"/>
      <c r="I437" s="293"/>
      <c r="J437" s="293"/>
      <c r="K437" s="293"/>
      <c r="L437" s="293"/>
      <c r="M437" s="64"/>
      <c r="N437" s="64"/>
      <c r="O437" s="64"/>
      <c r="P437" s="64"/>
      <c r="R437" s="290"/>
      <c r="AD437" s="22">
        <f>ROW()</f>
        <v>437</v>
      </c>
      <c r="AE437" s="22"/>
      <c r="AF437" s="22"/>
      <c r="AG437" s="22"/>
      <c r="AH437" s="22"/>
      <c r="AI437" s="22"/>
      <c r="AJ437" s="22"/>
      <c r="AK437" s="22"/>
      <c r="AL437" s="22"/>
      <c r="AM437" s="22"/>
      <c r="AN437" s="22"/>
      <c r="AO437" s="22"/>
      <c r="AP437" s="22"/>
      <c r="BA437" s="261"/>
      <c r="BB437" s="30" t="s">
        <v>1063</v>
      </c>
      <c r="BC437" s="21" t="s">
        <v>127</v>
      </c>
      <c r="BD437" s="21" t="b">
        <v>1</v>
      </c>
      <c r="BE437" s="261">
        <f>H405</f>
        <v>0</v>
      </c>
      <c r="BF437" s="21" t="str">
        <f>""&amp;H405</f>
        <v/>
      </c>
      <c r="BG437" s="21" t="b">
        <v>1</v>
      </c>
      <c r="BH437" s="21" t="b">
        <v>0</v>
      </c>
      <c r="BJ437" s="261"/>
      <c r="BK437" s="21" t="str">
        <f ca="1">_xlfn.FORMULATEXT(BE437)</f>
        <v>=H405</v>
      </c>
      <c r="BL437" s="21" t="str">
        <f ca="1">_xlfn.FORMULATEXT(BE437)</f>
        <v>=H405</v>
      </c>
      <c r="BN437" s="274"/>
      <c r="BO437" s="274"/>
      <c r="BP437" s="274"/>
      <c r="BQ437" s="274"/>
      <c r="BR437" s="274"/>
    </row>
    <row r="438" spans="1:70" ht="14.5">
      <c r="A438" s="64" t="s">
        <v>673</v>
      </c>
      <c r="B438" s="414"/>
      <c r="C438" s="413"/>
      <c r="D438" s="413"/>
      <c r="E438" s="415"/>
      <c r="F438" s="294"/>
      <c r="G438" s="64"/>
      <c r="H438" s="64"/>
      <c r="I438" s="64"/>
      <c r="J438" s="64"/>
      <c r="K438" s="64"/>
      <c r="L438" s="64"/>
      <c r="M438" s="64"/>
      <c r="N438" s="64"/>
      <c r="O438" s="64"/>
      <c r="P438" s="64"/>
      <c r="R438" s="290"/>
      <c r="AD438" s="22">
        <f>ROW()</f>
        <v>438</v>
      </c>
      <c r="AE438" s="22"/>
      <c r="AF438" s="22"/>
      <c r="AG438" s="22"/>
      <c r="AH438" s="22"/>
      <c r="AI438" s="22"/>
      <c r="AJ438" s="22"/>
      <c r="AK438" s="22"/>
      <c r="AL438" s="22"/>
      <c r="AM438" s="22"/>
      <c r="AN438" s="22"/>
      <c r="AO438" s="22"/>
      <c r="AP438" s="22"/>
      <c r="BA438" s="261"/>
      <c r="BB438" s="30" t="s">
        <v>1064</v>
      </c>
      <c r="BC438" s="21" t="s">
        <v>127</v>
      </c>
      <c r="BD438" s="21" t="b">
        <v>1</v>
      </c>
      <c r="BE438" s="116">
        <f>K405</f>
        <v>0</v>
      </c>
      <c r="BF438" s="21" t="str">
        <f>""&amp;K405</f>
        <v/>
      </c>
      <c r="BG438" s="21" t="b">
        <v>1</v>
      </c>
      <c r="BH438" s="21" t="b">
        <v>0</v>
      </c>
      <c r="BJ438" s="274"/>
      <c r="BK438" s="21" t="str">
        <f ca="1">_xlfn.FORMULATEXT(BE438)</f>
        <v>=K405</v>
      </c>
      <c r="BL438" s="21" t="str">
        <f ca="1">_xlfn.FORMULATEXT(BE438)</f>
        <v>=K405</v>
      </c>
      <c r="BN438" s="274"/>
      <c r="BO438" s="274"/>
      <c r="BP438" s="274"/>
      <c r="BQ438" s="274"/>
      <c r="BR438" s="274"/>
    </row>
    <row r="439" spans="1:70" ht="14.5">
      <c r="A439" s="64" t="s">
        <v>673</v>
      </c>
      <c r="B439" s="64"/>
      <c r="C439" s="64"/>
      <c r="D439" s="64"/>
      <c r="E439" s="64"/>
      <c r="F439" s="64"/>
      <c r="G439" s="64"/>
      <c r="H439" s="64"/>
      <c r="I439" s="64"/>
      <c r="J439" s="64"/>
      <c r="K439" s="64"/>
      <c r="L439" s="64"/>
      <c r="M439" s="64"/>
      <c r="N439" s="64"/>
      <c r="O439" s="64"/>
      <c r="P439" s="64"/>
      <c r="R439" s="290"/>
      <c r="AD439" s="22">
        <f>ROW()</f>
        <v>439</v>
      </c>
      <c r="AE439" s="22"/>
      <c r="AF439" s="22"/>
      <c r="AG439" s="22"/>
      <c r="AH439" s="22"/>
      <c r="AI439" s="22"/>
      <c r="AJ439" s="22"/>
      <c r="AK439" s="22"/>
      <c r="AL439" s="22"/>
      <c r="AM439" s="22"/>
      <c r="AN439" s="22"/>
      <c r="AO439" s="22"/>
      <c r="AP439" s="22"/>
      <c r="BA439" s="261"/>
      <c r="BB439" s="30" t="s">
        <v>1065</v>
      </c>
      <c r="BC439" s="21" t="s">
        <v>127</v>
      </c>
      <c r="BD439" s="21" t="b">
        <v>1</v>
      </c>
      <c r="BE439" s="116">
        <f>N405</f>
        <v>0</v>
      </c>
      <c r="BF439" s="21" t="str">
        <f>""&amp;N405</f>
        <v/>
      </c>
      <c r="BG439" s="21" t="b">
        <v>1</v>
      </c>
      <c r="BH439" s="21" t="b">
        <v>0</v>
      </c>
      <c r="BJ439" s="274"/>
      <c r="BK439" s="21" t="str">
        <f ca="1">_xlfn.FORMULATEXT(BE439)</f>
        <v>=N405</v>
      </c>
      <c r="BL439" s="21" t="str">
        <f ca="1">_xlfn.FORMULATEXT(BE439)</f>
        <v>=N405</v>
      </c>
      <c r="BN439" s="274"/>
      <c r="BO439" s="274"/>
      <c r="BP439" s="274"/>
      <c r="BQ439" s="274"/>
      <c r="BR439" s="274"/>
    </row>
    <row r="440" spans="1:70" ht="14.75" customHeight="1">
      <c r="A440" s="64" t="s">
        <v>673</v>
      </c>
      <c r="B440" s="292" t="s">
        <v>1066</v>
      </c>
      <c r="C440" s="292"/>
      <c r="D440" s="292"/>
      <c r="E440" s="292"/>
      <c r="F440" s="292"/>
      <c r="G440" s="292"/>
      <c r="H440" s="292"/>
      <c r="I440" s="292"/>
      <c r="J440" s="292"/>
      <c r="K440" s="292"/>
      <c r="L440" s="292"/>
      <c r="M440" s="292"/>
      <c r="N440" s="292"/>
      <c r="O440" s="64"/>
      <c r="P440" s="64"/>
      <c r="R440" s="290"/>
      <c r="AD440" s="22">
        <f>ROW()</f>
        <v>440</v>
      </c>
      <c r="AE440" s="22"/>
      <c r="AF440" s="22"/>
      <c r="AG440" s="22"/>
      <c r="AH440" s="22"/>
      <c r="AI440" s="22"/>
      <c r="AJ440" s="22"/>
      <c r="AK440" s="22"/>
      <c r="AL440" s="22"/>
      <c r="AM440" s="22"/>
      <c r="AN440" s="22"/>
      <c r="AO440" s="22"/>
      <c r="AP440" s="22"/>
      <c r="BA440" s="261"/>
      <c r="BB440" s="30" t="s">
        <v>1067</v>
      </c>
      <c r="BC440" s="21" t="s">
        <v>127</v>
      </c>
      <c r="BD440" s="21" t="b">
        <v>1</v>
      </c>
      <c r="BE440" s="116">
        <f>E406</f>
        <v>0</v>
      </c>
      <c r="BF440" s="21" t="str">
        <f>""&amp;E406</f>
        <v/>
      </c>
      <c r="BG440" s="21" t="b">
        <v>1</v>
      </c>
      <c r="BH440" s="21" t="b">
        <v>0</v>
      </c>
      <c r="BJ440" s="274"/>
      <c r="BK440" s="21" t="str">
        <f ca="1">_xlfn.FORMULATEXT(BE440)</f>
        <v>=E406</v>
      </c>
      <c r="BL440" s="21" t="str">
        <f ca="1">_xlfn.FORMULATEXT(BE440)</f>
        <v>=E406</v>
      </c>
      <c r="BN440" s="274"/>
      <c r="BO440" s="274"/>
      <c r="BP440" s="274"/>
      <c r="BQ440" s="274"/>
      <c r="BR440" s="274"/>
    </row>
    <row r="441" spans="1:70" ht="14.5">
      <c r="A441" s="64" t="s">
        <v>673</v>
      </c>
      <c r="B441" s="292" t="s">
        <v>1068</v>
      </c>
      <c r="C441" s="292"/>
      <c r="D441" s="292"/>
      <c r="E441" s="292"/>
      <c r="F441" s="292"/>
      <c r="G441" s="292"/>
      <c r="H441" s="64"/>
      <c r="I441" s="64"/>
      <c r="J441" s="64"/>
      <c r="K441" s="64"/>
      <c r="L441" s="64"/>
      <c r="M441" s="64"/>
      <c r="N441" s="64"/>
      <c r="O441" s="64"/>
      <c r="P441" s="64"/>
      <c r="R441" s="296"/>
      <c r="AD441" s="22">
        <f>ROW()</f>
        <v>441</v>
      </c>
      <c r="AE441" s="22"/>
      <c r="AF441" s="22"/>
      <c r="AG441" s="22"/>
      <c r="AH441" s="22"/>
      <c r="AI441" s="22"/>
      <c r="AJ441" s="22"/>
      <c r="AK441" s="22"/>
      <c r="AL441" s="22"/>
      <c r="AM441" s="22"/>
      <c r="AN441" s="22"/>
      <c r="AO441" s="22"/>
      <c r="AP441" s="22"/>
      <c r="BA441" s="261"/>
      <c r="BB441" s="30" t="s">
        <v>1069</v>
      </c>
      <c r="BC441" s="21" t="s">
        <v>127</v>
      </c>
      <c r="BD441" s="21" t="b">
        <v>1</v>
      </c>
      <c r="BE441" s="116">
        <f>H406</f>
        <v>0</v>
      </c>
      <c r="BF441" s="21" t="str">
        <f>""&amp;H406</f>
        <v/>
      </c>
      <c r="BG441" s="21" t="b">
        <v>1</v>
      </c>
      <c r="BH441" s="21" t="b">
        <v>0</v>
      </c>
      <c r="BJ441" s="274"/>
      <c r="BK441" s="21" t="str">
        <f ca="1">_xlfn.FORMULATEXT(BE441)</f>
        <v>=H406</v>
      </c>
      <c r="BL441" s="21" t="str">
        <f ca="1">_xlfn.FORMULATEXT(BE441)</f>
        <v>=H406</v>
      </c>
      <c r="BN441" s="274"/>
      <c r="BO441" s="274"/>
      <c r="BP441" s="274"/>
      <c r="BQ441" s="274"/>
      <c r="BR441" s="274"/>
    </row>
    <row r="442" spans="1:70" ht="14.75" customHeight="1">
      <c r="A442" s="64" t="s">
        <v>673</v>
      </c>
      <c r="B442" s="297"/>
      <c r="C442" s="298" t="s">
        <v>625</v>
      </c>
      <c r="D442" s="299"/>
      <c r="E442" s="299"/>
      <c r="F442" s="300"/>
      <c r="G442" s="301" t="s">
        <v>1070</v>
      </c>
      <c r="H442" s="302"/>
      <c r="I442" s="303"/>
      <c r="J442" s="301" t="s">
        <v>1071</v>
      </c>
      <c r="K442" s="302"/>
      <c r="L442" s="303"/>
      <c r="M442" s="301" t="s">
        <v>1072</v>
      </c>
      <c r="N442" s="302"/>
      <c r="O442" s="303"/>
      <c r="P442" s="64"/>
      <c r="R442" s="290"/>
      <c r="AD442" s="22">
        <f>ROW()</f>
        <v>442</v>
      </c>
      <c r="AE442" s="22"/>
      <c r="AF442" s="22"/>
      <c r="AG442" s="22"/>
      <c r="AH442" s="22"/>
      <c r="AI442" s="22"/>
      <c r="AJ442" s="22"/>
      <c r="AK442" s="22"/>
      <c r="AL442" s="22"/>
      <c r="AM442" s="22"/>
      <c r="AN442" s="22"/>
      <c r="AO442" s="22"/>
      <c r="AP442" s="22"/>
      <c r="BA442" s="261"/>
      <c r="BB442" s="30" t="s">
        <v>1073</v>
      </c>
      <c r="BC442" s="21" t="s">
        <v>127</v>
      </c>
      <c r="BD442" s="21" t="b">
        <v>1</v>
      </c>
      <c r="BE442" s="116">
        <f>K406</f>
        <v>0</v>
      </c>
      <c r="BF442" s="21" t="str">
        <f>""&amp;K406</f>
        <v/>
      </c>
      <c r="BG442" s="21" t="b">
        <v>1</v>
      </c>
      <c r="BH442" s="21" t="b">
        <v>0</v>
      </c>
      <c r="BJ442" s="274"/>
      <c r="BK442" s="21" t="str">
        <f ca="1">_xlfn.FORMULATEXT(BE442)</f>
        <v>=K406</v>
      </c>
      <c r="BL442" s="21" t="str">
        <f ca="1">_xlfn.FORMULATEXT(BE442)</f>
        <v>=K406</v>
      </c>
      <c r="BN442" s="274"/>
      <c r="BO442" s="274"/>
      <c r="BP442" s="274"/>
      <c r="BQ442" s="274"/>
      <c r="BR442" s="274"/>
    </row>
    <row r="443" spans="1:69" ht="14.75" customHeight="1">
      <c r="A443" s="64" t="s">
        <v>673</v>
      </c>
      <c r="B443" s="304"/>
      <c r="C443" s="305"/>
      <c r="D443" s="306"/>
      <c r="E443" s="306"/>
      <c r="F443" s="307"/>
      <c r="G443" s="495"/>
      <c r="H443" s="496"/>
      <c r="I443" s="497"/>
      <c r="J443" s="495"/>
      <c r="K443" s="496"/>
      <c r="L443" s="497"/>
      <c r="M443" s="311"/>
      <c r="N443" s="312"/>
      <c r="O443" s="313"/>
      <c r="P443" s="64"/>
      <c r="R443" s="290"/>
      <c r="AD443" s="22">
        <f>ROW()</f>
        <v>443</v>
      </c>
      <c r="AE443" s="22"/>
      <c r="AF443" s="22"/>
      <c r="AG443" s="22"/>
      <c r="AH443" s="22"/>
      <c r="AI443" s="22"/>
      <c r="AJ443" s="22"/>
      <c r="AK443" s="22"/>
      <c r="AL443" s="22"/>
      <c r="AM443" s="22"/>
      <c r="AN443" s="22"/>
      <c r="AO443" s="22"/>
      <c r="AP443" s="22"/>
      <c r="BA443" s="261"/>
      <c r="BB443" s="30" t="s">
        <v>1074</v>
      </c>
      <c r="BC443" s="21" t="s">
        <v>127</v>
      </c>
      <c r="BD443" s="21" t="b">
        <v>1</v>
      </c>
      <c r="BE443" s="116">
        <f>N406</f>
        <v>0</v>
      </c>
      <c r="BF443" s="21" t="str">
        <f>""&amp;N406</f>
        <v/>
      </c>
      <c r="BG443" s="21" t="b">
        <v>1</v>
      </c>
      <c r="BH443" s="21" t="b">
        <v>0</v>
      </c>
      <c r="BJ443" s="274"/>
      <c r="BK443" s="21" t="str">
        <f ca="1">_xlfn.FORMULATEXT(BE443)</f>
        <v>=N406</v>
      </c>
      <c r="BL443" s="21" t="str">
        <f ca="1">_xlfn.FORMULATEXT(BE443)</f>
        <v>=N406</v>
      </c>
      <c r="BN443" s="274"/>
      <c r="BO443" s="274"/>
      <c r="BP443" s="274"/>
      <c r="BQ443" s="274"/>
    </row>
    <row r="444" spans="1:69" ht="14.75" customHeight="1">
      <c r="A444" s="64" t="s">
        <v>673</v>
      </c>
      <c r="B444" s="304"/>
      <c r="C444" s="305"/>
      <c r="D444" s="306"/>
      <c r="E444" s="306"/>
      <c r="F444" s="307"/>
      <c r="G444" s="618" t="s">
        <v>252</v>
      </c>
      <c r="H444" s="617"/>
      <c r="I444" s="619"/>
      <c r="J444" s="539" t="s">
        <v>1075</v>
      </c>
      <c r="K444" s="539"/>
      <c r="L444" s="540"/>
      <c r="M444" s="311"/>
      <c r="N444" s="312"/>
      <c r="O444" s="313"/>
      <c r="P444" s="64"/>
      <c r="Q444" s="95"/>
      <c r="R444" s="290"/>
      <c r="AD444" s="22">
        <f>ROW()</f>
        <v>444</v>
      </c>
      <c r="AE444" s="22"/>
      <c r="AF444" s="22"/>
      <c r="AG444" s="22"/>
      <c r="AH444" s="22"/>
      <c r="AI444" s="22"/>
      <c r="AJ444" s="22"/>
      <c r="AK444" s="22"/>
      <c r="AL444" s="22"/>
      <c r="AM444" s="22"/>
      <c r="AN444" s="22"/>
      <c r="AO444" s="22"/>
      <c r="AP444" s="22"/>
      <c r="BA444" s="261"/>
      <c r="BB444" s="30" t="s">
        <v>1076</v>
      </c>
      <c r="BC444" s="21" t="s">
        <v>127</v>
      </c>
      <c r="BD444" s="21" t="b">
        <v>1</v>
      </c>
      <c r="BE444" s="116">
        <f>E407</f>
        <v>0</v>
      </c>
      <c r="BF444" s="21" t="str">
        <f>""&amp;E407</f>
        <v/>
      </c>
      <c r="BG444" s="21" t="b">
        <v>1</v>
      </c>
      <c r="BH444" s="21" t="b">
        <v>0</v>
      </c>
      <c r="BJ444" s="274"/>
      <c r="BK444" s="21" t="str">
        <f ca="1">_xlfn.FORMULATEXT(BE444)</f>
        <v>=E407</v>
      </c>
      <c r="BL444" s="21" t="str">
        <f ca="1">_xlfn.FORMULATEXT(BE444)</f>
        <v>=E407</v>
      </c>
      <c r="BN444" s="274"/>
      <c r="BO444" s="274"/>
      <c r="BP444" s="274"/>
      <c r="BQ444" s="274"/>
    </row>
    <row r="445" spans="1:66" ht="14.5">
      <c r="A445" s="64" t="s">
        <v>673</v>
      </c>
      <c r="B445" s="304"/>
      <c r="C445" s="305"/>
      <c r="D445" s="306"/>
      <c r="E445" s="306"/>
      <c r="F445" s="307"/>
      <c r="G445" s="482" t="s">
        <v>1077</v>
      </c>
      <c r="H445" s="483"/>
      <c r="I445" s="484"/>
      <c r="J445" s="482" t="s">
        <v>1077</v>
      </c>
      <c r="K445" s="483"/>
      <c r="L445" s="484"/>
      <c r="M445" s="311"/>
      <c r="N445" s="312"/>
      <c r="O445" s="313"/>
      <c r="P445" s="64"/>
      <c r="R445" s="290"/>
      <c r="AD445" s="22">
        <f>ROW()</f>
        <v>445</v>
      </c>
      <c r="AE445" s="22"/>
      <c r="AF445" s="22"/>
      <c r="AG445" s="22"/>
      <c r="AH445" s="22"/>
      <c r="AI445" s="22"/>
      <c r="AJ445" s="22"/>
      <c r="AK445" s="22"/>
      <c r="AL445" s="22"/>
      <c r="AM445" s="22"/>
      <c r="AN445" s="22"/>
      <c r="AO445" s="22"/>
      <c r="AP445" s="22"/>
      <c r="BA445" s="261"/>
      <c r="BB445" s="30" t="s">
        <v>1078</v>
      </c>
      <c r="BC445" s="21" t="s">
        <v>127</v>
      </c>
      <c r="BD445" s="21" t="b">
        <v>1</v>
      </c>
      <c r="BE445" s="261">
        <f>H407</f>
        <v>0</v>
      </c>
      <c r="BF445" s="21" t="str">
        <f>""&amp;H407</f>
        <v/>
      </c>
      <c r="BG445" s="21" t="b">
        <v>1</v>
      </c>
      <c r="BH445" s="21" t="b">
        <v>0</v>
      </c>
      <c r="BJ445" s="274"/>
      <c r="BK445" s="21" t="str">
        <f ca="1">_xlfn.FORMULATEXT(BE445)</f>
        <v>=H407</v>
      </c>
      <c r="BL445" s="21" t="str">
        <f ca="1">_xlfn.FORMULATEXT(BE445)</f>
        <v>=H407</v>
      </c>
      <c r="BN445" s="274"/>
    </row>
    <row r="446" spans="1:66" ht="14.75" customHeight="1">
      <c r="A446" s="64" t="s">
        <v>673</v>
      </c>
      <c r="B446" s="315"/>
      <c r="C446" s="316"/>
      <c r="D446" s="317"/>
      <c r="E446" s="317"/>
      <c r="F446" s="318"/>
      <c r="G446" s="618" t="s">
        <v>183</v>
      </c>
      <c r="H446" s="617"/>
      <c r="I446" s="619"/>
      <c r="J446" s="648" t="str">
        <f>""&amp;J200</f>
        <v>31/03/2021</v>
      </c>
      <c r="K446" s="647"/>
      <c r="L446" s="649"/>
      <c r="M446" s="308"/>
      <c r="N446" s="309"/>
      <c r="O446" s="310"/>
      <c r="P446" s="64"/>
      <c r="R446" s="290"/>
      <c r="AD446" s="22">
        <f>ROW()</f>
        <v>446</v>
      </c>
      <c r="AE446" s="22"/>
      <c r="AF446" s="22"/>
      <c r="AG446" s="22"/>
      <c r="AH446" s="22"/>
      <c r="AI446" s="22"/>
      <c r="AJ446" s="22"/>
      <c r="AK446" s="22"/>
      <c r="AL446" s="22"/>
      <c r="AM446" s="22"/>
      <c r="AN446" s="22"/>
      <c r="AO446" s="22"/>
      <c r="AP446" s="22"/>
      <c r="BA446" s="274"/>
      <c r="BB446" s="30" t="s">
        <v>1079</v>
      </c>
      <c r="BC446" s="21" t="s">
        <v>127</v>
      </c>
      <c r="BD446" s="21" t="b">
        <v>1</v>
      </c>
      <c r="BE446" s="261">
        <f>K407</f>
        <v>0</v>
      </c>
      <c r="BF446" s="21" t="str">
        <f>""&amp;K407</f>
        <v/>
      </c>
      <c r="BG446" s="21" t="b">
        <v>1</v>
      </c>
      <c r="BH446" s="21" t="b">
        <v>0</v>
      </c>
      <c r="BJ446" s="274"/>
      <c r="BK446" s="21" t="str">
        <f ca="1">_xlfn.FORMULATEXT(BE446)</f>
        <v>=K407</v>
      </c>
      <c r="BL446" s="21" t="str">
        <f ca="1">_xlfn.FORMULATEXT(BE446)</f>
        <v>=K407</v>
      </c>
      <c r="BN446" s="274"/>
    </row>
    <row r="447" spans="1:64" ht="14.75" customHeight="1">
      <c r="A447" s="64" t="s">
        <v>673</v>
      </c>
      <c r="B447" s="266" t="s">
        <v>1080</v>
      </c>
      <c r="C447" s="319" t="s">
        <v>1081</v>
      </c>
      <c r="D447" s="320"/>
      <c r="E447" s="320"/>
      <c r="F447" s="320"/>
      <c r="G447" s="320"/>
      <c r="H447" s="320"/>
      <c r="I447" s="320"/>
      <c r="J447" s="320"/>
      <c r="K447" s="320"/>
      <c r="L447" s="320"/>
      <c r="M447" s="320"/>
      <c r="N447" s="320"/>
      <c r="O447" s="321"/>
      <c r="P447" s="64"/>
      <c r="Q447" s="116"/>
      <c r="R447" s="290"/>
      <c r="AD447" s="22">
        <f>ROW()</f>
        <v>447</v>
      </c>
      <c r="AE447" s="22"/>
      <c r="AF447" s="22"/>
      <c r="AG447" s="22"/>
      <c r="AH447" s="22"/>
      <c r="AI447" s="22"/>
      <c r="AJ447" s="22"/>
      <c r="AK447" s="22"/>
      <c r="AL447" s="22"/>
      <c r="AM447" s="22"/>
      <c r="AN447" s="22"/>
      <c r="AO447" s="22"/>
      <c r="AP447" s="22"/>
      <c r="BA447" s="274"/>
      <c r="BB447" s="30" t="s">
        <v>1082</v>
      </c>
      <c r="BC447" s="21" t="s">
        <v>127</v>
      </c>
      <c r="BD447" s="21" t="b">
        <v>1</v>
      </c>
      <c r="BE447" s="116">
        <f>N407</f>
        <v>0</v>
      </c>
      <c r="BF447" s="21" t="str">
        <f>""&amp;N407</f>
        <v/>
      </c>
      <c r="BG447" s="21" t="b">
        <v>1</v>
      </c>
      <c r="BH447" s="21" t="b">
        <v>0</v>
      </c>
      <c r="BJ447" s="274"/>
      <c r="BK447" s="21" t="str">
        <f ca="1">_xlfn.FORMULATEXT(BE447)</f>
        <v>=N407</v>
      </c>
      <c r="BL447" s="21" t="str">
        <f ca="1">_xlfn.FORMULATEXT(BE447)</f>
        <v>=N407</v>
      </c>
    </row>
    <row r="448" spans="1:64" ht="14.75" customHeight="1">
      <c r="A448" s="64" t="s">
        <v>673</v>
      </c>
      <c r="B448" s="173"/>
      <c r="C448" s="319" t="s">
        <v>1083</v>
      </c>
      <c r="D448" s="320"/>
      <c r="E448" s="320"/>
      <c r="F448" s="320"/>
      <c r="G448" s="440"/>
      <c r="H448" s="440"/>
      <c r="I448" s="440"/>
      <c r="J448" s="440"/>
      <c r="K448" s="440"/>
      <c r="L448" s="440"/>
      <c r="M448" s="440"/>
      <c r="N448" s="440"/>
      <c r="O448" s="441"/>
      <c r="P448" s="64"/>
      <c r="Q448" s="116"/>
      <c r="R448" s="290"/>
      <c r="AD448" s="22">
        <f>ROW()</f>
        <v>448</v>
      </c>
      <c r="AE448" s="22"/>
      <c r="AF448" s="22"/>
      <c r="AG448" s="22"/>
      <c r="AH448" s="22"/>
      <c r="AI448" s="22"/>
      <c r="AJ448" s="22"/>
      <c r="AK448" s="22"/>
      <c r="AL448" s="22"/>
      <c r="AM448" s="22"/>
      <c r="AN448" s="22"/>
      <c r="AO448" s="22"/>
      <c r="AP448" s="22"/>
      <c r="BA448" s="274"/>
      <c r="BB448" s="30" t="s">
        <v>1084</v>
      </c>
      <c r="BC448" s="21" t="s">
        <v>127</v>
      </c>
      <c r="BD448" s="21" t="b">
        <v>0</v>
      </c>
      <c r="BE448" s="116">
        <f>B408</f>
        <v>0</v>
      </c>
      <c r="BF448" s="21" t="str">
        <f>""&amp;B408</f>
        <v/>
      </c>
      <c r="BG448" s="21" t="b">
        <v>1</v>
      </c>
      <c r="BH448" s="21" t="b">
        <v>0</v>
      </c>
      <c r="BJ448" s="274"/>
      <c r="BK448" s="21" t="str">
        <f ca="1">_xlfn.FORMULATEXT(BE448)</f>
        <v>=B408</v>
      </c>
      <c r="BL448" s="21" t="str">
        <f ca="1">_xlfn.FORMULATEXT(BE448)</f>
        <v>=B408</v>
      </c>
    </row>
    <row r="449" spans="1:64" ht="14.5">
      <c r="A449" s="64" t="s">
        <v>673</v>
      </c>
      <c r="B449" s="266"/>
      <c r="C449" s="322" t="s">
        <v>1085</v>
      </c>
      <c r="D449" s="323"/>
      <c r="E449" s="323"/>
      <c r="F449" s="324"/>
      <c r="G449" s="408"/>
      <c r="H449" s="407"/>
      <c r="I449" s="409"/>
      <c r="J449" s="408" t="s">
        <v>450</v>
      </c>
      <c r="K449" s="407"/>
      <c r="L449" s="409"/>
      <c r="M449" s="414"/>
      <c r="N449" s="413"/>
      <c r="O449" s="415"/>
      <c r="P449" s="64"/>
      <c r="Q449" s="116"/>
      <c r="R449" s="290"/>
      <c r="AD449" s="22">
        <f>ROW()</f>
        <v>449</v>
      </c>
      <c r="AE449" s="22"/>
      <c r="AF449" s="22"/>
      <c r="AG449" s="22"/>
      <c r="AH449" s="22"/>
      <c r="AI449" s="22"/>
      <c r="AJ449" s="22"/>
      <c r="AK449" s="22"/>
      <c r="AL449" s="22"/>
      <c r="AM449" s="22"/>
      <c r="AN449" s="22"/>
      <c r="AO449" s="22"/>
      <c r="AP449" s="22"/>
      <c r="BA449" s="274"/>
      <c r="BB449" s="30" t="s">
        <v>1086</v>
      </c>
      <c r="BC449" s="21" t="s">
        <v>127</v>
      </c>
      <c r="BD449" s="21" t="b">
        <v>1</v>
      </c>
      <c r="BE449" s="116">
        <f>E410</f>
        <v>0</v>
      </c>
      <c r="BF449" s="21" t="str">
        <f>""&amp;E410</f>
        <v/>
      </c>
      <c r="BG449" s="21" t="b">
        <v>1</v>
      </c>
      <c r="BH449" s="21" t="b">
        <v>0</v>
      </c>
      <c r="BJ449" s="274"/>
      <c r="BK449" s="21" t="str">
        <f ca="1">_xlfn.FORMULATEXT(BE449)</f>
        <v>=E410</v>
      </c>
      <c r="BL449" s="21" t="str">
        <f ca="1">_xlfn.FORMULATEXT(BE449)</f>
        <v>=E410</v>
      </c>
    </row>
    <row r="450" spans="1:64" ht="14.5">
      <c r="A450" s="64" t="s">
        <v>673</v>
      </c>
      <c r="B450" s="173"/>
      <c r="C450" s="322" t="s">
        <v>1087</v>
      </c>
      <c r="D450" s="323"/>
      <c r="E450" s="323"/>
      <c r="F450" s="324"/>
      <c r="G450" s="408"/>
      <c r="H450" s="407"/>
      <c r="I450" s="409"/>
      <c r="J450" s="408" t="s">
        <v>450</v>
      </c>
      <c r="K450" s="407"/>
      <c r="L450" s="409"/>
      <c r="M450" s="414"/>
      <c r="N450" s="413"/>
      <c r="O450" s="415"/>
      <c r="P450" s="64"/>
      <c r="Q450" s="116"/>
      <c r="R450" s="290"/>
      <c r="AD450" s="22">
        <f>ROW()</f>
        <v>450</v>
      </c>
      <c r="AE450" s="22"/>
      <c r="AF450" s="22"/>
      <c r="AG450" s="22"/>
      <c r="AH450" s="22"/>
      <c r="AI450" s="22"/>
      <c r="AJ450" s="22"/>
      <c r="AK450" s="22"/>
      <c r="AL450" s="22"/>
      <c r="AM450" s="22"/>
      <c r="AN450" s="22"/>
      <c r="AO450" s="22"/>
      <c r="AP450" s="22"/>
      <c r="BA450" s="274"/>
      <c r="BB450" s="30" t="s">
        <v>1088</v>
      </c>
      <c r="BC450" s="21" t="s">
        <v>127</v>
      </c>
      <c r="BD450" s="21" t="b">
        <v>1</v>
      </c>
      <c r="BE450" s="116">
        <f>H410</f>
        <v>0</v>
      </c>
      <c r="BF450" s="21" t="str">
        <f>""&amp;H410</f>
        <v/>
      </c>
      <c r="BG450" s="21" t="b">
        <v>1</v>
      </c>
      <c r="BH450" s="21" t="b">
        <v>0</v>
      </c>
      <c r="BJ450" s="274"/>
      <c r="BK450" s="21" t="str">
        <f ca="1">_xlfn.FORMULATEXT(BE450)</f>
        <v>=H410</v>
      </c>
      <c r="BL450" s="21" t="str">
        <f ca="1">_xlfn.FORMULATEXT(BE450)</f>
        <v>=H410</v>
      </c>
    </row>
    <row r="451" spans="1:83" s="116" customFormat="1" ht="14.75" customHeight="1">
      <c r="A451" s="64" t="s">
        <v>673</v>
      </c>
      <c r="B451" s="173"/>
      <c r="C451" s="322" t="s">
        <v>1089</v>
      </c>
      <c r="D451" s="323"/>
      <c r="E451" s="323"/>
      <c r="F451" s="324"/>
      <c r="G451" s="408"/>
      <c r="H451" s="407"/>
      <c r="I451" s="409"/>
      <c r="J451" s="408" t="s">
        <v>450</v>
      </c>
      <c r="K451" s="407"/>
      <c r="L451" s="409"/>
      <c r="M451" s="414"/>
      <c r="N451" s="413"/>
      <c r="O451" s="415"/>
      <c r="P451" s="64"/>
      <c r="R451" s="290"/>
      <c r="S451" s="21"/>
      <c r="T451" s="21"/>
      <c r="U451" s="21"/>
      <c r="V451" s="21"/>
      <c r="W451" s="21"/>
      <c r="X451" s="21"/>
      <c r="Y451" s="21"/>
      <c r="Z451" s="21"/>
      <c r="AA451" s="21"/>
      <c r="AB451" s="21"/>
      <c r="AC451" s="21"/>
      <c r="AD451" s="22">
        <f>ROW()</f>
        <v>451</v>
      </c>
      <c r="AE451" s="22"/>
      <c r="AF451" s="22"/>
      <c r="AG451" s="22"/>
      <c r="AH451" s="22"/>
      <c r="AI451" s="22"/>
      <c r="AJ451" s="22"/>
      <c r="AK451" s="22"/>
      <c r="AL451" s="22"/>
      <c r="AM451" s="22"/>
      <c r="AN451" s="22"/>
      <c r="AO451" s="22"/>
      <c r="AP451" s="22"/>
      <c r="AQ451" s="21"/>
      <c r="AR451" s="21"/>
      <c r="AS451" s="21"/>
      <c r="AT451" s="21"/>
      <c r="AU451" s="21"/>
      <c r="AV451" s="21"/>
      <c r="AW451" s="21"/>
      <c r="AX451" s="21"/>
      <c r="AY451" s="21"/>
      <c r="AZ451" s="21"/>
      <c r="BA451" s="274"/>
      <c r="BB451" s="30" t="s">
        <v>1090</v>
      </c>
      <c r="BC451" s="21" t="s">
        <v>127</v>
      </c>
      <c r="BD451" s="21" t="b">
        <v>1</v>
      </c>
      <c r="BE451" s="116">
        <f>K410</f>
        <v>0</v>
      </c>
      <c r="BF451" s="21" t="str">
        <f>""&amp;K410</f>
        <v/>
      </c>
      <c r="BG451" s="21" t="b">
        <v>1</v>
      </c>
      <c r="BH451" s="21" t="b">
        <v>0</v>
      </c>
      <c r="BI451" s="21"/>
      <c r="BJ451" s="274"/>
      <c r="BK451" s="21" t="str">
        <f ca="1">_xlfn.FORMULATEXT(BE451)</f>
        <v>=K410</v>
      </c>
      <c r="BL451" s="21" t="str">
        <f ca="1">_xlfn.FORMULATEXT(BE451)</f>
        <v>=K410</v>
      </c>
      <c r="BM451" s="21"/>
      <c r="BN451" s="21"/>
      <c r="BO451" s="21"/>
      <c r="BP451" s="21"/>
      <c r="BQ451" s="21"/>
      <c r="BR451" s="21"/>
      <c r="BS451" s="21"/>
      <c r="BT451" s="21"/>
      <c r="BU451" s="21"/>
      <c r="BV451" s="21"/>
      <c r="BW451" s="21"/>
      <c r="BX451" s="21"/>
      <c r="CE451" s="21"/>
    </row>
    <row r="452" spans="1:70" s="116" customFormat="1" ht="14.75" customHeight="1">
      <c r="A452" s="64" t="s">
        <v>673</v>
      </c>
      <c r="B452" s="173"/>
      <c r="C452" s="319" t="s">
        <v>1091</v>
      </c>
      <c r="D452" s="320"/>
      <c r="E452" s="320"/>
      <c r="F452" s="320"/>
      <c r="G452" s="440"/>
      <c r="H452" s="440"/>
      <c r="I452" s="440"/>
      <c r="J452" s="440"/>
      <c r="K452" s="440"/>
      <c r="L452" s="440"/>
      <c r="M452" s="440"/>
      <c r="N452" s="440"/>
      <c r="O452" s="441"/>
      <c r="P452" s="64"/>
      <c r="Q452" s="21"/>
      <c r="R452" s="290"/>
      <c r="S452" s="21"/>
      <c r="T452" s="21"/>
      <c r="U452" s="21"/>
      <c r="V452" s="21"/>
      <c r="W452" s="21"/>
      <c r="X452" s="21"/>
      <c r="Y452" s="21"/>
      <c r="Z452" s="21"/>
      <c r="AA452" s="21"/>
      <c r="AB452" s="21"/>
      <c r="AC452" s="21"/>
      <c r="AD452" s="22">
        <f>ROW()</f>
        <v>452</v>
      </c>
      <c r="AE452" s="22"/>
      <c r="AF452" s="22"/>
      <c r="AG452" s="22"/>
      <c r="AH452" s="22"/>
      <c r="AI452" s="325"/>
      <c r="AJ452" s="325"/>
      <c r="AK452" s="325"/>
      <c r="AL452" s="325"/>
      <c r="AM452" s="325"/>
      <c r="AN452" s="325"/>
      <c r="AO452" s="325"/>
      <c r="AP452" s="325"/>
      <c r="AQ452" s="21"/>
      <c r="AR452" s="21"/>
      <c r="AS452" s="21"/>
      <c r="AT452" s="21"/>
      <c r="AU452" s="21"/>
      <c r="AV452" s="21"/>
      <c r="AW452" s="21"/>
      <c r="AX452" s="21"/>
      <c r="AY452" s="21"/>
      <c r="AZ452" s="21"/>
      <c r="BA452" s="274"/>
      <c r="BB452" s="30" t="s">
        <v>1092</v>
      </c>
      <c r="BC452" s="21" t="s">
        <v>127</v>
      </c>
      <c r="BD452" s="21" t="b">
        <v>1</v>
      </c>
      <c r="BE452" s="116">
        <f>N410</f>
        <v>0</v>
      </c>
      <c r="BF452" s="21" t="str">
        <f>""&amp;N410</f>
        <v/>
      </c>
      <c r="BG452" s="21" t="b">
        <v>1</v>
      </c>
      <c r="BH452" s="21" t="b">
        <v>0</v>
      </c>
      <c r="BI452" s="21"/>
      <c r="BJ452" s="274"/>
      <c r="BK452" s="21" t="str">
        <f ca="1">_xlfn.FORMULATEXT(BE452)</f>
        <v>=N410</v>
      </c>
      <c r="BL452" s="21" t="str">
        <f ca="1">_xlfn.FORMULATEXT(BE452)</f>
        <v>=N410</v>
      </c>
      <c r="BM452" s="21"/>
      <c r="BN452" s="21"/>
      <c r="BO452" s="21"/>
      <c r="BP452" s="21"/>
      <c r="BQ452" s="21"/>
      <c r="BR452" s="21"/>
    </row>
    <row r="453" spans="1:70" s="116" customFormat="1" ht="14.75" customHeight="1">
      <c r="A453" s="64" t="s">
        <v>673</v>
      </c>
      <c r="B453" s="173"/>
      <c r="C453" s="322" t="s">
        <v>1085</v>
      </c>
      <c r="D453" s="323"/>
      <c r="E453" s="323"/>
      <c r="F453" s="324"/>
      <c r="G453" s="408"/>
      <c r="H453" s="407"/>
      <c r="I453" s="409"/>
      <c r="J453" s="408" t="s">
        <v>450</v>
      </c>
      <c r="K453" s="407"/>
      <c r="L453" s="409"/>
      <c r="M453" s="414"/>
      <c r="N453" s="413"/>
      <c r="O453" s="415"/>
      <c r="P453" s="64"/>
      <c r="Q453" s="21"/>
      <c r="R453" s="290"/>
      <c r="S453" s="21"/>
      <c r="T453" s="21"/>
      <c r="U453" s="21"/>
      <c r="V453" s="21"/>
      <c r="W453" s="21"/>
      <c r="X453" s="21"/>
      <c r="Y453" s="21"/>
      <c r="Z453" s="21"/>
      <c r="AA453" s="21"/>
      <c r="AB453" s="21"/>
      <c r="AC453" s="21"/>
      <c r="AD453" s="22">
        <f>ROW()</f>
        <v>453</v>
      </c>
      <c r="AE453" s="325"/>
      <c r="AF453" s="22"/>
      <c r="AG453" s="22"/>
      <c r="AH453" s="22"/>
      <c r="AI453" s="325"/>
      <c r="AJ453" s="325"/>
      <c r="AK453" s="325"/>
      <c r="AL453" s="325"/>
      <c r="AM453" s="325"/>
      <c r="AN453" s="325"/>
      <c r="AO453" s="325"/>
      <c r="AP453" s="325"/>
      <c r="AQ453" s="21"/>
      <c r="AR453" s="21"/>
      <c r="AS453" s="21"/>
      <c r="AT453" s="21"/>
      <c r="AU453" s="21"/>
      <c r="AV453" s="21"/>
      <c r="AW453" s="21"/>
      <c r="AX453" s="21"/>
      <c r="AY453" s="21"/>
      <c r="AZ453" s="21"/>
      <c r="BA453" s="274"/>
      <c r="BB453" s="30" t="s">
        <v>1093</v>
      </c>
      <c r="BC453" s="21" t="s">
        <v>127</v>
      </c>
      <c r="BD453" s="21" t="b">
        <v>1</v>
      </c>
      <c r="BE453" s="116">
        <f>E411</f>
        <v>0</v>
      </c>
      <c r="BF453" s="21" t="str">
        <f>""&amp;E411</f>
        <v/>
      </c>
      <c r="BG453" s="21" t="b">
        <v>1</v>
      </c>
      <c r="BH453" s="21" t="b">
        <v>0</v>
      </c>
      <c r="BI453" s="21"/>
      <c r="BJ453" s="274"/>
      <c r="BK453" s="21" t="str">
        <f ca="1">_xlfn.FORMULATEXT(BE453)</f>
        <v>=E411</v>
      </c>
      <c r="BL453" s="21" t="str">
        <f ca="1">_xlfn.FORMULATEXT(BE453)</f>
        <v>=E411</v>
      </c>
      <c r="BM453" s="21"/>
      <c r="BN453" s="21"/>
      <c r="BO453" s="21"/>
      <c r="BP453" s="21"/>
      <c r="BQ453" s="21"/>
      <c r="BR453" s="21"/>
    </row>
    <row r="454" spans="1:70" s="116" customFormat="1" ht="14.5">
      <c r="A454" s="64" t="s">
        <v>673</v>
      </c>
      <c r="B454" s="173"/>
      <c r="C454" s="322" t="s">
        <v>1087</v>
      </c>
      <c r="D454" s="323"/>
      <c r="E454" s="323"/>
      <c r="F454" s="324"/>
      <c r="G454" s="408"/>
      <c r="H454" s="407"/>
      <c r="I454" s="409"/>
      <c r="J454" s="408" t="s">
        <v>450</v>
      </c>
      <c r="K454" s="407"/>
      <c r="L454" s="409"/>
      <c r="M454" s="414"/>
      <c r="N454" s="413"/>
      <c r="O454" s="415"/>
      <c r="P454" s="64"/>
      <c r="Q454" s="21"/>
      <c r="R454" s="290"/>
      <c r="S454" s="21"/>
      <c r="T454" s="21"/>
      <c r="U454" s="21"/>
      <c r="V454" s="21"/>
      <c r="W454" s="21"/>
      <c r="X454" s="21"/>
      <c r="Y454" s="21"/>
      <c r="Z454" s="21"/>
      <c r="AA454" s="21"/>
      <c r="AB454" s="21"/>
      <c r="AC454" s="21"/>
      <c r="AD454" s="22">
        <f>ROW()</f>
        <v>454</v>
      </c>
      <c r="AE454" s="325"/>
      <c r="AF454" s="22"/>
      <c r="AG454" s="22"/>
      <c r="AH454" s="22"/>
      <c r="AI454" s="325"/>
      <c r="AJ454" s="325"/>
      <c r="AK454" s="325"/>
      <c r="AL454" s="325"/>
      <c r="AM454" s="325"/>
      <c r="AN454" s="325"/>
      <c r="AO454" s="325"/>
      <c r="AP454" s="325"/>
      <c r="AQ454" s="21"/>
      <c r="AR454" s="21"/>
      <c r="AS454" s="21"/>
      <c r="AT454" s="21"/>
      <c r="AU454" s="21"/>
      <c r="AV454" s="21"/>
      <c r="AW454" s="21"/>
      <c r="AX454" s="21"/>
      <c r="AY454" s="21"/>
      <c r="AZ454" s="21"/>
      <c r="BA454" s="274"/>
      <c r="BB454" s="30" t="s">
        <v>1094</v>
      </c>
      <c r="BC454" s="21" t="s">
        <v>127</v>
      </c>
      <c r="BD454" s="21" t="b">
        <v>1</v>
      </c>
      <c r="BE454" s="116">
        <f>H411</f>
        <v>0</v>
      </c>
      <c r="BF454" s="21" t="str">
        <f>""&amp;H411</f>
        <v/>
      </c>
      <c r="BG454" s="21" t="b">
        <v>1</v>
      </c>
      <c r="BH454" s="21" t="b">
        <v>0</v>
      </c>
      <c r="BI454" s="21"/>
      <c r="BJ454" s="274"/>
      <c r="BK454" s="21" t="str">
        <f ca="1">_xlfn.FORMULATEXT(BE454)</f>
        <v>=H411</v>
      </c>
      <c r="BL454" s="21" t="str">
        <f ca="1">_xlfn.FORMULATEXT(BE454)</f>
        <v>=H411</v>
      </c>
      <c r="BM454" s="21"/>
      <c r="BN454" s="21"/>
      <c r="BO454" s="21"/>
      <c r="BP454" s="21"/>
      <c r="BQ454" s="21"/>
      <c r="BR454" s="21"/>
    </row>
    <row r="455" spans="1:70" s="116" customFormat="1" ht="14.75" customHeight="1">
      <c r="A455" s="64" t="s">
        <v>673</v>
      </c>
      <c r="B455" s="173"/>
      <c r="C455" s="322" t="s">
        <v>1089</v>
      </c>
      <c r="D455" s="323"/>
      <c r="E455" s="323"/>
      <c r="F455" s="324"/>
      <c r="G455" s="408"/>
      <c r="H455" s="407"/>
      <c r="I455" s="409"/>
      <c r="J455" s="408" t="s">
        <v>450</v>
      </c>
      <c r="K455" s="407"/>
      <c r="L455" s="409"/>
      <c r="M455" s="414"/>
      <c r="N455" s="413"/>
      <c r="O455" s="415"/>
      <c r="P455" s="158"/>
      <c r="R455" s="21"/>
      <c r="S455" s="21"/>
      <c r="T455" s="21"/>
      <c r="U455" s="21"/>
      <c r="V455" s="21"/>
      <c r="W455" s="21"/>
      <c r="X455" s="21"/>
      <c r="Y455" s="21"/>
      <c r="Z455" s="21"/>
      <c r="AA455" s="21"/>
      <c r="AB455" s="21"/>
      <c r="AC455" s="21"/>
      <c r="AD455" s="22">
        <f>ROW()</f>
        <v>455</v>
      </c>
      <c r="AE455" s="325"/>
      <c r="AF455" s="22"/>
      <c r="AG455" s="22"/>
      <c r="AH455" s="22"/>
      <c r="AI455" s="325"/>
      <c r="AJ455" s="325"/>
      <c r="AK455" s="325"/>
      <c r="AL455" s="325"/>
      <c r="AM455" s="325"/>
      <c r="AN455" s="325"/>
      <c r="AO455" s="325"/>
      <c r="AP455" s="325"/>
      <c r="AQ455" s="21"/>
      <c r="AR455" s="21"/>
      <c r="AS455" s="21"/>
      <c r="AT455" s="21"/>
      <c r="AU455" s="21"/>
      <c r="AV455" s="21"/>
      <c r="AW455" s="21"/>
      <c r="AX455" s="21"/>
      <c r="AY455" s="21"/>
      <c r="AZ455" s="21"/>
      <c r="BA455" s="274"/>
      <c r="BB455" s="30" t="s">
        <v>1095</v>
      </c>
      <c r="BC455" s="21" t="s">
        <v>127</v>
      </c>
      <c r="BD455" s="21" t="b">
        <v>1</v>
      </c>
      <c r="BE455" s="116">
        <f>K411</f>
        <v>0</v>
      </c>
      <c r="BF455" s="21" t="str">
        <f>""&amp;K411</f>
        <v/>
      </c>
      <c r="BG455" s="21" t="b">
        <v>1</v>
      </c>
      <c r="BH455" s="21" t="b">
        <v>0</v>
      </c>
      <c r="BI455" s="21"/>
      <c r="BJ455" s="274"/>
      <c r="BK455" s="21" t="str">
        <f ca="1">_xlfn.FORMULATEXT(BE455)</f>
        <v>=K411</v>
      </c>
      <c r="BL455" s="21" t="str">
        <f ca="1">_xlfn.FORMULATEXT(BE455)</f>
        <v>=K411</v>
      </c>
      <c r="BM455" s="21"/>
      <c r="BN455" s="21"/>
      <c r="BO455" s="21"/>
      <c r="BP455" s="21"/>
      <c r="BQ455" s="21"/>
      <c r="BR455" s="21"/>
    </row>
    <row r="456" spans="1:83" ht="14.75" customHeight="1">
      <c r="A456" s="64" t="s">
        <v>673</v>
      </c>
      <c r="B456" s="266" t="s">
        <v>1096</v>
      </c>
      <c r="C456" s="319" t="s">
        <v>1097</v>
      </c>
      <c r="D456" s="320"/>
      <c r="E456" s="320"/>
      <c r="F456" s="320"/>
      <c r="G456" s="440"/>
      <c r="H456" s="440"/>
      <c r="I456" s="440"/>
      <c r="J456" s="440"/>
      <c r="K456" s="440"/>
      <c r="L456" s="440"/>
      <c r="M456" s="440"/>
      <c r="N456" s="440"/>
      <c r="O456" s="441"/>
      <c r="P456" s="64"/>
      <c r="R456" s="95"/>
      <c r="AD456" s="22">
        <f>ROW()</f>
        <v>456</v>
      </c>
      <c r="AE456" s="325"/>
      <c r="AF456" s="22"/>
      <c r="AG456" s="22"/>
      <c r="AH456" s="325"/>
      <c r="AI456" s="325"/>
      <c r="AJ456" s="325"/>
      <c r="AK456" s="325"/>
      <c r="AL456" s="325"/>
      <c r="AM456" s="325"/>
      <c r="AN456" s="325"/>
      <c r="AO456" s="325"/>
      <c r="AP456" s="325"/>
      <c r="BA456" s="274"/>
      <c r="BB456" s="30" t="s">
        <v>1098</v>
      </c>
      <c r="BC456" s="21" t="s">
        <v>127</v>
      </c>
      <c r="BD456" s="21" t="b">
        <v>1</v>
      </c>
      <c r="BE456" s="116">
        <f>N411</f>
        <v>0</v>
      </c>
      <c r="BF456" s="21" t="str">
        <f>""&amp;N411</f>
        <v/>
      </c>
      <c r="BG456" s="21" t="b">
        <v>1</v>
      </c>
      <c r="BH456" s="21" t="b">
        <v>0</v>
      </c>
      <c r="BJ456" s="274"/>
      <c r="BK456" s="21" t="str">
        <f ca="1">_xlfn.FORMULATEXT(BE456)</f>
        <v>=N411</v>
      </c>
      <c r="BL456" s="21" t="str">
        <f ca="1">_xlfn.FORMULATEXT(BE456)</f>
        <v>=N411</v>
      </c>
      <c r="BS456" s="116"/>
      <c r="BT456" s="116"/>
      <c r="BU456" s="116"/>
      <c r="BV456" s="116"/>
      <c r="BW456" s="116"/>
      <c r="BX456" s="116"/>
      <c r="CE456" s="116"/>
    </row>
    <row r="457" spans="1:64" ht="14.5">
      <c r="A457" s="64" t="s">
        <v>673</v>
      </c>
      <c r="B457" s="266"/>
      <c r="C457" s="322" t="s">
        <v>1099</v>
      </c>
      <c r="D457" s="323"/>
      <c r="E457" s="323"/>
      <c r="F457" s="324"/>
      <c r="G457" s="408"/>
      <c r="H457" s="407"/>
      <c r="I457" s="409"/>
      <c r="J457" s="408" t="s">
        <v>673</v>
      </c>
      <c r="K457" s="407"/>
      <c r="L457" s="409"/>
      <c r="M457" s="414"/>
      <c r="N457" s="413"/>
      <c r="O457" s="415"/>
      <c r="P457" s="64"/>
      <c r="AD457" s="22">
        <f>ROW()</f>
        <v>457</v>
      </c>
      <c r="AE457" s="325"/>
      <c r="AF457" s="22"/>
      <c r="AG457" s="22"/>
      <c r="AH457" s="325"/>
      <c r="AI457" s="22"/>
      <c r="AJ457" s="22"/>
      <c r="AK457" s="22"/>
      <c r="AL457" s="22"/>
      <c r="AM457" s="22"/>
      <c r="AN457" s="22"/>
      <c r="AO457" s="22"/>
      <c r="AP457" s="22"/>
      <c r="BA457" s="274"/>
      <c r="BB457" s="30" t="s">
        <v>1100</v>
      </c>
      <c r="BC457" s="21" t="s">
        <v>127</v>
      </c>
      <c r="BD457" s="21" t="b">
        <v>1</v>
      </c>
      <c r="BE457" s="116">
        <f>E412</f>
        <v>0</v>
      </c>
      <c r="BF457" s="21" t="str">
        <f>""&amp;E412</f>
        <v/>
      </c>
      <c r="BG457" s="21" t="b">
        <v>1</v>
      </c>
      <c r="BH457" s="21" t="b">
        <v>0</v>
      </c>
      <c r="BJ457" s="274"/>
      <c r="BK457" s="21" t="str">
        <f ca="1">_xlfn.FORMULATEXT(BE457)</f>
        <v>=E412</v>
      </c>
      <c r="BL457" s="21" t="str">
        <f ca="1">_xlfn.FORMULATEXT(BE457)</f>
        <v>=E412</v>
      </c>
    </row>
    <row r="458" spans="1:64" ht="14.75" customHeight="1">
      <c r="A458" s="64" t="s">
        <v>673</v>
      </c>
      <c r="B458" s="266"/>
      <c r="C458" s="322" t="s">
        <v>1101</v>
      </c>
      <c r="D458" s="323"/>
      <c r="E458" s="323"/>
      <c r="F458" s="324"/>
      <c r="G458" s="408"/>
      <c r="H458" s="407"/>
      <c r="I458" s="409"/>
      <c r="J458" s="408" t="s">
        <v>673</v>
      </c>
      <c r="K458" s="407"/>
      <c r="L458" s="409"/>
      <c r="M458" s="414"/>
      <c r="N458" s="413"/>
      <c r="O458" s="415"/>
      <c r="P458" s="118"/>
      <c r="AA458" s="116"/>
      <c r="AB458" s="116"/>
      <c r="AC458" s="116"/>
      <c r="AD458" s="22">
        <f>ROW()</f>
        <v>458</v>
      </c>
      <c r="AE458" s="22"/>
      <c r="AF458" s="22"/>
      <c r="AG458" s="22"/>
      <c r="AH458" s="325"/>
      <c r="AI458" s="22"/>
      <c r="AJ458" s="22"/>
      <c r="AK458" s="22"/>
      <c r="AL458" s="22"/>
      <c r="AM458" s="22"/>
      <c r="AN458" s="22"/>
      <c r="AO458" s="22"/>
      <c r="AP458" s="22"/>
      <c r="BA458" s="274"/>
      <c r="BB458" s="30" t="s">
        <v>1102</v>
      </c>
      <c r="BC458" s="21" t="s">
        <v>127</v>
      </c>
      <c r="BD458" s="21" t="b">
        <v>1</v>
      </c>
      <c r="BE458" s="116">
        <f>H412</f>
        <v>0</v>
      </c>
      <c r="BF458" s="21" t="str">
        <f>""&amp;H412</f>
        <v/>
      </c>
      <c r="BG458" s="21" t="b">
        <v>1</v>
      </c>
      <c r="BH458" s="21" t="b">
        <v>0</v>
      </c>
      <c r="BJ458" s="274"/>
      <c r="BK458" s="21" t="str">
        <f ca="1">_xlfn.FORMULATEXT(BE458)</f>
        <v>=H412</v>
      </c>
      <c r="BL458" s="21" t="str">
        <f ca="1">_xlfn.FORMULATEXT(BE458)</f>
        <v>=H412</v>
      </c>
    </row>
    <row r="459" spans="1:64" ht="14.75" customHeight="1">
      <c r="A459" s="64" t="s">
        <v>673</v>
      </c>
      <c r="B459" s="266"/>
      <c r="C459" s="322" t="s">
        <v>1103</v>
      </c>
      <c r="D459" s="323"/>
      <c r="E459" s="323"/>
      <c r="F459" s="324"/>
      <c r="G459" s="408"/>
      <c r="H459" s="407"/>
      <c r="I459" s="409"/>
      <c r="J459" s="408" t="s">
        <v>673</v>
      </c>
      <c r="K459" s="407"/>
      <c r="L459" s="409"/>
      <c r="M459" s="414"/>
      <c r="N459" s="413"/>
      <c r="O459" s="415"/>
      <c r="P459" s="118"/>
      <c r="R459" s="116"/>
      <c r="S459" s="116"/>
      <c r="T459" s="116"/>
      <c r="U459" s="116"/>
      <c r="V459" s="116"/>
      <c r="W459" s="116"/>
      <c r="X459" s="116"/>
      <c r="Y459" s="116"/>
      <c r="Z459" s="116"/>
      <c r="AA459" s="116"/>
      <c r="AB459" s="116"/>
      <c r="AC459" s="116"/>
      <c r="AD459" s="22">
        <f>ROW()</f>
        <v>459</v>
      </c>
      <c r="AE459" s="22"/>
      <c r="AF459" s="22"/>
      <c r="AG459" s="22"/>
      <c r="AH459" s="325"/>
      <c r="AI459" s="22"/>
      <c r="AJ459" s="22"/>
      <c r="AK459" s="22"/>
      <c r="AL459" s="22"/>
      <c r="AM459" s="22"/>
      <c r="AN459" s="22"/>
      <c r="AO459" s="22"/>
      <c r="AP459" s="22"/>
      <c r="AR459" s="116"/>
      <c r="AS459" s="116"/>
      <c r="AT459" s="116"/>
      <c r="AU459" s="116"/>
      <c r="AV459" s="116"/>
      <c r="AW459" s="116"/>
      <c r="AX459" s="116"/>
      <c r="BA459" s="274"/>
      <c r="BB459" s="30" t="s">
        <v>1104</v>
      </c>
      <c r="BC459" s="21" t="s">
        <v>127</v>
      </c>
      <c r="BD459" s="21" t="b">
        <v>1</v>
      </c>
      <c r="BE459" s="116">
        <f>K412</f>
        <v>0</v>
      </c>
      <c r="BF459" s="21" t="str">
        <f>""&amp;K412</f>
        <v/>
      </c>
      <c r="BG459" s="21" t="b">
        <v>1</v>
      </c>
      <c r="BH459" s="21" t="b">
        <v>0</v>
      </c>
      <c r="BJ459" s="274"/>
      <c r="BK459" s="21" t="str">
        <f ca="1">_xlfn.FORMULATEXT(BE459)</f>
        <v>=K412</v>
      </c>
      <c r="BL459" s="21" t="str">
        <f ca="1">_xlfn.FORMULATEXT(BE459)</f>
        <v>=K412</v>
      </c>
    </row>
    <row r="460" spans="1:64" ht="29" customHeight="1">
      <c r="A460" s="64" t="s">
        <v>673</v>
      </c>
      <c r="B460" s="266"/>
      <c r="C460" s="322" t="s">
        <v>1105</v>
      </c>
      <c r="D460" s="323"/>
      <c r="E460" s="323"/>
      <c r="F460" s="324"/>
      <c r="G460" s="408"/>
      <c r="H460" s="407"/>
      <c r="I460" s="409"/>
      <c r="J460" s="408" t="s">
        <v>673</v>
      </c>
      <c r="K460" s="407"/>
      <c r="L460" s="409"/>
      <c r="M460" s="414"/>
      <c r="N460" s="413"/>
      <c r="O460" s="415"/>
      <c r="P460" s="118"/>
      <c r="R460" s="116"/>
      <c r="S460" s="116"/>
      <c r="T460" s="116"/>
      <c r="U460" s="116"/>
      <c r="V460" s="116"/>
      <c r="W460" s="116"/>
      <c r="X460" s="116"/>
      <c r="Y460" s="116"/>
      <c r="Z460" s="116"/>
      <c r="AA460" s="116"/>
      <c r="AB460" s="116"/>
      <c r="AC460" s="116"/>
      <c r="AD460" s="22">
        <f>ROW()</f>
        <v>460</v>
      </c>
      <c r="AE460" s="22"/>
      <c r="AF460" s="22"/>
      <c r="AG460" s="22"/>
      <c r="AH460" s="325"/>
      <c r="AI460" s="22"/>
      <c r="AJ460" s="22"/>
      <c r="AK460" s="22"/>
      <c r="AL460" s="22"/>
      <c r="AM460" s="22"/>
      <c r="AN460" s="22"/>
      <c r="AO460" s="22"/>
      <c r="AP460" s="22"/>
      <c r="AR460" s="116"/>
      <c r="AS460" s="116"/>
      <c r="AT460" s="116"/>
      <c r="AU460" s="116"/>
      <c r="AV460" s="116"/>
      <c r="AW460" s="116"/>
      <c r="AX460" s="116"/>
      <c r="AY460" s="116"/>
      <c r="AZ460" s="116"/>
      <c r="BA460" s="274"/>
      <c r="BB460" s="30" t="s">
        <v>1106</v>
      </c>
      <c r="BC460" s="21" t="s">
        <v>127</v>
      </c>
      <c r="BD460" s="21" t="b">
        <v>1</v>
      </c>
      <c r="BE460" s="116">
        <f>N412</f>
        <v>0</v>
      </c>
      <c r="BF460" s="21" t="str">
        <f>""&amp;N412</f>
        <v/>
      </c>
      <c r="BG460" s="21" t="b">
        <v>1</v>
      </c>
      <c r="BH460" s="21" t="b">
        <v>0</v>
      </c>
      <c r="BJ460" s="274"/>
      <c r="BK460" s="21" t="str">
        <f ca="1">_xlfn.FORMULATEXT(BE460)</f>
        <v>=N412</v>
      </c>
      <c r="BL460" s="21" t="str">
        <f ca="1">_xlfn.FORMULATEXT(BE460)</f>
        <v>=N412</v>
      </c>
    </row>
    <row r="461" spans="1:64" ht="14.75" customHeight="1">
      <c r="A461" s="64" t="s">
        <v>673</v>
      </c>
      <c r="B461" s="266" t="s">
        <v>1107</v>
      </c>
      <c r="C461" s="326" t="s">
        <v>1108</v>
      </c>
      <c r="D461" s="327"/>
      <c r="E461" s="327"/>
      <c r="F461" s="328"/>
      <c r="G461" s="623" t="str" cm="1">
        <f t="array" ref="G461">TEXT(SUM(_xlfn.NUMBERVALUE(G457:I460),_xlfn.NUMBERVALUE(G453:I455),_xlfn.NUMBERVALUE(G449:I451)),"0.00")</f>
        <v>0.00</v>
      </c>
      <c r="H461" s="622"/>
      <c r="I461" s="624"/>
      <c r="J461" s="623" t="str" cm="1">
        <f t="array" ref="J461">TEXT(SUM(_xlfn.NUMBERVALUE(J457:L460),_xlfn.NUMBERVALUE(J453:L455),_xlfn.NUMBERVALUE(J449:L451)),"0.00")</f>
        <v>0.00</v>
      </c>
      <c r="K461" s="622"/>
      <c r="L461" s="624"/>
      <c r="M461" s="414"/>
      <c r="N461" s="413"/>
      <c r="O461" s="415"/>
      <c r="P461" s="118"/>
      <c r="R461" s="116"/>
      <c r="S461" s="116"/>
      <c r="T461" s="116"/>
      <c r="U461" s="116"/>
      <c r="V461" s="116"/>
      <c r="W461" s="116"/>
      <c r="X461" s="116"/>
      <c r="Y461" s="116"/>
      <c r="Z461" s="116"/>
      <c r="AA461" s="116"/>
      <c r="AB461" s="116"/>
      <c r="AC461" s="116"/>
      <c r="AD461" s="22">
        <f>ROW()</f>
        <v>461</v>
      </c>
      <c r="AE461" s="22"/>
      <c r="AF461" s="22"/>
      <c r="AG461" s="22"/>
      <c r="AH461" s="22"/>
      <c r="AI461" s="22"/>
      <c r="AJ461" s="22"/>
      <c r="AK461" s="22"/>
      <c r="AL461" s="22"/>
      <c r="AM461" s="22"/>
      <c r="AN461" s="22"/>
      <c r="AO461" s="22"/>
      <c r="AP461" s="22"/>
      <c r="AQ461" s="116"/>
      <c r="AR461" s="116"/>
      <c r="AS461" s="116"/>
      <c r="AT461" s="116"/>
      <c r="AU461" s="116"/>
      <c r="AV461" s="116"/>
      <c r="AW461" s="116"/>
      <c r="AX461" s="116"/>
      <c r="AY461" s="116"/>
      <c r="AZ461" s="116"/>
      <c r="BA461" s="274"/>
      <c r="BB461" s="30" t="s">
        <v>1109</v>
      </c>
      <c r="BC461" s="21" t="s">
        <v>127</v>
      </c>
      <c r="BD461" s="21" t="b">
        <v>1</v>
      </c>
      <c r="BE461" s="116">
        <f>E413</f>
        <v>0</v>
      </c>
      <c r="BF461" s="21" t="str">
        <f>""&amp;E413</f>
        <v/>
      </c>
      <c r="BG461" s="21" t="b">
        <v>1</v>
      </c>
      <c r="BH461" s="21" t="b">
        <v>0</v>
      </c>
      <c r="BJ461" s="274"/>
      <c r="BK461" s="21" t="str">
        <f ca="1">_xlfn.FORMULATEXT(BE461)</f>
        <v>=E413</v>
      </c>
      <c r="BL461" s="21" t="str">
        <f ca="1">_xlfn.FORMULATEXT(BE461)</f>
        <v>=E413</v>
      </c>
    </row>
    <row r="462" spans="1:64" ht="14.75" customHeight="1">
      <c r="A462" s="64" t="s">
        <v>673</v>
      </c>
      <c r="B462" s="266" t="s">
        <v>1110</v>
      </c>
      <c r="C462" s="319" t="s">
        <v>1111</v>
      </c>
      <c r="D462" s="320"/>
      <c r="E462" s="320"/>
      <c r="F462" s="320"/>
      <c r="G462" s="440"/>
      <c r="H462" s="440"/>
      <c r="I462" s="440"/>
      <c r="J462" s="440"/>
      <c r="K462" s="440"/>
      <c r="L462" s="440"/>
      <c r="M462" s="440"/>
      <c r="N462" s="440"/>
      <c r="O462" s="441"/>
      <c r="P462" s="118"/>
      <c r="R462" s="116"/>
      <c r="S462" s="116"/>
      <c r="T462" s="116"/>
      <c r="U462" s="116"/>
      <c r="V462" s="116"/>
      <c r="W462" s="116"/>
      <c r="X462" s="116"/>
      <c r="Y462" s="116"/>
      <c r="Z462" s="116"/>
      <c r="AA462" s="116"/>
      <c r="AB462" s="116"/>
      <c r="AC462" s="116"/>
      <c r="AD462" s="22">
        <f>ROW()</f>
        <v>462</v>
      </c>
      <c r="AE462" s="22"/>
      <c r="AF462" s="22"/>
      <c r="AG462" s="22"/>
      <c r="AH462" s="22"/>
      <c r="AI462" s="22"/>
      <c r="AJ462" s="22"/>
      <c r="AK462" s="22"/>
      <c r="AL462" s="22"/>
      <c r="AM462" s="22"/>
      <c r="AN462" s="22"/>
      <c r="AO462" s="22"/>
      <c r="AP462" s="22"/>
      <c r="AQ462" s="116"/>
      <c r="AR462" s="116"/>
      <c r="AS462" s="116"/>
      <c r="AT462" s="116"/>
      <c r="AU462" s="116"/>
      <c r="AV462" s="116"/>
      <c r="AW462" s="116"/>
      <c r="AX462" s="116"/>
      <c r="AY462" s="116"/>
      <c r="AZ462" s="116"/>
      <c r="BA462" s="274"/>
      <c r="BB462" s="30" t="s">
        <v>1112</v>
      </c>
      <c r="BC462" s="21" t="s">
        <v>127</v>
      </c>
      <c r="BD462" s="21" t="b">
        <v>1</v>
      </c>
      <c r="BE462" s="116">
        <f>H413</f>
        <v>0</v>
      </c>
      <c r="BF462" s="21" t="str">
        <f>""&amp;H413</f>
        <v/>
      </c>
      <c r="BG462" s="21" t="b">
        <v>1</v>
      </c>
      <c r="BH462" s="21" t="b">
        <v>0</v>
      </c>
      <c r="BJ462" s="274"/>
      <c r="BK462" s="21" t="str">
        <f ca="1">_xlfn.FORMULATEXT(BE462)</f>
        <v>=H413</v>
      </c>
      <c r="BL462" s="21" t="str">
        <f ca="1">_xlfn.FORMULATEXT(BE462)</f>
        <v>=H413</v>
      </c>
    </row>
    <row r="463" spans="1:64" ht="14.75" customHeight="1">
      <c r="A463" s="64" t="s">
        <v>673</v>
      </c>
      <c r="B463" s="173"/>
      <c r="C463" s="322" t="s">
        <v>1113</v>
      </c>
      <c r="D463" s="323"/>
      <c r="E463" s="323"/>
      <c r="F463" s="324"/>
      <c r="G463" s="408"/>
      <c r="H463" s="407"/>
      <c r="I463" s="409"/>
      <c r="J463" s="408" t="s">
        <v>450</v>
      </c>
      <c r="K463" s="407"/>
      <c r="L463" s="409"/>
      <c r="M463" s="414"/>
      <c r="N463" s="413"/>
      <c r="O463" s="415"/>
      <c r="P463" s="118"/>
      <c r="R463" s="116"/>
      <c r="S463" s="116"/>
      <c r="T463" s="116"/>
      <c r="U463" s="116"/>
      <c r="V463" s="116"/>
      <c r="W463" s="116"/>
      <c r="X463" s="116"/>
      <c r="Y463" s="116"/>
      <c r="Z463" s="116"/>
      <c r="AA463" s="116"/>
      <c r="AB463" s="116"/>
      <c r="AC463" s="116"/>
      <c r="AD463" s="22">
        <f>ROW()</f>
        <v>463</v>
      </c>
      <c r="AE463" s="22"/>
      <c r="AF463" s="325"/>
      <c r="AG463" s="325"/>
      <c r="AH463" s="22"/>
      <c r="AI463" s="22"/>
      <c r="AJ463" s="22"/>
      <c r="AK463" s="22"/>
      <c r="AL463" s="22"/>
      <c r="AM463" s="22"/>
      <c r="AN463" s="22"/>
      <c r="AO463" s="22"/>
      <c r="AP463" s="22"/>
      <c r="AQ463" s="116"/>
      <c r="AR463" s="116"/>
      <c r="AS463" s="116"/>
      <c r="AT463" s="116"/>
      <c r="AU463" s="116"/>
      <c r="AV463" s="116"/>
      <c r="AW463" s="116"/>
      <c r="AX463" s="116"/>
      <c r="AY463" s="116"/>
      <c r="AZ463" s="116"/>
      <c r="BA463" s="274"/>
      <c r="BB463" s="30" t="s">
        <v>1114</v>
      </c>
      <c r="BC463" s="21" t="s">
        <v>127</v>
      </c>
      <c r="BD463" s="21" t="b">
        <v>1</v>
      </c>
      <c r="BE463" s="116">
        <f>K413</f>
        <v>0</v>
      </c>
      <c r="BF463" s="21" t="str">
        <f>""&amp;K413</f>
        <v/>
      </c>
      <c r="BG463" s="21" t="b">
        <v>1</v>
      </c>
      <c r="BH463" s="21" t="b">
        <v>0</v>
      </c>
      <c r="BJ463" s="274"/>
      <c r="BK463" s="21" t="str">
        <f ca="1">_xlfn.FORMULATEXT(BE463)</f>
        <v>=K413</v>
      </c>
      <c r="BL463" s="21" t="str">
        <f ca="1">_xlfn.FORMULATEXT(BE463)</f>
        <v>=K413</v>
      </c>
    </row>
    <row r="464" spans="1:64" ht="14.5">
      <c r="A464" s="64" t="s">
        <v>673</v>
      </c>
      <c r="B464" s="173"/>
      <c r="C464" s="322" t="s">
        <v>1115</v>
      </c>
      <c r="D464" s="323"/>
      <c r="E464" s="323"/>
      <c r="F464" s="324"/>
      <c r="G464" s="408"/>
      <c r="H464" s="407"/>
      <c r="I464" s="409"/>
      <c r="J464" s="408" t="s">
        <v>450</v>
      </c>
      <c r="K464" s="407"/>
      <c r="L464" s="409"/>
      <c r="M464" s="414"/>
      <c r="N464" s="413"/>
      <c r="O464" s="415"/>
      <c r="P464" s="64"/>
      <c r="R464" s="116"/>
      <c r="S464" s="116"/>
      <c r="T464" s="116"/>
      <c r="U464" s="116"/>
      <c r="V464" s="116"/>
      <c r="W464" s="116"/>
      <c r="X464" s="116"/>
      <c r="Y464" s="116"/>
      <c r="Z464" s="116"/>
      <c r="AD464" s="22">
        <f>ROW()</f>
        <v>464</v>
      </c>
      <c r="AE464" s="22"/>
      <c r="AF464" s="325"/>
      <c r="AG464" s="325"/>
      <c r="AH464" s="22"/>
      <c r="AI464" s="22"/>
      <c r="AJ464" s="22"/>
      <c r="AK464" s="22"/>
      <c r="AL464" s="22"/>
      <c r="AM464" s="22"/>
      <c r="AN464" s="22"/>
      <c r="AO464" s="22"/>
      <c r="AP464" s="22"/>
      <c r="AQ464" s="116"/>
      <c r="AY464" s="116"/>
      <c r="AZ464" s="116"/>
      <c r="BA464" s="274"/>
      <c r="BB464" s="30" t="s">
        <v>1116</v>
      </c>
      <c r="BC464" s="21" t="s">
        <v>127</v>
      </c>
      <c r="BD464" s="21" t="b">
        <v>1</v>
      </c>
      <c r="BE464" s="21">
        <f>N413</f>
        <v>0</v>
      </c>
      <c r="BF464" s="21" t="str">
        <f>""&amp;N413</f>
        <v/>
      </c>
      <c r="BG464" s="21" t="b">
        <v>1</v>
      </c>
      <c r="BH464" s="21" t="b">
        <v>0</v>
      </c>
      <c r="BK464" s="21" t="str">
        <f ca="1">_xlfn.FORMULATEXT(BE464)</f>
        <v>=N413</v>
      </c>
      <c r="BL464" s="21" t="str">
        <f ca="1">_xlfn.FORMULATEXT(BE464)</f>
        <v>=N413</v>
      </c>
    </row>
    <row r="465" spans="1:64" ht="14.5">
      <c r="A465" s="64" t="s">
        <v>673</v>
      </c>
      <c r="B465" s="173"/>
      <c r="C465" s="322" t="s">
        <v>1117</v>
      </c>
      <c r="D465" s="323"/>
      <c r="E465" s="323"/>
      <c r="F465" s="324"/>
      <c r="G465" s="408"/>
      <c r="H465" s="407"/>
      <c r="I465" s="409"/>
      <c r="J465" s="408" t="s">
        <v>450</v>
      </c>
      <c r="K465" s="407"/>
      <c r="L465" s="409"/>
      <c r="M465" s="414"/>
      <c r="N465" s="413"/>
      <c r="O465" s="415"/>
      <c r="P465" s="64"/>
      <c r="AD465" s="22">
        <f>ROW()</f>
        <v>465</v>
      </c>
      <c r="AE465" s="22"/>
      <c r="AF465" s="325"/>
      <c r="AG465" s="325"/>
      <c r="AH465" s="22"/>
      <c r="AI465" s="22"/>
      <c r="AJ465" s="22"/>
      <c r="AK465" s="22"/>
      <c r="AL465" s="22"/>
      <c r="AM465" s="22"/>
      <c r="AN465" s="22"/>
      <c r="AO465" s="22"/>
      <c r="AP465" s="22"/>
      <c r="AQ465" s="116"/>
      <c r="BA465" s="274"/>
      <c r="BB465" s="30" t="s">
        <v>1118</v>
      </c>
      <c r="BC465" s="21" t="s">
        <v>127</v>
      </c>
      <c r="BD465" s="21" t="b">
        <v>0</v>
      </c>
      <c r="BE465" s="21">
        <f>B414</f>
        <v>0</v>
      </c>
      <c r="BF465" s="21" t="str">
        <f>""&amp;B414</f>
        <v/>
      </c>
      <c r="BG465" s="21" t="b">
        <v>1</v>
      </c>
      <c r="BH465" s="21" t="b">
        <v>0</v>
      </c>
      <c r="BK465" s="21" t="str">
        <f ca="1">_xlfn.FORMULATEXT(BE465)</f>
        <v>=B414</v>
      </c>
      <c r="BL465" s="21" t="str">
        <f ca="1">_xlfn.FORMULATEXT(BE465)</f>
        <v>=B414</v>
      </c>
    </row>
    <row r="466" spans="1:64" ht="14.5">
      <c r="A466" s="64" t="s">
        <v>673</v>
      </c>
      <c r="B466" s="173"/>
      <c r="C466" s="322" t="s">
        <v>1119</v>
      </c>
      <c r="D466" s="323"/>
      <c r="E466" s="323"/>
      <c r="F466" s="324"/>
      <c r="G466" s="408"/>
      <c r="H466" s="407"/>
      <c r="I466" s="409"/>
      <c r="J466" s="408" t="s">
        <v>450</v>
      </c>
      <c r="K466" s="407"/>
      <c r="L466" s="409"/>
      <c r="M466" s="414"/>
      <c r="N466" s="413"/>
      <c r="O466" s="415"/>
      <c r="P466" s="64"/>
      <c r="AD466" s="22">
        <f>ROW()</f>
        <v>466</v>
      </c>
      <c r="AE466" s="22"/>
      <c r="AF466" s="325"/>
      <c r="AG466" s="325"/>
      <c r="AH466" s="22"/>
      <c r="AI466" s="22"/>
      <c r="AJ466" s="22"/>
      <c r="AK466" s="22"/>
      <c r="AL466" s="22"/>
      <c r="AM466" s="22"/>
      <c r="AN466" s="22"/>
      <c r="AO466" s="22"/>
      <c r="AP466" s="22"/>
      <c r="BA466" s="274"/>
      <c r="BB466" s="21" t="s">
        <v>1120</v>
      </c>
      <c r="BC466" s="21" t="s">
        <v>123</v>
      </c>
      <c r="BD466" s="21" t="b">
        <v>0</v>
      </c>
      <c r="BE466" s="21" t="s">
        <v>1121</v>
      </c>
      <c r="BF466" s="21" t="s">
        <v>1121</v>
      </c>
      <c r="BG466" s="21" t="b">
        <v>0</v>
      </c>
      <c r="BH466" s="21" t="b">
        <v>0</v>
      </c>
      <c r="BK466" s="21" t="s">
        <v>125</v>
      </c>
      <c r="BL466" s="21" t="s">
        <v>125</v>
      </c>
    </row>
    <row r="467" spans="1:64" ht="14.5">
      <c r="A467" s="64" t="s">
        <v>673</v>
      </c>
      <c r="B467" s="173"/>
      <c r="C467" s="322" t="s">
        <v>1122</v>
      </c>
      <c r="D467" s="323"/>
      <c r="E467" s="323"/>
      <c r="F467" s="324"/>
      <c r="G467" s="408"/>
      <c r="H467" s="407"/>
      <c r="I467" s="409"/>
      <c r="J467" s="408" t="s">
        <v>450</v>
      </c>
      <c r="K467" s="407"/>
      <c r="L467" s="409"/>
      <c r="M467" s="414"/>
      <c r="N467" s="413"/>
      <c r="O467" s="415"/>
      <c r="P467" s="64"/>
      <c r="AA467" s="116"/>
      <c r="AD467" s="22">
        <f>ROW()</f>
        <v>467</v>
      </c>
      <c r="AE467" s="22"/>
      <c r="AF467" s="325"/>
      <c r="AG467" s="325"/>
      <c r="AH467" s="22"/>
      <c r="AI467" s="22"/>
      <c r="AJ467" s="22"/>
      <c r="AK467" s="22"/>
      <c r="AL467" s="22"/>
      <c r="AM467" s="22"/>
      <c r="AN467" s="22"/>
      <c r="AO467" s="22"/>
      <c r="AP467" s="22"/>
      <c r="BA467" s="274"/>
      <c r="BB467" s="21" t="s">
        <v>1123</v>
      </c>
      <c r="BC467" s="21" t="s">
        <v>127</v>
      </c>
      <c r="BD467" s="21" t="b">
        <v>1</v>
      </c>
      <c r="BE467" s="21">
        <f>H420</f>
        <v>0</v>
      </c>
      <c r="BF467" s="21" t="str">
        <f>""&amp;H420</f>
        <v/>
      </c>
      <c r="BG467" s="21" t="b">
        <v>1</v>
      </c>
      <c r="BH467" s="21" t="b">
        <v>0</v>
      </c>
      <c r="BK467" s="21" t="str">
        <f ca="1">_xlfn.FORMULATEXT(BE467)</f>
        <v>=H420</v>
      </c>
      <c r="BL467" s="21" t="str">
        <f ca="1">_xlfn.FORMULATEXT(BE467)</f>
        <v>=H420</v>
      </c>
    </row>
    <row r="468" spans="1:64" ht="14.5">
      <c r="A468" s="64" t="s">
        <v>673</v>
      </c>
      <c r="B468" s="173"/>
      <c r="C468" s="322" t="s">
        <v>1124</v>
      </c>
      <c r="D468" s="323"/>
      <c r="E468" s="323"/>
      <c r="F468" s="324"/>
      <c r="G468" s="408"/>
      <c r="H468" s="407"/>
      <c r="I468" s="409"/>
      <c r="J468" s="408" t="s">
        <v>450</v>
      </c>
      <c r="K468" s="407"/>
      <c r="L468" s="409"/>
      <c r="M468" s="414"/>
      <c r="N468" s="413"/>
      <c r="O468" s="415"/>
      <c r="P468" s="64"/>
      <c r="R468" s="116"/>
      <c r="AD468" s="22">
        <f>ROW()</f>
        <v>468</v>
      </c>
      <c r="AE468" s="22"/>
      <c r="AF468" s="22"/>
      <c r="AG468" s="22"/>
      <c r="AH468" s="22"/>
      <c r="AI468" s="22"/>
      <c r="AJ468" s="22"/>
      <c r="AK468" s="22"/>
      <c r="AL468" s="22"/>
      <c r="AM468" s="22"/>
      <c r="AN468" s="22"/>
      <c r="AO468" s="22"/>
      <c r="AP468" s="22"/>
      <c r="BA468" s="274"/>
      <c r="BB468" s="21" t="s">
        <v>1125</v>
      </c>
      <c r="BC468" s="21" t="s">
        <v>127</v>
      </c>
      <c r="BD468" s="21" t="b">
        <v>1</v>
      </c>
      <c r="BE468" s="21">
        <f>J420</f>
        <v>0</v>
      </c>
      <c r="BF468" s="21" t="str">
        <f>""&amp;J420</f>
        <v/>
      </c>
      <c r="BG468" s="21" t="b">
        <v>1</v>
      </c>
      <c r="BH468" s="21" t="b">
        <v>0</v>
      </c>
      <c r="BK468" s="21" t="str">
        <f ca="1">_xlfn.FORMULATEXT(BE468)</f>
        <v>=J420</v>
      </c>
      <c r="BL468" s="21" t="str">
        <f ca="1">_xlfn.FORMULATEXT(BE468)</f>
        <v>=J420</v>
      </c>
    </row>
    <row r="469" spans="1:64" ht="14.5">
      <c r="A469" s="64" t="s">
        <v>673</v>
      </c>
      <c r="B469" s="173"/>
      <c r="C469" s="322" t="s">
        <v>1126</v>
      </c>
      <c r="D469" s="323"/>
      <c r="E469" s="323"/>
      <c r="F469" s="324"/>
      <c r="G469" s="408"/>
      <c r="H469" s="407"/>
      <c r="I469" s="409"/>
      <c r="J469" s="408" t="s">
        <v>450</v>
      </c>
      <c r="K469" s="407"/>
      <c r="L469" s="409"/>
      <c r="M469" s="414"/>
      <c r="N469" s="413"/>
      <c r="O469" s="415"/>
      <c r="P469" s="64"/>
      <c r="AD469" s="22">
        <f>ROW()</f>
        <v>469</v>
      </c>
      <c r="AE469" s="22"/>
      <c r="AF469" s="22"/>
      <c r="AG469" s="22"/>
      <c r="AH469" s="22"/>
      <c r="AI469" s="22"/>
      <c r="AJ469" s="22"/>
      <c r="AK469" s="22"/>
      <c r="AL469" s="22"/>
      <c r="AM469" s="22"/>
      <c r="AN469" s="22"/>
      <c r="AO469" s="22"/>
      <c r="AP469" s="22"/>
      <c r="BA469" s="274"/>
      <c r="BB469" s="21" t="s">
        <v>1127</v>
      </c>
      <c r="BC469" s="21" t="s">
        <v>127</v>
      </c>
      <c r="BD469" s="21" t="b">
        <v>1</v>
      </c>
      <c r="BE469" s="21">
        <f>M420</f>
        <v>0</v>
      </c>
      <c r="BF469" s="21" t="str">
        <f>""&amp;M420</f>
        <v/>
      </c>
      <c r="BG469" s="21" t="b">
        <v>1</v>
      </c>
      <c r="BH469" s="21" t="b">
        <v>0</v>
      </c>
      <c r="BK469" s="21" t="str">
        <f ca="1">_xlfn.FORMULATEXT(BE469)</f>
        <v>=M420</v>
      </c>
      <c r="BL469" s="21" t="str">
        <f ca="1">_xlfn.FORMULATEXT(BE469)</f>
        <v>=M420</v>
      </c>
    </row>
    <row r="470" spans="1:64" ht="14.5">
      <c r="A470" s="64" t="s">
        <v>673</v>
      </c>
      <c r="B470" s="173"/>
      <c r="C470" s="322" t="s">
        <v>1128</v>
      </c>
      <c r="D470" s="323"/>
      <c r="E470" s="323"/>
      <c r="F470" s="324"/>
      <c r="G470" s="408"/>
      <c r="H470" s="407"/>
      <c r="I470" s="409"/>
      <c r="J470" s="408" t="s">
        <v>678</v>
      </c>
      <c r="K470" s="407"/>
      <c r="L470" s="409"/>
      <c r="M470" s="414"/>
      <c r="N470" s="413"/>
      <c r="O470" s="415"/>
      <c r="P470" s="64"/>
      <c r="AD470" s="22">
        <f>ROW()</f>
        <v>470</v>
      </c>
      <c r="AE470" s="22"/>
      <c r="AF470" s="22"/>
      <c r="AG470" s="22"/>
      <c r="AH470" s="22"/>
      <c r="AI470" s="22"/>
      <c r="AJ470" s="22"/>
      <c r="AK470" s="22"/>
      <c r="AL470" s="22"/>
      <c r="AM470" s="22"/>
      <c r="AN470" s="22"/>
      <c r="AO470" s="22"/>
      <c r="AP470" s="22"/>
      <c r="BA470" s="274"/>
      <c r="BB470" s="21" t="s">
        <v>1129</v>
      </c>
      <c r="BC470" s="21" t="s">
        <v>127</v>
      </c>
      <c r="BD470" s="21" t="b">
        <v>1</v>
      </c>
      <c r="BE470" s="21">
        <f>H421</f>
        <v>0</v>
      </c>
      <c r="BF470" s="21" t="str">
        <f>""&amp;H421</f>
        <v/>
      </c>
      <c r="BG470" s="21" t="b">
        <v>1</v>
      </c>
      <c r="BH470" s="21" t="b">
        <v>0</v>
      </c>
      <c r="BK470" s="21" t="str">
        <f ca="1">_xlfn.FORMULATEXT(BE470)</f>
        <v>=H421</v>
      </c>
      <c r="BL470" s="21" t="str">
        <f ca="1">_xlfn.FORMULATEXT(BE470)</f>
        <v>=H421</v>
      </c>
    </row>
    <row r="471" spans="1:64" ht="14.5">
      <c r="A471" s="64" t="s">
        <v>673</v>
      </c>
      <c r="B471" s="173"/>
      <c r="C471" s="322" t="s">
        <v>1130</v>
      </c>
      <c r="D471" s="323"/>
      <c r="E471" s="323"/>
      <c r="F471" s="324"/>
      <c r="G471" s="408"/>
      <c r="H471" s="407"/>
      <c r="I471" s="409"/>
      <c r="J471" s="408" t="s">
        <v>450</v>
      </c>
      <c r="K471" s="407"/>
      <c r="L471" s="409"/>
      <c r="M471" s="414"/>
      <c r="N471" s="413"/>
      <c r="O471" s="415"/>
      <c r="P471" s="64"/>
      <c r="AD471" s="22">
        <f>ROW()</f>
        <v>471</v>
      </c>
      <c r="AE471" s="22"/>
      <c r="AF471" s="22"/>
      <c r="AG471" s="22"/>
      <c r="AH471" s="22"/>
      <c r="AI471" s="22"/>
      <c r="AJ471" s="22"/>
      <c r="AK471" s="22"/>
      <c r="AL471" s="22"/>
      <c r="AM471" s="22"/>
      <c r="AN471" s="22"/>
      <c r="AO471" s="22"/>
      <c r="AP471" s="22"/>
      <c r="BA471" s="274"/>
      <c r="BB471" s="21" t="s">
        <v>1131</v>
      </c>
      <c r="BC471" s="21" t="s">
        <v>127</v>
      </c>
      <c r="BD471" s="21" t="b">
        <v>1</v>
      </c>
      <c r="BE471" s="21">
        <f>J421</f>
        <v>0</v>
      </c>
      <c r="BF471" s="21" t="str">
        <f>""&amp;J421</f>
        <v/>
      </c>
      <c r="BG471" s="21" t="b">
        <v>1</v>
      </c>
      <c r="BH471" s="21" t="b">
        <v>0</v>
      </c>
      <c r="BK471" s="21" t="str">
        <f ca="1">_xlfn.FORMULATEXT(BE471)</f>
        <v>=J421</v>
      </c>
      <c r="BL471" s="21" t="str">
        <f ca="1">_xlfn.FORMULATEXT(BE471)</f>
        <v>=J421</v>
      </c>
    </row>
    <row r="472" spans="1:64" ht="14.5">
      <c r="A472" s="64" t="s">
        <v>673</v>
      </c>
      <c r="B472" s="173"/>
      <c r="C472" s="322" t="s">
        <v>1132</v>
      </c>
      <c r="D472" s="323"/>
      <c r="E472" s="323"/>
      <c r="F472" s="324"/>
      <c r="G472" s="408"/>
      <c r="H472" s="407"/>
      <c r="I472" s="409"/>
      <c r="J472" s="408" t="s">
        <v>450</v>
      </c>
      <c r="K472" s="407"/>
      <c r="L472" s="409"/>
      <c r="M472" s="414"/>
      <c r="N472" s="413"/>
      <c r="O472" s="415"/>
      <c r="P472" s="64"/>
      <c r="AD472" s="22">
        <f>ROW()</f>
        <v>472</v>
      </c>
      <c r="AE472" s="22"/>
      <c r="AF472" s="22"/>
      <c r="AG472" s="22"/>
      <c r="AH472" s="22"/>
      <c r="AI472" s="22"/>
      <c r="AJ472" s="22"/>
      <c r="AK472" s="22"/>
      <c r="AL472" s="22"/>
      <c r="AM472" s="22"/>
      <c r="AN472" s="22"/>
      <c r="AO472" s="22"/>
      <c r="AP472" s="22"/>
      <c r="BB472" s="21" t="s">
        <v>1133</v>
      </c>
      <c r="BC472" s="21" t="s">
        <v>127</v>
      </c>
      <c r="BD472" s="21" t="b">
        <v>1</v>
      </c>
      <c r="BE472" s="21">
        <f>M421</f>
        <v>0</v>
      </c>
      <c r="BF472" s="21" t="str">
        <f>""&amp;M421</f>
        <v/>
      </c>
      <c r="BG472" s="21" t="b">
        <v>1</v>
      </c>
      <c r="BH472" s="21" t="b">
        <v>0</v>
      </c>
      <c r="BK472" s="21" t="str">
        <f ca="1">_xlfn.FORMULATEXT(BE472)</f>
        <v>=M421</v>
      </c>
      <c r="BL472" s="21" t="str">
        <f ca="1">_xlfn.FORMULATEXT(BE472)</f>
        <v>=M421</v>
      </c>
    </row>
    <row r="473" spans="1:64" ht="14.75" customHeight="1">
      <c r="A473" s="64" t="s">
        <v>673</v>
      </c>
      <c r="B473" s="173"/>
      <c r="C473" s="322" t="s">
        <v>1134</v>
      </c>
      <c r="D473" s="323"/>
      <c r="E473" s="323"/>
      <c r="F473" s="324"/>
      <c r="G473" s="408"/>
      <c r="H473" s="407"/>
      <c r="I473" s="409"/>
      <c r="J473" s="408" t="s">
        <v>1135</v>
      </c>
      <c r="K473" s="407"/>
      <c r="L473" s="409"/>
      <c r="M473" s="414"/>
      <c r="N473" s="413"/>
      <c r="O473" s="415"/>
      <c r="P473" s="64"/>
      <c r="AD473" s="22">
        <f>ROW()</f>
        <v>473</v>
      </c>
      <c r="AE473" s="22"/>
      <c r="AF473" s="22"/>
      <c r="AG473" s="22"/>
      <c r="AH473" s="22"/>
      <c r="AI473" s="22"/>
      <c r="AJ473" s="22"/>
      <c r="AK473" s="22"/>
      <c r="AL473" s="22"/>
      <c r="AM473" s="22"/>
      <c r="AN473" s="22"/>
      <c r="AO473" s="22"/>
      <c r="AP473" s="22"/>
      <c r="BB473" s="21" t="s">
        <v>1136</v>
      </c>
      <c r="BC473" s="21" t="s">
        <v>127</v>
      </c>
      <c r="BD473" s="21" t="b">
        <v>1</v>
      </c>
      <c r="BE473" s="21">
        <f>H422</f>
        <v>0</v>
      </c>
      <c r="BF473" s="21" t="str">
        <f>""&amp;H422</f>
        <v/>
      </c>
      <c r="BG473" s="21" t="b">
        <v>1</v>
      </c>
      <c r="BH473" s="21" t="b">
        <v>0</v>
      </c>
      <c r="BK473" s="21" t="str">
        <f ca="1">_xlfn.FORMULATEXT(BE473)</f>
        <v>=H422</v>
      </c>
      <c r="BL473" s="21" t="str">
        <f ca="1">_xlfn.FORMULATEXT(BE473)</f>
        <v>=H422</v>
      </c>
    </row>
    <row r="474" spans="1:64" ht="14.5">
      <c r="A474" s="64" t="s">
        <v>673</v>
      </c>
      <c r="B474" s="173"/>
      <c r="C474" s="322" t="s">
        <v>1137</v>
      </c>
      <c r="D474" s="323"/>
      <c r="E474" s="323"/>
      <c r="F474" s="324"/>
      <c r="G474" s="408"/>
      <c r="H474" s="407"/>
      <c r="I474" s="409"/>
      <c r="J474" s="408" t="s">
        <v>450</v>
      </c>
      <c r="K474" s="407"/>
      <c r="L474" s="409"/>
      <c r="M474" s="414"/>
      <c r="N474" s="413"/>
      <c r="O474" s="415"/>
      <c r="P474" s="64"/>
      <c r="AD474" s="22">
        <f>ROW()</f>
        <v>474</v>
      </c>
      <c r="AE474" s="22"/>
      <c r="AF474" s="22"/>
      <c r="AG474" s="22"/>
      <c r="AH474" s="22"/>
      <c r="AI474" s="22"/>
      <c r="AJ474" s="22"/>
      <c r="AK474" s="22"/>
      <c r="AL474" s="22"/>
      <c r="AM474" s="22"/>
      <c r="AN474" s="22"/>
      <c r="AO474" s="22"/>
      <c r="AP474" s="22"/>
      <c r="BB474" s="21" t="s">
        <v>1138</v>
      </c>
      <c r="BC474" s="21" t="s">
        <v>127</v>
      </c>
      <c r="BD474" s="21" t="b">
        <v>1</v>
      </c>
      <c r="BE474" s="21">
        <f>J422</f>
        <v>0</v>
      </c>
      <c r="BF474" s="21" t="str">
        <f>""&amp;J422</f>
        <v/>
      </c>
      <c r="BG474" s="21" t="b">
        <v>1</v>
      </c>
      <c r="BH474" s="21" t="b">
        <v>0</v>
      </c>
      <c r="BK474" s="21" t="str">
        <f ca="1">_xlfn.FORMULATEXT(BE474)</f>
        <v>=J422</v>
      </c>
      <c r="BL474" s="21" t="str">
        <f ca="1">_xlfn.FORMULATEXT(BE474)</f>
        <v>=J422</v>
      </c>
    </row>
    <row r="475" spans="1:64" ht="14.5">
      <c r="A475" s="64" t="s">
        <v>673</v>
      </c>
      <c r="B475" s="173"/>
      <c r="C475" s="322" t="s">
        <v>1139</v>
      </c>
      <c r="D475" s="323"/>
      <c r="E475" s="323"/>
      <c r="F475" s="324"/>
      <c r="G475" s="408"/>
      <c r="H475" s="407"/>
      <c r="I475" s="409"/>
      <c r="J475" s="408" t="s">
        <v>1140</v>
      </c>
      <c r="K475" s="407"/>
      <c r="L475" s="409"/>
      <c r="M475" s="414"/>
      <c r="N475" s="413"/>
      <c r="O475" s="415"/>
      <c r="P475" s="64"/>
      <c r="AD475" s="22">
        <f>ROW()</f>
        <v>475</v>
      </c>
      <c r="AE475" s="22"/>
      <c r="AF475" s="22"/>
      <c r="AG475" s="22"/>
      <c r="AH475" s="22"/>
      <c r="AI475" s="22"/>
      <c r="AJ475" s="22"/>
      <c r="AK475" s="22"/>
      <c r="AL475" s="22"/>
      <c r="AM475" s="22"/>
      <c r="AN475" s="22"/>
      <c r="AO475" s="22"/>
      <c r="AP475" s="22"/>
      <c r="BB475" s="21" t="s">
        <v>1141</v>
      </c>
      <c r="BC475" s="21" t="s">
        <v>127</v>
      </c>
      <c r="BD475" s="21" t="b">
        <v>1</v>
      </c>
      <c r="BE475" s="21">
        <f>M422</f>
        <v>0</v>
      </c>
      <c r="BF475" s="21" t="str">
        <f>""&amp;M422</f>
        <v/>
      </c>
      <c r="BG475" s="21" t="b">
        <v>1</v>
      </c>
      <c r="BH475" s="21" t="b">
        <v>0</v>
      </c>
      <c r="BK475" s="21" t="str">
        <f ca="1">_xlfn.FORMULATEXT(BE475)</f>
        <v>=M422</v>
      </c>
      <c r="BL475" s="21" t="str">
        <f ca="1">_xlfn.FORMULATEXT(BE475)</f>
        <v>=M422</v>
      </c>
    </row>
    <row r="476" spans="1:64" ht="14.5">
      <c r="A476" s="64" t="s">
        <v>673</v>
      </c>
      <c r="B476" s="173"/>
      <c r="C476" s="326" t="s">
        <v>1142</v>
      </c>
      <c r="D476" s="327"/>
      <c r="E476" s="327"/>
      <c r="F476" s="328"/>
      <c r="G476" s="623" t="str" cm="1">
        <f t="array" ref="G476">TEXT(SUM(_xlfn.NUMBERVALUE(G463:I475)),"0.00")</f>
        <v>0.00</v>
      </c>
      <c r="H476" s="622"/>
      <c r="I476" s="624"/>
      <c r="J476" s="623" t="str" cm="1">
        <f t="array" ref="J476">TEXT(SUM(_xlfn.NUMBERVALUE(J463:L475)),"0.00")</f>
        <v>28250.00</v>
      </c>
      <c r="K476" s="622"/>
      <c r="L476" s="624"/>
      <c r="M476" s="414"/>
      <c r="N476" s="413"/>
      <c r="O476" s="415"/>
      <c r="P476" s="64"/>
      <c r="AD476" s="22">
        <f>ROW()</f>
        <v>476</v>
      </c>
      <c r="AE476" s="22"/>
      <c r="AF476" s="22"/>
      <c r="AG476" s="22"/>
      <c r="AH476" s="22"/>
      <c r="AI476" s="22"/>
      <c r="AJ476" s="22"/>
      <c r="AK476" s="22"/>
      <c r="AL476" s="22"/>
      <c r="AM476" s="22"/>
      <c r="AN476" s="22"/>
      <c r="AO476" s="22"/>
      <c r="AP476" s="22"/>
      <c r="BB476" s="21" t="s">
        <v>1143</v>
      </c>
      <c r="BC476" s="21" t="s">
        <v>127</v>
      </c>
      <c r="BD476" s="21" t="b">
        <v>1</v>
      </c>
      <c r="BE476" s="21">
        <f>H423</f>
        <v>0</v>
      </c>
      <c r="BF476" s="21" t="str">
        <f>""&amp;H423</f>
        <v/>
      </c>
      <c r="BG476" s="21" t="b">
        <v>1</v>
      </c>
      <c r="BH476" s="21" t="b">
        <v>0</v>
      </c>
      <c r="BK476" s="21" t="str">
        <f ca="1">_xlfn.FORMULATEXT(BE476)</f>
        <v>=H423</v>
      </c>
      <c r="BL476" s="21" t="str">
        <f ca="1">_xlfn.FORMULATEXT(BE476)</f>
        <v>=H423</v>
      </c>
    </row>
    <row r="477" spans="1:64" ht="29" customHeight="1">
      <c r="A477" s="64" t="s">
        <v>673</v>
      </c>
      <c r="B477" s="266" t="s">
        <v>1144</v>
      </c>
      <c r="C477" s="326" t="s">
        <v>1145</v>
      </c>
      <c r="D477" s="327"/>
      <c r="E477" s="327"/>
      <c r="F477" s="328"/>
      <c r="G477" s="623" t="str">
        <f>TEXT(G461-G476,"0.00")</f>
        <v>0.00</v>
      </c>
      <c r="H477" s="622"/>
      <c r="I477" s="624"/>
      <c r="J477" s="623" t="str">
        <f>TEXT(J461-J476,"0.00")</f>
        <v>-28250.00</v>
      </c>
      <c r="K477" s="622"/>
      <c r="L477" s="624"/>
      <c r="M477" s="414"/>
      <c r="N477" s="413"/>
      <c r="O477" s="415"/>
      <c r="P477" s="64"/>
      <c r="Q477" s="261"/>
      <c r="AD477" s="22">
        <f>ROW()</f>
        <v>477</v>
      </c>
      <c r="AE477" s="22"/>
      <c r="AF477" s="22"/>
      <c r="AG477" s="22"/>
      <c r="AH477" s="22"/>
      <c r="AI477" s="22"/>
      <c r="AJ477" s="22"/>
      <c r="AK477" s="22"/>
      <c r="AL477" s="22"/>
      <c r="AM477" s="22"/>
      <c r="AN477" s="22"/>
      <c r="AO477" s="22"/>
      <c r="AP477" s="22"/>
      <c r="BB477" s="21" t="s">
        <v>1146</v>
      </c>
      <c r="BC477" s="21" t="s">
        <v>127</v>
      </c>
      <c r="BD477" s="21" t="b">
        <v>1</v>
      </c>
      <c r="BE477" s="21">
        <f>J423</f>
        <v>0</v>
      </c>
      <c r="BF477" s="21" t="str">
        <f>""&amp;J423</f>
        <v/>
      </c>
      <c r="BG477" s="21" t="b">
        <v>1</v>
      </c>
      <c r="BH477" s="21" t="b">
        <v>0</v>
      </c>
      <c r="BK477" s="21" t="str">
        <f ca="1">_xlfn.FORMULATEXT(BE477)</f>
        <v>=J423</v>
      </c>
      <c r="BL477" s="21" t="str">
        <f ca="1">_xlfn.FORMULATEXT(BE477)</f>
        <v>=J423</v>
      </c>
    </row>
    <row r="478" spans="1:64" ht="14.5">
      <c r="A478" s="64" t="s">
        <v>673</v>
      </c>
      <c r="B478" s="266" t="s">
        <v>1147</v>
      </c>
      <c r="C478" s="322" t="s">
        <v>1148</v>
      </c>
      <c r="D478" s="323"/>
      <c r="E478" s="323"/>
      <c r="F478" s="324"/>
      <c r="G478" s="408"/>
      <c r="H478" s="407"/>
      <c r="I478" s="409"/>
      <c r="J478" s="408" t="s">
        <v>450</v>
      </c>
      <c r="K478" s="407"/>
      <c r="L478" s="409"/>
      <c r="M478" s="414"/>
      <c r="N478" s="413"/>
      <c r="O478" s="415"/>
      <c r="P478" s="64"/>
      <c r="AD478" s="22">
        <f>ROW()</f>
        <v>478</v>
      </c>
      <c r="AE478" s="22"/>
      <c r="AF478" s="22"/>
      <c r="AG478" s="22"/>
      <c r="AH478" s="22"/>
      <c r="AI478" s="22"/>
      <c r="AJ478" s="22"/>
      <c r="AK478" s="22"/>
      <c r="AL478" s="22"/>
      <c r="AM478" s="22"/>
      <c r="AN478" s="22"/>
      <c r="AO478" s="22"/>
      <c r="AP478" s="22"/>
      <c r="BB478" s="21" t="s">
        <v>1149</v>
      </c>
      <c r="BC478" s="21" t="s">
        <v>127</v>
      </c>
      <c r="BD478" s="21" t="b">
        <v>1</v>
      </c>
      <c r="BE478" s="21">
        <f>M423</f>
        <v>0</v>
      </c>
      <c r="BF478" s="21" t="str">
        <f>""&amp;M423</f>
        <v/>
      </c>
      <c r="BG478" s="21" t="b">
        <v>1</v>
      </c>
      <c r="BH478" s="21" t="b">
        <v>0</v>
      </c>
      <c r="BK478" s="21" t="str">
        <f ca="1">_xlfn.FORMULATEXT(BE478)</f>
        <v>=M423</v>
      </c>
      <c r="BL478" s="21" t="str">
        <f ca="1">_xlfn.FORMULATEXT(BE478)</f>
        <v>=M423</v>
      </c>
    </row>
    <row r="479" spans="1:64" ht="14.4" customHeight="1">
      <c r="A479" s="64" t="s">
        <v>673</v>
      </c>
      <c r="B479" s="266" t="s">
        <v>1150</v>
      </c>
      <c r="C479" s="326" t="s">
        <v>1151</v>
      </c>
      <c r="D479" s="327"/>
      <c r="E479" s="327"/>
      <c r="F479" s="328"/>
      <c r="G479" s="623" t="str">
        <f>TEXT(G477-_xlfn.NUMBERVALUE(G478),"0.00")</f>
        <v>0.00</v>
      </c>
      <c r="H479" s="622"/>
      <c r="I479" s="624"/>
      <c r="J479" s="623" t="str">
        <f>TEXT(J477-_xlfn.NUMBERVALUE(J478),"0.00")</f>
        <v>-28250.00</v>
      </c>
      <c r="K479" s="622"/>
      <c r="L479" s="624"/>
      <c r="M479" s="414"/>
      <c r="N479" s="413"/>
      <c r="O479" s="415"/>
      <c r="P479" s="64"/>
      <c r="AD479" s="22">
        <f>ROW()</f>
        <v>479</v>
      </c>
      <c r="AE479" s="22"/>
      <c r="AF479" s="22"/>
      <c r="AG479" s="22"/>
      <c r="AH479" s="22"/>
      <c r="AI479" s="22"/>
      <c r="AJ479" s="22"/>
      <c r="AK479" s="22"/>
      <c r="AL479" s="22"/>
      <c r="AM479" s="22"/>
      <c r="AN479" s="22"/>
      <c r="AO479" s="22"/>
      <c r="AP479" s="22"/>
      <c r="BB479" s="21" t="s">
        <v>1152</v>
      </c>
      <c r="BC479" s="21" t="s">
        <v>127</v>
      </c>
      <c r="BD479" s="21" t="b">
        <v>1</v>
      </c>
      <c r="BE479" s="21">
        <f>H424</f>
        <v>0</v>
      </c>
      <c r="BF479" s="21" t="str">
        <f>""&amp;H424</f>
        <v/>
      </c>
      <c r="BG479" s="21" t="b">
        <v>1</v>
      </c>
      <c r="BH479" s="21" t="b">
        <v>0</v>
      </c>
      <c r="BK479" s="21" t="str">
        <f ca="1">_xlfn.FORMULATEXT(BE479)</f>
        <v>=H424</v>
      </c>
      <c r="BL479" s="21" t="str">
        <f ca="1">_xlfn.FORMULATEXT(BE479)</f>
        <v>=H424</v>
      </c>
    </row>
    <row r="480" spans="1:83" s="261" customFormat="1" ht="14.5">
      <c r="A480" s="64" t="s">
        <v>673</v>
      </c>
      <c r="B480" s="266" t="s">
        <v>1153</v>
      </c>
      <c r="C480" s="322" t="s">
        <v>1154</v>
      </c>
      <c r="D480" s="323"/>
      <c r="E480" s="323"/>
      <c r="F480" s="324"/>
      <c r="G480" s="408"/>
      <c r="H480" s="407"/>
      <c r="I480" s="409"/>
      <c r="J480" s="408" t="s">
        <v>450</v>
      </c>
      <c r="K480" s="407"/>
      <c r="L480" s="409"/>
      <c r="M480" s="414"/>
      <c r="N480" s="413"/>
      <c r="O480" s="415"/>
      <c r="P480" s="64"/>
      <c r="Q480" s="21"/>
      <c r="R480" s="21"/>
      <c r="S480" s="21"/>
      <c r="T480" s="21"/>
      <c r="U480" s="21"/>
      <c r="V480" s="21"/>
      <c r="W480" s="21"/>
      <c r="X480" s="21"/>
      <c r="Y480" s="21"/>
      <c r="Z480" s="21"/>
      <c r="AA480" s="21"/>
      <c r="AB480" s="21"/>
      <c r="AC480" s="21"/>
      <c r="AD480" s="22">
        <f>ROW()</f>
        <v>480</v>
      </c>
      <c r="AE480" s="22"/>
      <c r="AF480" s="22"/>
      <c r="AG480" s="22"/>
      <c r="AH480" s="22"/>
      <c r="AI480" s="22"/>
      <c r="AJ480" s="22"/>
      <c r="AK480" s="22"/>
      <c r="AL480" s="22"/>
      <c r="AM480" s="22"/>
      <c r="AN480" s="22"/>
      <c r="AO480" s="22"/>
      <c r="AP480" s="22"/>
      <c r="AQ480" s="21"/>
      <c r="AR480" s="21"/>
      <c r="AS480" s="21"/>
      <c r="AT480" s="21"/>
      <c r="AU480" s="21"/>
      <c r="AV480" s="21"/>
      <c r="AW480" s="21"/>
      <c r="AX480" s="21"/>
      <c r="AY480" s="21"/>
      <c r="AZ480" s="21"/>
      <c r="BA480" s="21"/>
      <c r="BB480" s="21" t="s">
        <v>1155</v>
      </c>
      <c r="BC480" s="21" t="s">
        <v>127</v>
      </c>
      <c r="BD480" s="21" t="b">
        <v>1</v>
      </c>
      <c r="BE480" s="21">
        <f>J424</f>
        <v>0</v>
      </c>
      <c r="BF480" s="21" t="str">
        <f>""&amp;J424</f>
        <v/>
      </c>
      <c r="BG480" s="21" t="b">
        <v>1</v>
      </c>
      <c r="BH480" s="21" t="b">
        <v>0</v>
      </c>
      <c r="BI480" s="21"/>
      <c r="BJ480" s="21"/>
      <c r="BK480" s="21" t="str">
        <f ca="1">_xlfn.FORMULATEXT(BE480)</f>
        <v>=J424</v>
      </c>
      <c r="BL480" s="21" t="str">
        <f ca="1">_xlfn.FORMULATEXT(BE480)</f>
        <v>=J424</v>
      </c>
      <c r="BM480" s="21"/>
      <c r="BN480" s="21"/>
      <c r="BO480" s="21"/>
      <c r="BP480" s="21"/>
      <c r="BQ480" s="21"/>
      <c r="BR480" s="21"/>
      <c r="BS480" s="21"/>
      <c r="BT480" s="21"/>
      <c r="BU480" s="21"/>
      <c r="BV480" s="21"/>
      <c r="BW480" s="21"/>
      <c r="BX480" s="21"/>
      <c r="CE480" s="21"/>
    </row>
    <row r="481" spans="1:83" ht="14.5">
      <c r="A481" s="64" t="s">
        <v>673</v>
      </c>
      <c r="B481" s="266" t="s">
        <v>1156</v>
      </c>
      <c r="C481" s="322" t="s">
        <v>1157</v>
      </c>
      <c r="D481" s="323"/>
      <c r="E481" s="323"/>
      <c r="F481" s="324"/>
      <c r="G481" s="623" t="str">
        <f>TEXT(G479-_xlfn.NUMBERVALUE(G480),"0.00")</f>
        <v>0.00</v>
      </c>
      <c r="H481" s="622"/>
      <c r="I481" s="624"/>
      <c r="J481" s="623" t="str">
        <f>TEXT(J479-_xlfn.NUMBERVALUE(J480),"0.00")</f>
        <v>-28250.00</v>
      </c>
      <c r="K481" s="622"/>
      <c r="L481" s="624"/>
      <c r="M481" s="414"/>
      <c r="N481" s="413"/>
      <c r="O481" s="415"/>
      <c r="P481" s="64"/>
      <c r="AD481" s="22">
        <f>ROW()</f>
        <v>481</v>
      </c>
      <c r="AE481" s="22"/>
      <c r="AF481" s="22"/>
      <c r="AG481" s="22"/>
      <c r="AH481" s="22"/>
      <c r="AI481" s="22"/>
      <c r="AJ481" s="22"/>
      <c r="AK481" s="22"/>
      <c r="AL481" s="22"/>
      <c r="AM481" s="22"/>
      <c r="AN481" s="22"/>
      <c r="AO481" s="22"/>
      <c r="AP481" s="22"/>
      <c r="BB481" s="21" t="s">
        <v>1158</v>
      </c>
      <c r="BC481" s="21" t="s">
        <v>127</v>
      </c>
      <c r="BD481" s="21" t="b">
        <v>1</v>
      </c>
      <c r="BE481" s="21">
        <f>M424</f>
        <v>0</v>
      </c>
      <c r="BF481" s="21" t="str">
        <f>""&amp;M424</f>
        <v/>
      </c>
      <c r="BG481" s="21" t="b">
        <v>1</v>
      </c>
      <c r="BH481" s="21" t="b">
        <v>0</v>
      </c>
      <c r="BK481" s="21" t="str">
        <f ca="1">_xlfn.FORMULATEXT(BE481)</f>
        <v>=M424</v>
      </c>
      <c r="BL481" s="21" t="str">
        <f ca="1">_xlfn.FORMULATEXT(BE481)</f>
        <v>=M424</v>
      </c>
      <c r="BS481" s="261"/>
      <c r="BT481" s="261"/>
      <c r="BU481" s="261"/>
      <c r="BV481" s="261"/>
      <c r="BW481" s="261"/>
      <c r="BX481" s="261"/>
      <c r="CE481" s="261"/>
    </row>
    <row r="482" spans="1:64" ht="14.5">
      <c r="A482" s="64" t="s">
        <v>673</v>
      </c>
      <c r="B482" s="266" t="s">
        <v>1159</v>
      </c>
      <c r="C482" s="319" t="s">
        <v>1160</v>
      </c>
      <c r="D482" s="320"/>
      <c r="E482" s="320"/>
      <c r="F482" s="320"/>
      <c r="G482" s="440"/>
      <c r="H482" s="440"/>
      <c r="I482" s="440"/>
      <c r="J482" s="440"/>
      <c r="K482" s="440"/>
      <c r="L482" s="440"/>
      <c r="M482" s="440"/>
      <c r="N482" s="440"/>
      <c r="O482" s="441"/>
      <c r="P482" s="64"/>
      <c r="AD482" s="22">
        <f>ROW()</f>
        <v>482</v>
      </c>
      <c r="AE482" s="22"/>
      <c r="AF482" s="22"/>
      <c r="AG482" s="22"/>
      <c r="AH482" s="22"/>
      <c r="AI482" s="22"/>
      <c r="AJ482" s="22"/>
      <c r="AK482" s="22"/>
      <c r="AL482" s="22"/>
      <c r="AM482" s="22"/>
      <c r="AN482" s="22"/>
      <c r="AO482" s="22"/>
      <c r="AP482" s="22"/>
      <c r="BB482" s="21" t="s">
        <v>1161</v>
      </c>
      <c r="BC482" s="21" t="s">
        <v>268</v>
      </c>
      <c r="BD482" s="21" t="b">
        <v>0</v>
      </c>
      <c r="BE482" s="21" t="str">
        <f>IF(AA427=1,"Y","N")</f>
        <v>N</v>
      </c>
      <c r="BF482" s="21" t="str">
        <f>BE482</f>
        <v>N</v>
      </c>
      <c r="BG482" s="21" t="b">
        <v>1</v>
      </c>
      <c r="BH482" s="21" t="b">
        <v>0</v>
      </c>
      <c r="BJ482" s="21">
        <f>AA427</f>
        <v>2</v>
      </c>
      <c r="BK482" s="21" t="str">
        <f ca="1">_xlfn.FORMULATEXT(BJ482)</f>
        <v>=AA427</v>
      </c>
      <c r="BL482" s="21" t="s">
        <v>1050</v>
      </c>
    </row>
    <row r="483" spans="1:64" ht="14.5">
      <c r="A483" s="64" t="s">
        <v>673</v>
      </c>
      <c r="B483" s="173"/>
      <c r="C483" s="322" t="s">
        <v>1162</v>
      </c>
      <c r="D483" s="323"/>
      <c r="E483" s="323"/>
      <c r="F483" s="324"/>
      <c r="G483" s="408"/>
      <c r="H483" s="407"/>
      <c r="I483" s="409"/>
      <c r="J483" s="408" t="s">
        <v>450</v>
      </c>
      <c r="K483" s="407"/>
      <c r="L483" s="409"/>
      <c r="M483" s="414"/>
      <c r="N483" s="413"/>
      <c r="O483" s="415"/>
      <c r="P483" s="64"/>
      <c r="AD483" s="22">
        <f>ROW()</f>
        <v>483</v>
      </c>
      <c r="AE483" s="22"/>
      <c r="AF483" s="22"/>
      <c r="AG483" s="22"/>
      <c r="AH483" s="22"/>
      <c r="AI483" s="22"/>
      <c r="AJ483" s="22"/>
      <c r="AK483" s="22"/>
      <c r="AL483" s="22"/>
      <c r="AM483" s="22"/>
      <c r="AN483" s="22"/>
      <c r="AO483" s="22"/>
      <c r="AP483" s="22"/>
      <c r="BB483" s="21" t="s">
        <v>1163</v>
      </c>
      <c r="BC483" s="21" t="s">
        <v>127</v>
      </c>
      <c r="BD483" s="21" t="b">
        <v>1</v>
      </c>
      <c r="BE483" s="21">
        <f>B432</f>
        <v>0</v>
      </c>
      <c r="BF483" s="21" t="str">
        <f>""&amp;B432</f>
        <v/>
      </c>
      <c r="BG483" s="21" t="b">
        <v>1</v>
      </c>
      <c r="BH483" s="21" t="b">
        <v>0</v>
      </c>
      <c r="BK483" s="21" t="str">
        <f ca="1">_xlfn.FORMULATEXT(BE483)</f>
        <v>=B432</v>
      </c>
      <c r="BL483" s="21" t="str">
        <f ca="1">_xlfn.FORMULATEXT(BE483)</f>
        <v>=B432</v>
      </c>
    </row>
    <row r="484" spans="1:64" ht="14.75" customHeight="1">
      <c r="A484" s="64" t="s">
        <v>673</v>
      </c>
      <c r="B484" s="173"/>
      <c r="C484" s="322" t="s">
        <v>1164</v>
      </c>
      <c r="D484" s="323"/>
      <c r="E484" s="323"/>
      <c r="F484" s="324"/>
      <c r="G484" s="408"/>
      <c r="H484" s="407"/>
      <c r="I484" s="409"/>
      <c r="J484" s="408" t="s">
        <v>1165</v>
      </c>
      <c r="K484" s="407"/>
      <c r="L484" s="409"/>
      <c r="M484" s="414"/>
      <c r="N484" s="413"/>
      <c r="O484" s="415"/>
      <c r="P484" s="64"/>
      <c r="AD484" s="22">
        <f>ROW()</f>
        <v>484</v>
      </c>
      <c r="AE484" s="22"/>
      <c r="AF484" s="22"/>
      <c r="AG484" s="22"/>
      <c r="AH484" s="22"/>
      <c r="AI484" s="22"/>
      <c r="AJ484" s="22"/>
      <c r="AK484" s="22"/>
      <c r="AL484" s="22"/>
      <c r="AM484" s="22"/>
      <c r="AN484" s="22"/>
      <c r="AO484" s="22"/>
      <c r="AP484" s="22"/>
      <c r="BB484" s="21" t="s">
        <v>1166</v>
      </c>
      <c r="BC484" s="21" t="s">
        <v>268</v>
      </c>
      <c r="BD484" s="21" t="b">
        <v>0</v>
      </c>
      <c r="BE484" s="21" t="str">
        <f>IF(AA433=1,"Y","N")</f>
        <v>N</v>
      </c>
      <c r="BF484" s="21" t="str">
        <f>BE484</f>
        <v>N</v>
      </c>
      <c r="BG484" s="21" t="b">
        <v>1</v>
      </c>
      <c r="BH484" s="21" t="b">
        <v>0</v>
      </c>
      <c r="BJ484" s="329">
        <f>AA433</f>
        <v>2</v>
      </c>
      <c r="BK484" s="21" t="str">
        <f ca="1">_xlfn.FORMULATEXT(BJ484)</f>
        <v>=AA433</v>
      </c>
      <c r="BL484" s="21" t="s">
        <v>1058</v>
      </c>
    </row>
    <row r="485" spans="1:64" ht="27.65" customHeight="1">
      <c r="A485" s="64" t="s">
        <v>673</v>
      </c>
      <c r="B485" s="266" t="s">
        <v>1167</v>
      </c>
      <c r="C485" s="326" t="s">
        <v>1168</v>
      </c>
      <c r="D485" s="327"/>
      <c r="E485" s="327"/>
      <c r="F485" s="328"/>
      <c r="G485" s="623" t="str">
        <f>TEXT(_xlfn.NUMBERVALUE(G481)-_xlfn.NUMBERVALUE(G483)-_xlfn.NUMBERVALUE(G484),"0.00")</f>
        <v>0.00</v>
      </c>
      <c r="H485" s="622"/>
      <c r="I485" s="624"/>
      <c r="J485" s="623" t="str">
        <f>TEXT(_xlfn.NUMBERVALUE(J481)-_xlfn.NUMBERVALUE(J483)-_xlfn.NUMBERVALUE(J484),"0.00")</f>
        <v>-24324.00</v>
      </c>
      <c r="K485" s="622"/>
      <c r="L485" s="624"/>
      <c r="M485" s="414"/>
      <c r="N485" s="413"/>
      <c r="O485" s="415"/>
      <c r="P485" s="64"/>
      <c r="AD485" s="22">
        <f>ROW()</f>
        <v>485</v>
      </c>
      <c r="AE485" s="22"/>
      <c r="AF485" s="22"/>
      <c r="AG485" s="22"/>
      <c r="AH485" s="22"/>
      <c r="AI485" s="22"/>
      <c r="AJ485" s="22"/>
      <c r="AK485" s="22"/>
      <c r="AL485" s="22"/>
      <c r="AM485" s="22"/>
      <c r="AN485" s="22"/>
      <c r="AO485" s="22"/>
      <c r="AP485" s="22"/>
      <c r="BB485" s="21" t="s">
        <v>1169</v>
      </c>
      <c r="BC485" s="21" t="s">
        <v>127</v>
      </c>
      <c r="BD485" s="21" t="b">
        <v>1</v>
      </c>
      <c r="BE485" s="21">
        <f>B438</f>
        <v>0</v>
      </c>
      <c r="BF485" s="21" t="str">
        <f>""&amp;B438</f>
        <v/>
      </c>
      <c r="BG485" s="21" t="b">
        <v>1</v>
      </c>
      <c r="BH485" s="21" t="b">
        <v>0</v>
      </c>
      <c r="BK485" s="21" t="str">
        <f ca="1">_xlfn.FORMULATEXT(BE485)</f>
        <v>=B438</v>
      </c>
      <c r="BL485" s="21" t="str">
        <f ca="1">_xlfn.FORMULATEXT(BE485)</f>
        <v>=B438</v>
      </c>
    </row>
    <row r="486" spans="1:70" ht="31.25" customHeight="1">
      <c r="A486" s="64" t="s">
        <v>673</v>
      </c>
      <c r="B486" s="266" t="s">
        <v>1170</v>
      </c>
      <c r="C486" s="326" t="s">
        <v>1171</v>
      </c>
      <c r="D486" s="327"/>
      <c r="E486" s="327"/>
      <c r="F486" s="328"/>
      <c r="G486" s="408"/>
      <c r="H486" s="407"/>
      <c r="I486" s="409"/>
      <c r="J486" s="408" t="s">
        <v>450</v>
      </c>
      <c r="K486" s="407"/>
      <c r="L486" s="409"/>
      <c r="M486" s="414"/>
      <c r="N486" s="413"/>
      <c r="O486" s="415"/>
      <c r="P486" s="64"/>
      <c r="AD486" s="22">
        <f>ROW()</f>
        <v>486</v>
      </c>
      <c r="AE486" s="22"/>
      <c r="AF486" s="22"/>
      <c r="AG486" s="22"/>
      <c r="AH486" s="22"/>
      <c r="AI486" s="22"/>
      <c r="AJ486" s="22"/>
      <c r="AK486" s="22"/>
      <c r="AL486" s="22"/>
      <c r="AM486" s="22"/>
      <c r="AN486" s="22"/>
      <c r="AO486" s="22"/>
      <c r="AP486" s="22"/>
      <c r="BB486" s="21" t="s">
        <v>1172</v>
      </c>
      <c r="BC486" s="21" t="s">
        <v>123</v>
      </c>
      <c r="BD486" s="21" t="b">
        <v>0</v>
      </c>
      <c r="BE486" s="21" t="s">
        <v>1173</v>
      </c>
      <c r="BF486" s="21" t="s">
        <v>1173</v>
      </c>
      <c r="BG486" s="21" t="b">
        <v>0</v>
      </c>
      <c r="BH486" s="21" t="b">
        <v>0</v>
      </c>
      <c r="BK486" s="21" t="s">
        <v>125</v>
      </c>
      <c r="BL486" s="21" t="s">
        <v>125</v>
      </c>
      <c r="BR486" s="116"/>
    </row>
    <row r="487" spans="1:70" ht="14.5">
      <c r="A487" s="64" t="s">
        <v>673</v>
      </c>
      <c r="B487" s="266" t="s">
        <v>1174</v>
      </c>
      <c r="C487" s="322" t="s">
        <v>1175</v>
      </c>
      <c r="D487" s="323"/>
      <c r="E487" s="323"/>
      <c r="F487" s="324"/>
      <c r="G487" s="408"/>
      <c r="H487" s="407"/>
      <c r="I487" s="409"/>
      <c r="J487" s="408" t="s">
        <v>450</v>
      </c>
      <c r="K487" s="407"/>
      <c r="L487" s="409"/>
      <c r="M487" s="414"/>
      <c r="N487" s="413"/>
      <c r="O487" s="415"/>
      <c r="P487" s="64"/>
      <c r="AD487" s="22">
        <f>ROW()</f>
        <v>487</v>
      </c>
      <c r="AE487" s="22"/>
      <c r="AF487" s="22"/>
      <c r="AG487" s="22"/>
      <c r="AH487" s="22"/>
      <c r="AI487" s="22"/>
      <c r="AJ487" s="22"/>
      <c r="AK487" s="22"/>
      <c r="AL487" s="22"/>
      <c r="AM487" s="22"/>
      <c r="AN487" s="22"/>
      <c r="AO487" s="22"/>
      <c r="AP487" s="22"/>
      <c r="BB487" s="21" t="s">
        <v>1176</v>
      </c>
      <c r="BC487" s="21" t="s">
        <v>127</v>
      </c>
      <c r="BD487" s="21" t="b">
        <v>0</v>
      </c>
      <c r="BE487" s="21" t="str">
        <f>G444</f>
        <v>01/04/2021</v>
      </c>
      <c r="BF487" s="21" t="str">
        <f>""&amp;G444</f>
        <v>01/04/2021</v>
      </c>
      <c r="BG487" s="21" t="b">
        <v>0</v>
      </c>
      <c r="BH487" s="21" t="b">
        <v>0</v>
      </c>
      <c r="BK487" s="21" t="str">
        <f ca="1">_xlfn.FORMULATEXT(BE487)</f>
        <v>=G444</v>
      </c>
      <c r="BL487" s="21" t="str">
        <f ca="1">_xlfn.FORMULATEXT(BE487)</f>
        <v>=G444</v>
      </c>
      <c r="BR487" s="116"/>
    </row>
    <row r="488" spans="1:70" ht="29.75" customHeight="1">
      <c r="A488" s="64" t="s">
        <v>673</v>
      </c>
      <c r="B488" s="266" t="s">
        <v>1177</v>
      </c>
      <c r="C488" s="322" t="s">
        <v>1178</v>
      </c>
      <c r="D488" s="323"/>
      <c r="E488" s="323"/>
      <c r="F488" s="324"/>
      <c r="G488" s="623" t="str">
        <f>TEXT(_xlfn.NUMBERVALUE(G486)-_xlfn.NUMBERVALUE(G487),"0.00")</f>
        <v>0.00</v>
      </c>
      <c r="H488" s="622"/>
      <c r="I488" s="624"/>
      <c r="J488" s="623" t="str">
        <f>TEXT(_xlfn.NUMBERVALUE(J486)-_xlfn.NUMBERVALUE(J487),"0.00")</f>
        <v>0.00</v>
      </c>
      <c r="K488" s="622"/>
      <c r="L488" s="624"/>
      <c r="M488" s="414"/>
      <c r="N488" s="413"/>
      <c r="O488" s="415"/>
      <c r="P488" s="330"/>
      <c r="AA488" s="261"/>
      <c r="AB488" s="261"/>
      <c r="AC488" s="261"/>
      <c r="AD488" s="22">
        <f>ROW()</f>
        <v>488</v>
      </c>
      <c r="AE488" s="22"/>
      <c r="AF488" s="22"/>
      <c r="AG488" s="22"/>
      <c r="AH488" s="22"/>
      <c r="AI488" s="22"/>
      <c r="AJ488" s="22"/>
      <c r="AK488" s="22"/>
      <c r="AL488" s="22"/>
      <c r="AM488" s="22"/>
      <c r="AN488" s="22"/>
      <c r="AO488" s="22"/>
      <c r="AP488" s="22"/>
      <c r="AR488" s="261"/>
      <c r="AS488" s="261"/>
      <c r="AT488" s="261"/>
      <c r="AU488" s="261"/>
      <c r="AV488" s="261"/>
      <c r="AW488" s="261"/>
      <c r="AX488" s="261"/>
      <c r="BB488" s="21" t="s">
        <v>1179</v>
      </c>
      <c r="BC488" s="21" t="s">
        <v>127</v>
      </c>
      <c r="BD488" s="21" t="b">
        <v>0</v>
      </c>
      <c r="BE488" s="21" t="str">
        <f>G446</f>
        <v>31/03/2022</v>
      </c>
      <c r="BF488" s="21" t="str">
        <f>""&amp;G446</f>
        <v>31/03/2022</v>
      </c>
      <c r="BG488" s="21" t="b">
        <v>0</v>
      </c>
      <c r="BH488" s="21" t="b">
        <v>0</v>
      </c>
      <c r="BK488" s="21" t="str">
        <f ca="1">_xlfn.FORMULATEXT(BE488)</f>
        <v>=G446</v>
      </c>
      <c r="BL488" s="21" t="str">
        <f ca="1">_xlfn.FORMULATEXT(BE488)</f>
        <v>=G446</v>
      </c>
      <c r="BO488" s="116"/>
      <c r="BP488" s="116"/>
      <c r="BQ488" s="116"/>
      <c r="BR488" s="116"/>
    </row>
    <row r="489" spans="1:70" ht="14.5">
      <c r="A489" s="64" t="s">
        <v>673</v>
      </c>
      <c r="B489" s="266" t="s">
        <v>1180</v>
      </c>
      <c r="C489" s="322" t="s">
        <v>1181</v>
      </c>
      <c r="D489" s="323"/>
      <c r="E489" s="323"/>
      <c r="F489" s="324"/>
      <c r="G489" s="623" t="str">
        <f>TEXT(G485+G488,"0.00")</f>
        <v>0.00</v>
      </c>
      <c r="H489" s="622"/>
      <c r="I489" s="624"/>
      <c r="J489" s="623" t="str">
        <f>TEXT(J485+J488,"0.00")</f>
        <v>-24324.00</v>
      </c>
      <c r="K489" s="622"/>
      <c r="L489" s="624"/>
      <c r="M489" s="414"/>
      <c r="N489" s="413"/>
      <c r="O489" s="415"/>
      <c r="P489" s="64"/>
      <c r="R489" s="261"/>
      <c r="S489" s="261"/>
      <c r="T489" s="261"/>
      <c r="U489" s="261"/>
      <c r="V489" s="261"/>
      <c r="W489" s="261"/>
      <c r="X489" s="261"/>
      <c r="Y489" s="261"/>
      <c r="Z489" s="261"/>
      <c r="AD489" s="22">
        <f>ROW()</f>
        <v>489</v>
      </c>
      <c r="AE489" s="22"/>
      <c r="AF489" s="22"/>
      <c r="AG489" s="22"/>
      <c r="AH489" s="22"/>
      <c r="AI489" s="22"/>
      <c r="AJ489" s="22"/>
      <c r="AK489" s="22"/>
      <c r="AL489" s="22"/>
      <c r="AM489" s="22"/>
      <c r="AN489" s="22"/>
      <c r="AO489" s="22"/>
      <c r="AP489" s="22"/>
      <c r="AY489" s="261"/>
      <c r="AZ489" s="261"/>
      <c r="BB489" s="21" t="s">
        <v>1182</v>
      </c>
      <c r="BC489" s="21" t="s">
        <v>127</v>
      </c>
      <c r="BD489" s="21" t="b">
        <v>0</v>
      </c>
      <c r="BE489" s="21" t="str">
        <f>J444</f>
        <v>21/10/2020</v>
      </c>
      <c r="BF489" s="21" t="str">
        <f>""&amp;J444</f>
        <v>21/10/2020</v>
      </c>
      <c r="BG489" s="21" t="b">
        <v>1</v>
      </c>
      <c r="BH489" s="21" t="b">
        <v>1</v>
      </c>
      <c r="BK489" s="21" t="str">
        <f ca="1">_xlfn.FORMULATEXT(BE489)</f>
        <v>=J444</v>
      </c>
      <c r="BL489" s="21" t="str">
        <f ca="1">_xlfn.FORMULATEXT(BE489)</f>
        <v>=J444</v>
      </c>
      <c r="BO489" s="116"/>
      <c r="BP489" s="116"/>
      <c r="BQ489" s="116"/>
      <c r="BR489" s="116"/>
    </row>
    <row r="490" spans="1:70" ht="14.5">
      <c r="A490" s="64" t="s">
        <v>673</v>
      </c>
      <c r="B490" s="266" t="s">
        <v>1183</v>
      </c>
      <c r="C490" s="319" t="s">
        <v>1184</v>
      </c>
      <c r="D490" s="320"/>
      <c r="E490" s="320"/>
      <c r="F490" s="320"/>
      <c r="G490" s="440"/>
      <c r="H490" s="440"/>
      <c r="I490" s="440"/>
      <c r="J490" s="440"/>
      <c r="K490" s="440"/>
      <c r="L490" s="440"/>
      <c r="M490" s="440"/>
      <c r="N490" s="440"/>
      <c r="O490" s="441"/>
      <c r="P490" s="64"/>
      <c r="AD490" s="22">
        <f>ROW()</f>
        <v>490</v>
      </c>
      <c r="AE490" s="22"/>
      <c r="AF490" s="22"/>
      <c r="AG490" s="22"/>
      <c r="AH490" s="22"/>
      <c r="AI490" s="22"/>
      <c r="AJ490" s="22"/>
      <c r="AK490" s="22"/>
      <c r="AL490" s="22"/>
      <c r="AM490" s="22"/>
      <c r="AN490" s="22"/>
      <c r="AO490" s="22"/>
      <c r="AP490" s="22"/>
      <c r="AQ490" s="261"/>
      <c r="BB490" s="21" t="s">
        <v>1185</v>
      </c>
      <c r="BC490" s="21" t="s">
        <v>127</v>
      </c>
      <c r="BD490" s="21" t="b">
        <v>0</v>
      </c>
      <c r="BE490" s="21" t="str">
        <f>J446</f>
        <v>31/03/2021</v>
      </c>
      <c r="BF490" s="21" t="str">
        <f>""&amp;J446</f>
        <v>31/03/2021</v>
      </c>
      <c r="BG490" s="21" t="b">
        <v>0</v>
      </c>
      <c r="BH490" s="21" t="b">
        <v>0</v>
      </c>
      <c r="BK490" s="21" t="str">
        <f ca="1">_xlfn.FORMULATEXT(BE490)</f>
        <v>=J446</v>
      </c>
      <c r="BL490" s="21" t="str">
        <f ca="1">_xlfn.FORMULATEXT(BE490)</f>
        <v>=J446</v>
      </c>
      <c r="BN490" s="116"/>
      <c r="BO490" s="116"/>
      <c r="BP490" s="116"/>
      <c r="BQ490" s="116"/>
      <c r="BR490" s="116"/>
    </row>
    <row r="491" spans="1:69" ht="14.5">
      <c r="A491" s="64" t="s">
        <v>673</v>
      </c>
      <c r="B491" s="173"/>
      <c r="C491" s="322" t="s">
        <v>1186</v>
      </c>
      <c r="D491" s="323"/>
      <c r="E491" s="323"/>
      <c r="F491" s="324"/>
      <c r="G491" s="408"/>
      <c r="H491" s="407"/>
      <c r="I491" s="409"/>
      <c r="J491" s="408" t="s">
        <v>1187</v>
      </c>
      <c r="K491" s="407"/>
      <c r="L491" s="409"/>
      <c r="M491" s="414"/>
      <c r="N491" s="413"/>
      <c r="O491" s="415"/>
      <c r="P491" s="64"/>
      <c r="AD491" s="22">
        <f>ROW()</f>
        <v>491</v>
      </c>
      <c r="AE491" s="22"/>
      <c r="AF491" s="22"/>
      <c r="AG491" s="22"/>
      <c r="AH491" s="22"/>
      <c r="AI491" s="22"/>
      <c r="AJ491" s="22"/>
      <c r="AK491" s="22"/>
      <c r="AL491" s="22"/>
      <c r="AM491" s="22"/>
      <c r="AN491" s="22"/>
      <c r="AO491" s="22"/>
      <c r="AP491" s="22"/>
      <c r="BB491" s="21" t="s">
        <v>1188</v>
      </c>
      <c r="BC491" s="21" t="s">
        <v>127</v>
      </c>
      <c r="BD491" s="21" t="b">
        <v>1</v>
      </c>
      <c r="BE491" s="21">
        <f>G449</f>
        <v>0</v>
      </c>
      <c r="BF491" s="21" t="str">
        <f>""&amp;G449</f>
        <v/>
      </c>
      <c r="BG491" s="21" t="b">
        <v>1</v>
      </c>
      <c r="BH491" s="21" t="b">
        <v>0</v>
      </c>
      <c r="BK491" s="21" t="str">
        <f ca="1">_xlfn.FORMULATEXT(BE491)</f>
        <v>=G449</v>
      </c>
      <c r="BL491" s="21" t="str">
        <f ca="1">_xlfn.FORMULATEXT(BE491)</f>
        <v>=G449</v>
      </c>
      <c r="BN491" s="116"/>
      <c r="BO491" s="116"/>
      <c r="BP491" s="116"/>
      <c r="BQ491" s="116"/>
    </row>
    <row r="492" spans="1:69" ht="14.5">
      <c r="A492" s="64" t="s">
        <v>673</v>
      </c>
      <c r="B492" s="173"/>
      <c r="C492" s="322" t="s">
        <v>1189</v>
      </c>
      <c r="D492" s="323"/>
      <c r="E492" s="323"/>
      <c r="F492" s="324"/>
      <c r="G492" s="408"/>
      <c r="H492" s="407"/>
      <c r="I492" s="409"/>
      <c r="J492" s="408" t="s">
        <v>1187</v>
      </c>
      <c r="K492" s="407"/>
      <c r="L492" s="409"/>
      <c r="M492" s="414"/>
      <c r="N492" s="413"/>
      <c r="O492" s="415"/>
      <c r="P492" s="64"/>
      <c r="AD492" s="22">
        <f>ROW()</f>
        <v>492</v>
      </c>
      <c r="AE492" s="22"/>
      <c r="AF492" s="22"/>
      <c r="AG492" s="22"/>
      <c r="AH492" s="22"/>
      <c r="AI492" s="22"/>
      <c r="AJ492" s="22"/>
      <c r="AK492" s="22"/>
      <c r="AL492" s="22"/>
      <c r="AM492" s="22"/>
      <c r="AN492" s="22"/>
      <c r="AO492" s="22"/>
      <c r="AP492" s="22"/>
      <c r="BB492" s="21" t="s">
        <v>1190</v>
      </c>
      <c r="BC492" s="21" t="s">
        <v>127</v>
      </c>
      <c r="BD492" s="21" t="b">
        <v>1</v>
      </c>
      <c r="BE492" s="21" t="str">
        <f>J449</f>
        <v>0</v>
      </c>
      <c r="BF492" s="21" t="str">
        <f>""&amp;J449</f>
        <v>0</v>
      </c>
      <c r="BG492" s="21" t="b">
        <v>1</v>
      </c>
      <c r="BH492" s="21" t="b">
        <v>0</v>
      </c>
      <c r="BI492" s="21" t="str">
        <f>BE492</f>
        <v>0</v>
      </c>
      <c r="BK492" s="21" t="str">
        <f ca="1">_xlfn.FORMULATEXT(BE492)</f>
        <v>=J449</v>
      </c>
      <c r="BL492" s="21" t="str">
        <f ca="1">_xlfn.FORMULATEXT(BE492)</f>
        <v>=J449</v>
      </c>
      <c r="BN492" s="116"/>
      <c r="BO492" s="116"/>
      <c r="BP492" s="116"/>
      <c r="BQ492" s="116"/>
    </row>
    <row r="493" spans="1:66" ht="14.5">
      <c r="A493" s="64" t="s">
        <v>673</v>
      </c>
      <c r="B493" s="331" t="s">
        <v>1191</v>
      </c>
      <c r="C493" s="319" t="s">
        <v>1192</v>
      </c>
      <c r="D493" s="320"/>
      <c r="E493" s="320"/>
      <c r="F493" s="320"/>
      <c r="G493" s="440"/>
      <c r="H493" s="440"/>
      <c r="I493" s="440"/>
      <c r="J493" s="440"/>
      <c r="K493" s="440"/>
      <c r="L493" s="440"/>
      <c r="M493" s="440"/>
      <c r="N493" s="440"/>
      <c r="O493" s="441"/>
      <c r="P493" s="64"/>
      <c r="AD493" s="22">
        <f>ROW()</f>
        <v>493</v>
      </c>
      <c r="AE493" s="22"/>
      <c r="AF493" s="22"/>
      <c r="AG493" s="22"/>
      <c r="AH493" s="22"/>
      <c r="AI493" s="22"/>
      <c r="AJ493" s="22"/>
      <c r="AK493" s="22"/>
      <c r="AL493" s="22"/>
      <c r="AM493" s="22"/>
      <c r="AN493" s="22"/>
      <c r="AO493" s="22"/>
      <c r="AP493" s="22"/>
      <c r="BB493" s="21" t="s">
        <v>1193</v>
      </c>
      <c r="BC493" s="21" t="s">
        <v>127</v>
      </c>
      <c r="BD493" s="21" t="b">
        <v>0</v>
      </c>
      <c r="BE493" s="21">
        <f>M449</f>
        <v>0</v>
      </c>
      <c r="BF493" s="21" t="str">
        <f>""&amp;M449</f>
        <v/>
      </c>
      <c r="BG493" s="21" t="b">
        <v>1</v>
      </c>
      <c r="BH493" s="21" t="b">
        <v>0</v>
      </c>
      <c r="BI493" s="21" t="str">
        <f>BE492</f>
        <v>0</v>
      </c>
      <c r="BK493" s="21" t="str">
        <f ca="1">_xlfn.FORMULATEXT(BE493)</f>
        <v>=M449</v>
      </c>
      <c r="BL493" s="21" t="str">
        <f ca="1">_xlfn.FORMULATEXT(BE493)</f>
        <v>=M449</v>
      </c>
      <c r="BN493" s="116"/>
    </row>
    <row r="494" spans="1:66" ht="14.5">
      <c r="A494" s="64" t="s">
        <v>673</v>
      </c>
      <c r="B494" s="173"/>
      <c r="C494" s="322" t="s">
        <v>1186</v>
      </c>
      <c r="D494" s="323"/>
      <c r="E494" s="323"/>
      <c r="F494" s="324"/>
      <c r="G494" s="408"/>
      <c r="H494" s="407"/>
      <c r="I494" s="409"/>
      <c r="J494" s="408" t="s">
        <v>1187</v>
      </c>
      <c r="K494" s="407"/>
      <c r="L494" s="409"/>
      <c r="M494" s="414"/>
      <c r="N494" s="413"/>
      <c r="O494" s="415"/>
      <c r="P494" s="64"/>
      <c r="AD494" s="22">
        <f>ROW()</f>
        <v>494</v>
      </c>
      <c r="AE494" s="22"/>
      <c r="AF494" s="22"/>
      <c r="AG494" s="22"/>
      <c r="AH494" s="22"/>
      <c r="AI494" s="22"/>
      <c r="AJ494" s="22"/>
      <c r="AK494" s="22"/>
      <c r="AL494" s="22"/>
      <c r="AM494" s="22"/>
      <c r="AN494" s="22"/>
      <c r="AO494" s="22"/>
      <c r="AP494" s="22"/>
      <c r="BB494" s="21" t="s">
        <v>1194</v>
      </c>
      <c r="BC494" s="21" t="s">
        <v>127</v>
      </c>
      <c r="BD494" s="21" t="b">
        <v>1</v>
      </c>
      <c r="BE494" s="21">
        <f>G450</f>
        <v>0</v>
      </c>
      <c r="BF494" s="21" t="str">
        <f>""&amp;G450</f>
        <v/>
      </c>
      <c r="BG494" s="21" t="b">
        <v>1</v>
      </c>
      <c r="BH494" s="21" t="b">
        <v>0</v>
      </c>
      <c r="BK494" s="21" t="str">
        <f ca="1">_xlfn.FORMULATEXT(BE494)</f>
        <v>=G450</v>
      </c>
      <c r="BL494" s="21" t="str">
        <f ca="1">_xlfn.FORMULATEXT(BE494)</f>
        <v>=G450</v>
      </c>
      <c r="BN494" s="116"/>
    </row>
    <row r="495" spans="1:64" ht="14.5">
      <c r="A495" s="64" t="s">
        <v>673</v>
      </c>
      <c r="B495" s="173"/>
      <c r="C495" s="332" t="s">
        <v>1189</v>
      </c>
      <c r="D495" s="333"/>
      <c r="E495" s="333"/>
      <c r="F495" s="334"/>
      <c r="G495" s="408"/>
      <c r="H495" s="407"/>
      <c r="I495" s="409"/>
      <c r="J495" s="408" t="s">
        <v>1187</v>
      </c>
      <c r="K495" s="407"/>
      <c r="L495" s="409"/>
      <c r="M495" s="445"/>
      <c r="N495" s="444"/>
      <c r="O495" s="415"/>
      <c r="P495" s="64"/>
      <c r="AD495" s="22">
        <f>ROW()</f>
        <v>495</v>
      </c>
      <c r="AE495" s="22"/>
      <c r="AF495" s="22"/>
      <c r="AG495" s="22"/>
      <c r="AH495" s="22"/>
      <c r="AI495" s="22"/>
      <c r="AJ495" s="22"/>
      <c r="AK495" s="22"/>
      <c r="AL495" s="22"/>
      <c r="AM495" s="22"/>
      <c r="AN495" s="22"/>
      <c r="AO495" s="22"/>
      <c r="AP495" s="22"/>
      <c r="BB495" s="21" t="s">
        <v>1195</v>
      </c>
      <c r="BC495" s="21" t="s">
        <v>127</v>
      </c>
      <c r="BD495" s="21" t="b">
        <v>1</v>
      </c>
      <c r="BE495" s="21" t="str">
        <f>J450</f>
        <v>0</v>
      </c>
      <c r="BF495" s="21" t="str">
        <f>""&amp;J450</f>
        <v>0</v>
      </c>
      <c r="BG495" s="21" t="b">
        <v>1</v>
      </c>
      <c r="BH495" s="21" t="b">
        <v>0</v>
      </c>
      <c r="BI495" s="21" t="str">
        <f>BE495</f>
        <v>0</v>
      </c>
      <c r="BK495" s="21" t="str">
        <f ca="1">_xlfn.FORMULATEXT(BE495)</f>
        <v>=J450</v>
      </c>
      <c r="BL495" s="21" t="str">
        <f ca="1">_xlfn.FORMULATEXT(BE495)</f>
        <v>=J450</v>
      </c>
    </row>
    <row r="496" spans="1:64" ht="14.5">
      <c r="A496" s="64" t="s">
        <v>673</v>
      </c>
      <c r="B496" s="64"/>
      <c r="C496" s="64"/>
      <c r="D496" s="64"/>
      <c r="E496" s="64"/>
      <c r="F496" s="64"/>
      <c r="G496" s="64"/>
      <c r="H496" s="64"/>
      <c r="I496" s="64"/>
      <c r="J496" s="64"/>
      <c r="K496" s="64"/>
      <c r="L496" s="64"/>
      <c r="M496" s="64"/>
      <c r="N496" s="64"/>
      <c r="O496" s="64"/>
      <c r="P496" s="64"/>
      <c r="AD496" s="22">
        <f>ROW()</f>
        <v>496</v>
      </c>
      <c r="AE496" s="22"/>
      <c r="AF496" s="22"/>
      <c r="AG496" s="22"/>
      <c r="AH496" s="22"/>
      <c r="AI496" s="22"/>
      <c r="AJ496" s="22"/>
      <c r="AK496" s="22"/>
      <c r="AL496" s="22"/>
      <c r="AM496" s="22"/>
      <c r="AN496" s="22"/>
      <c r="AO496" s="22"/>
      <c r="AP496" s="22"/>
      <c r="BB496" s="21" t="s">
        <v>1196</v>
      </c>
      <c r="BC496" s="21" t="s">
        <v>127</v>
      </c>
      <c r="BD496" s="21" t="b">
        <v>0</v>
      </c>
      <c r="BE496" s="21">
        <f>M450</f>
        <v>0</v>
      </c>
      <c r="BF496" s="21" t="str">
        <f>""&amp;M450</f>
        <v/>
      </c>
      <c r="BG496" s="21" t="b">
        <v>1</v>
      </c>
      <c r="BH496" s="21" t="b">
        <v>0</v>
      </c>
      <c r="BI496" s="21" t="str">
        <f>BE495</f>
        <v>0</v>
      </c>
      <c r="BK496" s="21" t="str">
        <f ca="1">_xlfn.FORMULATEXT(BE496)</f>
        <v>=M450</v>
      </c>
      <c r="BL496" s="21" t="str">
        <f ca="1">_xlfn.FORMULATEXT(BE496)</f>
        <v>=M450</v>
      </c>
    </row>
    <row r="497" spans="1:64" ht="16.25" customHeight="1">
      <c r="A497" s="64" t="s">
        <v>673</v>
      </c>
      <c r="B497" s="292" t="s">
        <v>1197</v>
      </c>
      <c r="C497" s="292"/>
      <c r="D497" s="292"/>
      <c r="E497" s="292"/>
      <c r="F497" s="292"/>
      <c r="G497" s="292"/>
      <c r="H497" s="292"/>
      <c r="I497" s="292"/>
      <c r="J497" s="292"/>
      <c r="K497" s="64"/>
      <c r="L497" s="64"/>
      <c r="M497" s="64"/>
      <c r="N497" s="64"/>
      <c r="O497" s="64"/>
      <c r="P497" s="64"/>
      <c r="AD497" s="22">
        <f>ROW()</f>
        <v>497</v>
      </c>
      <c r="AE497" s="22"/>
      <c r="AF497" s="22"/>
      <c r="AG497" s="22"/>
      <c r="AH497" s="22"/>
      <c r="AI497" s="22"/>
      <c r="AJ497" s="22"/>
      <c r="AK497" s="22"/>
      <c r="AL497" s="22"/>
      <c r="AM497" s="22"/>
      <c r="AN497" s="22"/>
      <c r="AO497" s="22"/>
      <c r="AP497" s="22"/>
      <c r="BB497" s="21" t="s">
        <v>1198</v>
      </c>
      <c r="BC497" s="21" t="s">
        <v>127</v>
      </c>
      <c r="BD497" s="21" t="b">
        <v>1</v>
      </c>
      <c r="BE497" s="21">
        <f>G451</f>
        <v>0</v>
      </c>
      <c r="BF497" s="21" t="str">
        <f>""&amp;G451</f>
        <v/>
      </c>
      <c r="BG497" s="21" t="b">
        <v>1</v>
      </c>
      <c r="BH497" s="21" t="b">
        <v>0</v>
      </c>
      <c r="BK497" s="21" t="str">
        <f ca="1">_xlfn.FORMULATEXT(BE497)</f>
        <v>=G451</v>
      </c>
      <c r="BL497" s="21" t="str">
        <f ca="1">_xlfn.FORMULATEXT(BE497)</f>
        <v>=G451</v>
      </c>
    </row>
    <row r="498" spans="1:64" ht="14.5">
      <c r="A498" s="64" t="s">
        <v>673</v>
      </c>
      <c r="B498" s="292" t="s">
        <v>1199</v>
      </c>
      <c r="C498" s="292"/>
      <c r="D498" s="292"/>
      <c r="E498" s="292"/>
      <c r="F498" s="292"/>
      <c r="G498" s="292"/>
      <c r="H498" s="292"/>
      <c r="I498" s="292"/>
      <c r="J498" s="292"/>
      <c r="K498" s="64"/>
      <c r="L498" s="64"/>
      <c r="M498" s="64"/>
      <c r="N498" s="64"/>
      <c r="O498" s="64"/>
      <c r="P498" s="64"/>
      <c r="AD498" s="22">
        <f>ROW()</f>
        <v>498</v>
      </c>
      <c r="AE498" s="22"/>
      <c r="AF498" s="22"/>
      <c r="AG498" s="22"/>
      <c r="AH498" s="22"/>
      <c r="AI498" s="22"/>
      <c r="AJ498" s="22"/>
      <c r="AK498" s="22"/>
      <c r="AL498" s="22"/>
      <c r="AM498" s="22"/>
      <c r="AN498" s="22"/>
      <c r="AO498" s="22"/>
      <c r="AP498" s="22"/>
      <c r="BB498" s="21" t="s">
        <v>1200</v>
      </c>
      <c r="BC498" s="21" t="s">
        <v>127</v>
      </c>
      <c r="BD498" s="21" t="b">
        <v>1</v>
      </c>
      <c r="BE498" s="21" t="str">
        <f>J451</f>
        <v>0</v>
      </c>
      <c r="BF498" s="21" t="str">
        <f>""&amp;J451</f>
        <v>0</v>
      </c>
      <c r="BG498" s="21" t="b">
        <v>1</v>
      </c>
      <c r="BH498" s="21" t="b">
        <v>0</v>
      </c>
      <c r="BI498" s="21" t="str">
        <f>BE498</f>
        <v>0</v>
      </c>
      <c r="BK498" s="21" t="str">
        <f ca="1">_xlfn.FORMULATEXT(BE498)</f>
        <v>=J451</v>
      </c>
      <c r="BL498" s="21" t="str">
        <f ca="1">_xlfn.FORMULATEXT(BE498)</f>
        <v>=J451</v>
      </c>
    </row>
    <row r="499" spans="1:64" ht="29" customHeight="1">
      <c r="A499" s="64" t="s">
        <v>673</v>
      </c>
      <c r="B499" s="268" t="s">
        <v>625</v>
      </c>
      <c r="C499" s="268"/>
      <c r="D499" s="268"/>
      <c r="E499" s="498" t="s">
        <v>1201</v>
      </c>
      <c r="F499" s="498"/>
      <c r="G499" s="492"/>
      <c r="H499" s="492"/>
      <c r="I499" s="498" t="s">
        <v>1202</v>
      </c>
      <c r="J499" s="492"/>
      <c r="K499" s="492"/>
      <c r="L499" s="498" t="s">
        <v>1203</v>
      </c>
      <c r="M499" s="492"/>
      <c r="N499" s="492"/>
      <c r="O499" s="492"/>
      <c r="P499" s="64"/>
      <c r="AD499" s="22">
        <f>ROW()</f>
        <v>499</v>
      </c>
      <c r="AE499" s="22"/>
      <c r="AF499" s="22"/>
      <c r="AG499" s="22"/>
      <c r="AH499" s="22"/>
      <c r="AI499" s="22"/>
      <c r="AJ499" s="22"/>
      <c r="AK499" s="22"/>
      <c r="AL499" s="22"/>
      <c r="AM499" s="22"/>
      <c r="AN499" s="22"/>
      <c r="AO499" s="22"/>
      <c r="AP499" s="22"/>
      <c r="BB499" s="21" t="s">
        <v>1204</v>
      </c>
      <c r="BC499" s="21" t="s">
        <v>127</v>
      </c>
      <c r="BD499" s="21" t="b">
        <v>0</v>
      </c>
      <c r="BE499" s="21">
        <f>M451</f>
        <v>0</v>
      </c>
      <c r="BF499" s="21" t="str">
        <f>""&amp;M451</f>
        <v/>
      </c>
      <c r="BG499" s="21" t="b">
        <v>1</v>
      </c>
      <c r="BH499" s="21" t="b">
        <v>0</v>
      </c>
      <c r="BI499" s="21" t="str">
        <f>BE498</f>
        <v>0</v>
      </c>
      <c r="BK499" s="21" t="str">
        <f ca="1">_xlfn.FORMULATEXT(BE499)</f>
        <v>=M451</v>
      </c>
      <c r="BL499" s="21" t="str">
        <f ca="1">_xlfn.FORMULATEXT(BE499)</f>
        <v>=M451</v>
      </c>
    </row>
    <row r="500" spans="1:64" ht="28.25" customHeight="1">
      <c r="A500" s="64" t="s">
        <v>673</v>
      </c>
      <c r="B500" s="281" t="s">
        <v>1205</v>
      </c>
      <c r="C500" s="275"/>
      <c r="D500" s="275"/>
      <c r="E500" s="439"/>
      <c r="F500" s="438"/>
      <c r="G500" s="438"/>
      <c r="H500" s="409"/>
      <c r="I500" s="439" t="s">
        <v>450</v>
      </c>
      <c r="J500" s="438"/>
      <c r="K500" s="409"/>
      <c r="L500" s="445"/>
      <c r="M500" s="444"/>
      <c r="N500" s="444"/>
      <c r="O500" s="415"/>
      <c r="P500" s="64"/>
      <c r="AD500" s="22">
        <f>ROW()</f>
        <v>500</v>
      </c>
      <c r="AE500" s="22"/>
      <c r="AF500" s="22"/>
      <c r="AG500" s="22"/>
      <c r="AH500" s="22"/>
      <c r="AI500" s="22"/>
      <c r="AJ500" s="22"/>
      <c r="AK500" s="22"/>
      <c r="AL500" s="22"/>
      <c r="AM500" s="22"/>
      <c r="AN500" s="22"/>
      <c r="AO500" s="22"/>
      <c r="AP500" s="22"/>
      <c r="BB500" s="21" t="s">
        <v>1206</v>
      </c>
      <c r="BC500" s="21" t="s">
        <v>127</v>
      </c>
      <c r="BD500" s="21" t="b">
        <v>1</v>
      </c>
      <c r="BE500" s="21">
        <f>G453</f>
        <v>0</v>
      </c>
      <c r="BF500" s="21" t="str">
        <f>""&amp;G453</f>
        <v/>
      </c>
      <c r="BG500" s="21" t="b">
        <v>1</v>
      </c>
      <c r="BH500" s="21" t="b">
        <v>0</v>
      </c>
      <c r="BK500" s="21" t="str">
        <f ca="1">_xlfn.FORMULATEXT(BE500)</f>
        <v>=G453</v>
      </c>
      <c r="BL500" s="21" t="str">
        <f ca="1">_xlfn.FORMULATEXT(BE500)</f>
        <v>=G453</v>
      </c>
    </row>
    <row r="501" spans="1:64" ht="14.5">
      <c r="A501" s="64" t="s">
        <v>673</v>
      </c>
      <c r="B501" s="275" t="s">
        <v>1207</v>
      </c>
      <c r="C501" s="275"/>
      <c r="D501" s="275"/>
      <c r="E501" s="439"/>
      <c r="F501" s="438"/>
      <c r="G501" s="438"/>
      <c r="H501" s="409"/>
      <c r="I501" s="439" t="s">
        <v>450</v>
      </c>
      <c r="J501" s="438"/>
      <c r="K501" s="409"/>
      <c r="L501" s="445"/>
      <c r="M501" s="444"/>
      <c r="N501" s="444"/>
      <c r="O501" s="415"/>
      <c r="P501" s="64"/>
      <c r="AD501" s="22">
        <f>ROW()</f>
        <v>501</v>
      </c>
      <c r="AE501" s="22"/>
      <c r="AF501" s="22"/>
      <c r="AG501" s="22"/>
      <c r="AH501" s="22"/>
      <c r="AI501" s="22"/>
      <c r="AJ501" s="22"/>
      <c r="AK501" s="22"/>
      <c r="AL501" s="22"/>
      <c r="AM501" s="22"/>
      <c r="AN501" s="22"/>
      <c r="AO501" s="22"/>
      <c r="AP501" s="22"/>
      <c r="BB501" s="21" t="s">
        <v>1208</v>
      </c>
      <c r="BC501" s="21" t="s">
        <v>127</v>
      </c>
      <c r="BD501" s="21" t="b">
        <v>1</v>
      </c>
      <c r="BE501" s="21" t="str">
        <f>J453</f>
        <v>0</v>
      </c>
      <c r="BF501" s="21" t="str">
        <f>""&amp;J453</f>
        <v>0</v>
      </c>
      <c r="BG501" s="21" t="b">
        <v>1</v>
      </c>
      <c r="BH501" s="21" t="b">
        <v>0</v>
      </c>
      <c r="BI501" s="21" t="str">
        <f>BE501</f>
        <v>0</v>
      </c>
      <c r="BK501" s="21" t="str">
        <f ca="1">_xlfn.FORMULATEXT(BE501)</f>
        <v>=J453</v>
      </c>
      <c r="BL501" s="21" t="str">
        <f ca="1">_xlfn.FORMULATEXT(BE501)</f>
        <v>=J453</v>
      </c>
    </row>
    <row r="502" spans="1:64" ht="14.5">
      <c r="A502" s="64" t="s">
        <v>673</v>
      </c>
      <c r="B502" s="275" t="s">
        <v>1209</v>
      </c>
      <c r="C502" s="275"/>
      <c r="D502" s="275"/>
      <c r="E502" s="439"/>
      <c r="F502" s="438"/>
      <c r="G502" s="438"/>
      <c r="H502" s="409"/>
      <c r="I502" s="439" t="s">
        <v>450</v>
      </c>
      <c r="J502" s="438"/>
      <c r="K502" s="409"/>
      <c r="L502" s="445"/>
      <c r="M502" s="444"/>
      <c r="N502" s="444"/>
      <c r="O502" s="415"/>
      <c r="P502" s="64"/>
      <c r="AD502" s="22">
        <f>ROW()</f>
        <v>502</v>
      </c>
      <c r="AE502" s="22"/>
      <c r="AF502" s="22"/>
      <c r="AG502" s="22"/>
      <c r="AH502" s="22"/>
      <c r="AI502" s="22"/>
      <c r="AJ502" s="22"/>
      <c r="AK502" s="22"/>
      <c r="AL502" s="22"/>
      <c r="AM502" s="22"/>
      <c r="AN502" s="22"/>
      <c r="AO502" s="22"/>
      <c r="AP502" s="22"/>
      <c r="BB502" s="21" t="s">
        <v>1210</v>
      </c>
      <c r="BC502" s="21" t="s">
        <v>127</v>
      </c>
      <c r="BD502" s="21" t="b">
        <v>0</v>
      </c>
      <c r="BE502" s="21">
        <f>M453</f>
        <v>0</v>
      </c>
      <c r="BF502" s="21" t="str">
        <f>""&amp;M453</f>
        <v/>
      </c>
      <c r="BG502" s="21" t="b">
        <v>1</v>
      </c>
      <c r="BH502" s="21" t="b">
        <v>0</v>
      </c>
      <c r="BI502" s="21" t="str">
        <f>BE501</f>
        <v>0</v>
      </c>
      <c r="BK502" s="21" t="str">
        <f ca="1">_xlfn.FORMULATEXT(BE502)</f>
        <v>=M453</v>
      </c>
      <c r="BL502" s="21" t="str">
        <f ca="1">_xlfn.FORMULATEXT(BE502)</f>
        <v>=M453</v>
      </c>
    </row>
    <row r="503" spans="1:64" ht="14.5">
      <c r="A503" s="64" t="s">
        <v>673</v>
      </c>
      <c r="B503" s="275" t="s">
        <v>1211</v>
      </c>
      <c r="C503" s="275"/>
      <c r="D503" s="275"/>
      <c r="E503" s="439"/>
      <c r="F503" s="438"/>
      <c r="G503" s="438"/>
      <c r="H503" s="409"/>
      <c r="I503" s="439" t="s">
        <v>450</v>
      </c>
      <c r="J503" s="438"/>
      <c r="K503" s="409"/>
      <c r="L503" s="445"/>
      <c r="M503" s="444"/>
      <c r="N503" s="444"/>
      <c r="O503" s="415"/>
      <c r="P503" s="64"/>
      <c r="AD503" s="22">
        <f>ROW()</f>
        <v>503</v>
      </c>
      <c r="AE503" s="22"/>
      <c r="AF503" s="22"/>
      <c r="AG503" s="22"/>
      <c r="AH503" s="22"/>
      <c r="AI503" s="22"/>
      <c r="AJ503" s="22"/>
      <c r="AK503" s="22"/>
      <c r="AL503" s="22"/>
      <c r="AM503" s="22"/>
      <c r="AN503" s="22"/>
      <c r="AO503" s="22"/>
      <c r="AP503" s="22"/>
      <c r="BB503" s="21" t="s">
        <v>1212</v>
      </c>
      <c r="BC503" s="21" t="s">
        <v>127</v>
      </c>
      <c r="BD503" s="21" t="b">
        <v>1</v>
      </c>
      <c r="BE503" s="21">
        <f>G454</f>
        <v>0</v>
      </c>
      <c r="BF503" s="21" t="str">
        <f>""&amp;G454</f>
        <v/>
      </c>
      <c r="BG503" s="21" t="b">
        <v>1</v>
      </c>
      <c r="BH503" s="21" t="b">
        <v>0</v>
      </c>
      <c r="BK503" s="21" t="str">
        <f ca="1">_xlfn.FORMULATEXT(BE503)</f>
        <v>=G454</v>
      </c>
      <c r="BL503" s="21" t="str">
        <f ca="1">_xlfn.FORMULATEXT(BE503)</f>
        <v>=G454</v>
      </c>
    </row>
    <row r="504" spans="1:64" ht="14.5">
      <c r="A504" s="64" t="s">
        <v>673</v>
      </c>
      <c r="B504" s="282" t="s">
        <v>1213</v>
      </c>
      <c r="C504" s="240"/>
      <c r="D504" s="240"/>
      <c r="E504" s="439"/>
      <c r="F504" s="438"/>
      <c r="G504" s="438"/>
      <c r="H504" s="409"/>
      <c r="I504" s="439" t="s">
        <v>450</v>
      </c>
      <c r="J504" s="438"/>
      <c r="K504" s="409"/>
      <c r="L504" s="445"/>
      <c r="M504" s="444"/>
      <c r="N504" s="444"/>
      <c r="O504" s="415"/>
      <c r="P504" s="64"/>
      <c r="AD504" s="22">
        <f>ROW()</f>
        <v>504</v>
      </c>
      <c r="AE504" s="22"/>
      <c r="AF504" s="22"/>
      <c r="AG504" s="22"/>
      <c r="AH504" s="22"/>
      <c r="AI504" s="22"/>
      <c r="AJ504" s="22"/>
      <c r="AK504" s="22"/>
      <c r="AL504" s="22"/>
      <c r="AM504" s="22"/>
      <c r="AN504" s="22"/>
      <c r="AO504" s="22"/>
      <c r="AP504" s="22"/>
      <c r="BB504" s="21" t="s">
        <v>1214</v>
      </c>
      <c r="BC504" s="21" t="s">
        <v>127</v>
      </c>
      <c r="BD504" s="21" t="b">
        <v>1</v>
      </c>
      <c r="BE504" s="21" t="str">
        <f>J454</f>
        <v>0</v>
      </c>
      <c r="BF504" s="21" t="str">
        <f>""&amp;J454</f>
        <v>0</v>
      </c>
      <c r="BG504" s="21" t="b">
        <v>1</v>
      </c>
      <c r="BH504" s="21" t="b">
        <v>0</v>
      </c>
      <c r="BI504" s="21" t="str">
        <f>BE504</f>
        <v>0</v>
      </c>
      <c r="BK504" s="21" t="str">
        <f ca="1">_xlfn.FORMULATEXT(BE504)</f>
        <v>=J454</v>
      </c>
      <c r="BL504" s="21" t="str">
        <f ca="1">_xlfn.FORMULATEXT(BE504)</f>
        <v>=J454</v>
      </c>
    </row>
    <row r="505" spans="1:64" ht="14.5">
      <c r="A505" s="64" t="s">
        <v>673</v>
      </c>
      <c r="B505" s="275" t="s">
        <v>1215</v>
      </c>
      <c r="C505" s="275"/>
      <c r="D505" s="275"/>
      <c r="E505" s="439"/>
      <c r="F505" s="438"/>
      <c r="G505" s="438"/>
      <c r="H505" s="409"/>
      <c r="I505" s="439" t="s">
        <v>450</v>
      </c>
      <c r="J505" s="438"/>
      <c r="K505" s="409"/>
      <c r="L505" s="445"/>
      <c r="M505" s="444"/>
      <c r="N505" s="444"/>
      <c r="O505" s="415"/>
      <c r="P505" s="64"/>
      <c r="AD505" s="22">
        <f>ROW()</f>
        <v>505</v>
      </c>
      <c r="AE505" s="22"/>
      <c r="AF505" s="22"/>
      <c r="AG505" s="22"/>
      <c r="AH505" s="22"/>
      <c r="AI505" s="22"/>
      <c r="AJ505" s="22"/>
      <c r="AK505" s="22"/>
      <c r="AL505" s="22"/>
      <c r="AM505" s="22"/>
      <c r="AN505" s="22"/>
      <c r="AO505" s="22"/>
      <c r="AP505" s="22"/>
      <c r="BB505" s="21" t="s">
        <v>1216</v>
      </c>
      <c r="BC505" s="21" t="s">
        <v>127</v>
      </c>
      <c r="BD505" s="21" t="b">
        <v>0</v>
      </c>
      <c r="BE505" s="21">
        <f>M454</f>
        <v>0</v>
      </c>
      <c r="BF505" s="21" t="str">
        <f>""&amp;M454</f>
        <v/>
      </c>
      <c r="BG505" s="21" t="b">
        <v>1</v>
      </c>
      <c r="BH505" s="21" t="b">
        <v>0</v>
      </c>
      <c r="BI505" s="21" t="str">
        <f>BE504</f>
        <v>0</v>
      </c>
      <c r="BK505" s="21" t="str">
        <f ca="1">_xlfn.FORMULATEXT(BE505)</f>
        <v>=M454</v>
      </c>
      <c r="BL505" s="21" t="str">
        <f ca="1">_xlfn.FORMULATEXT(BE505)</f>
        <v>=M454</v>
      </c>
    </row>
    <row r="506" spans="1:64" ht="14.5">
      <c r="A506" s="64" t="s">
        <v>673</v>
      </c>
      <c r="B506" s="281" t="s">
        <v>1217</v>
      </c>
      <c r="C506" s="275"/>
      <c r="D506" s="275"/>
      <c r="E506" s="628" t="str" cm="1">
        <f t="array" ref="E506">TEXT(SUM(_xlfn.NUMBERVALUE(E500:H505)),"0.00")</f>
        <v>0.00</v>
      </c>
      <c r="F506" s="627"/>
      <c r="G506" s="627"/>
      <c r="H506" s="624"/>
      <c r="I506" s="628" t="str" cm="1">
        <f t="array" ref="I506">TEXT(SUM(_xlfn.NUMBERVALUE(I500:K505)),"0.00")</f>
        <v>0.00</v>
      </c>
      <c r="J506" s="627"/>
      <c r="K506" s="624"/>
      <c r="L506" s="445"/>
      <c r="M506" s="444"/>
      <c r="N506" s="444"/>
      <c r="O506" s="415"/>
      <c r="P506" s="64"/>
      <c r="AD506" s="22">
        <f>ROW()</f>
        <v>506</v>
      </c>
      <c r="AE506" s="22"/>
      <c r="AF506" s="22"/>
      <c r="AG506" s="22"/>
      <c r="AH506" s="22"/>
      <c r="AI506" s="22"/>
      <c r="AJ506" s="22"/>
      <c r="AK506" s="22"/>
      <c r="AL506" s="22"/>
      <c r="AM506" s="22"/>
      <c r="AN506" s="22"/>
      <c r="AO506" s="22"/>
      <c r="AP506" s="22"/>
      <c r="BB506" s="21" t="s">
        <v>1218</v>
      </c>
      <c r="BC506" s="21" t="s">
        <v>127</v>
      </c>
      <c r="BD506" s="21" t="b">
        <v>1</v>
      </c>
      <c r="BE506" s="21">
        <f>G455</f>
        <v>0</v>
      </c>
      <c r="BF506" s="21" t="str">
        <f>""&amp;G455</f>
        <v/>
      </c>
      <c r="BG506" s="21" t="b">
        <v>1</v>
      </c>
      <c r="BH506" s="21" t="b">
        <v>0</v>
      </c>
      <c r="BK506" s="21" t="str">
        <f ca="1">_xlfn.FORMULATEXT(BE506)</f>
        <v>=G455</v>
      </c>
      <c r="BL506" s="21" t="str">
        <f ca="1">_xlfn.FORMULATEXT(BE506)</f>
        <v>=G455</v>
      </c>
    </row>
    <row r="507" spans="1:64" ht="14.5">
      <c r="A507" s="64" t="s">
        <v>673</v>
      </c>
      <c r="B507" s="64"/>
      <c r="C507" s="64"/>
      <c r="D507" s="64"/>
      <c r="E507" s="64"/>
      <c r="F507" s="64"/>
      <c r="G507" s="64"/>
      <c r="H507" s="64"/>
      <c r="I507" s="64"/>
      <c r="J507" s="64"/>
      <c r="K507" s="64"/>
      <c r="L507" s="64"/>
      <c r="M507" s="64"/>
      <c r="N507" s="64"/>
      <c r="O507" s="64"/>
      <c r="P507" s="64"/>
      <c r="AD507" s="22">
        <f>ROW()</f>
        <v>507</v>
      </c>
      <c r="AE507" s="22"/>
      <c r="AF507" s="22"/>
      <c r="AG507" s="22"/>
      <c r="AH507" s="22"/>
      <c r="AI507" s="22"/>
      <c r="AJ507" s="22"/>
      <c r="AK507" s="22"/>
      <c r="AL507" s="22"/>
      <c r="AM507" s="22"/>
      <c r="AN507" s="22"/>
      <c r="AO507" s="22"/>
      <c r="AP507" s="22"/>
      <c r="BB507" s="21" t="s">
        <v>1219</v>
      </c>
      <c r="BC507" s="21" t="s">
        <v>127</v>
      </c>
      <c r="BD507" s="21" t="b">
        <v>1</v>
      </c>
      <c r="BE507" s="116" t="str">
        <f>J455</f>
        <v>0</v>
      </c>
      <c r="BF507" s="21" t="str">
        <f>""&amp;J455</f>
        <v>0</v>
      </c>
      <c r="BG507" s="21" t="b">
        <v>1</v>
      </c>
      <c r="BH507" s="21" t="b">
        <v>0</v>
      </c>
      <c r="BI507" s="21" t="str">
        <f>BE507</f>
        <v>0</v>
      </c>
      <c r="BJ507" s="116"/>
      <c r="BK507" s="21" t="str">
        <f ca="1">_xlfn.FORMULATEXT(BE507)</f>
        <v>=J455</v>
      </c>
      <c r="BL507" s="21" t="str">
        <f ca="1">_xlfn.FORMULATEXT(BE507)</f>
        <v>=J455</v>
      </c>
    </row>
    <row r="508" spans="1:64" ht="14.5">
      <c r="A508" s="64" t="s">
        <v>673</v>
      </c>
      <c r="B508" s="335" t="s">
        <v>1220</v>
      </c>
      <c r="C508" s="292"/>
      <c r="D508" s="292"/>
      <c r="E508" s="292"/>
      <c r="F508" s="292"/>
      <c r="G508" s="292"/>
      <c r="H508" s="292"/>
      <c r="I508" s="292"/>
      <c r="J508" s="64"/>
      <c r="K508" s="64"/>
      <c r="L508" s="64"/>
      <c r="M508" s="64"/>
      <c r="N508" s="64"/>
      <c r="O508" s="64"/>
      <c r="P508" s="64"/>
      <c r="AD508" s="22">
        <f>ROW()</f>
        <v>508</v>
      </c>
      <c r="AE508" s="22"/>
      <c r="AF508" s="22"/>
      <c r="AG508" s="22"/>
      <c r="AH508" s="22"/>
      <c r="AI508" s="22"/>
      <c r="AJ508" s="22"/>
      <c r="AK508" s="22"/>
      <c r="AL508" s="22"/>
      <c r="AM508" s="22"/>
      <c r="AN508" s="22"/>
      <c r="AO508" s="22"/>
      <c r="AP508" s="22"/>
      <c r="BB508" s="21" t="s">
        <v>1221</v>
      </c>
      <c r="BC508" s="21" t="s">
        <v>127</v>
      </c>
      <c r="BD508" s="21" t="b">
        <v>0</v>
      </c>
      <c r="BE508" s="21">
        <f>M455</f>
        <v>0</v>
      </c>
      <c r="BF508" s="21" t="str">
        <f>""&amp;M455</f>
        <v/>
      </c>
      <c r="BG508" s="21" t="b">
        <v>1</v>
      </c>
      <c r="BH508" s="21" t="b">
        <v>0</v>
      </c>
      <c r="BI508" s="21" t="str">
        <f>BE507</f>
        <v>0</v>
      </c>
      <c r="BJ508" s="116"/>
      <c r="BK508" s="21" t="str">
        <f ca="1">_xlfn.FORMULATEXT(BE508)</f>
        <v>=M455</v>
      </c>
      <c r="BL508" s="21" t="str">
        <f ca="1">_xlfn.FORMULATEXT(BE508)</f>
        <v>=M455</v>
      </c>
    </row>
    <row r="509" spans="1:64" ht="14.5">
      <c r="A509" s="64" t="s">
        <v>673</v>
      </c>
      <c r="B509" s="268" t="s">
        <v>625</v>
      </c>
      <c r="C509" s="268"/>
      <c r="D509" s="268"/>
      <c r="E509" s="268" t="s">
        <v>1201</v>
      </c>
      <c r="F509" s="268"/>
      <c r="G509" s="268"/>
      <c r="H509" s="268"/>
      <c r="I509" s="268" t="s">
        <v>1202</v>
      </c>
      <c r="J509" s="268"/>
      <c r="K509" s="268"/>
      <c r="L509" s="267" t="s">
        <v>1222</v>
      </c>
      <c r="M509" s="268"/>
      <c r="N509" s="268"/>
      <c r="O509" s="268"/>
      <c r="P509" s="64"/>
      <c r="AD509" s="22">
        <f>ROW()</f>
        <v>509</v>
      </c>
      <c r="AE509" s="22"/>
      <c r="AF509" s="22"/>
      <c r="AG509" s="22"/>
      <c r="AH509" s="22"/>
      <c r="AI509" s="22"/>
      <c r="AJ509" s="22"/>
      <c r="AK509" s="22"/>
      <c r="AL509" s="22"/>
      <c r="AM509" s="22"/>
      <c r="AN509" s="22"/>
      <c r="AO509" s="22"/>
      <c r="AP509" s="22"/>
      <c r="BB509" s="21" t="s">
        <v>1223</v>
      </c>
      <c r="BC509" s="21" t="s">
        <v>127</v>
      </c>
      <c r="BD509" s="21" t="b">
        <v>1</v>
      </c>
      <c r="BE509" s="21">
        <f>G457</f>
        <v>0</v>
      </c>
      <c r="BF509" s="21" t="str">
        <f>""&amp;G457</f>
        <v/>
      </c>
      <c r="BG509" s="21" t="b">
        <v>1</v>
      </c>
      <c r="BH509" s="21" t="b">
        <v>0</v>
      </c>
      <c r="BJ509" s="116"/>
      <c r="BK509" s="21" t="str">
        <f ca="1">_xlfn.FORMULATEXT(BE509)</f>
        <v>=G457</v>
      </c>
      <c r="BL509" s="21" t="str">
        <f ca="1">_xlfn.FORMULATEXT(BE509)</f>
        <v>=G457</v>
      </c>
    </row>
    <row r="510" spans="1:64" ht="14" customHeight="1">
      <c r="A510" s="64" t="s">
        <v>673</v>
      </c>
      <c r="B510" s="275" t="s">
        <v>1224</v>
      </c>
      <c r="C510" s="275"/>
      <c r="D510" s="275"/>
      <c r="E510" s="491"/>
      <c r="F510" s="491"/>
      <c r="G510" s="491"/>
      <c r="H510" s="491"/>
      <c r="I510" s="491"/>
      <c r="J510" s="491"/>
      <c r="K510" s="491"/>
      <c r="L510" s="491"/>
      <c r="M510" s="491"/>
      <c r="N510" s="491"/>
      <c r="O510" s="491"/>
      <c r="P510" s="64"/>
      <c r="AD510" s="22">
        <f>ROW()</f>
        <v>510</v>
      </c>
      <c r="AE510" s="22"/>
      <c r="AF510" s="22"/>
      <c r="AG510" s="22"/>
      <c r="AH510" s="22"/>
      <c r="AI510" s="22"/>
      <c r="AJ510" s="22"/>
      <c r="AK510" s="22"/>
      <c r="AL510" s="22"/>
      <c r="AM510" s="22"/>
      <c r="AN510" s="22"/>
      <c r="AO510" s="22"/>
      <c r="AP510" s="22"/>
      <c r="BB510" s="21" t="s">
        <v>1225</v>
      </c>
      <c r="BC510" s="21" t="s">
        <v>127</v>
      </c>
      <c r="BD510" s="21" t="b">
        <v>1</v>
      </c>
      <c r="BE510" s="116" t="str">
        <f>J457</f>
        <v/>
      </c>
      <c r="BF510" s="21" t="str">
        <f>""&amp;J457</f>
        <v/>
      </c>
      <c r="BG510" s="21" t="b">
        <v>1</v>
      </c>
      <c r="BH510" s="21" t="b">
        <v>0</v>
      </c>
      <c r="BI510" s="21" t="str">
        <f>BE510</f>
        <v/>
      </c>
      <c r="BJ510" s="116"/>
      <c r="BK510" s="21" t="str">
        <f ca="1">_xlfn.FORMULATEXT(BE510)</f>
        <v>=J457</v>
      </c>
      <c r="BL510" s="21" t="str">
        <f ca="1">_xlfn.FORMULATEXT(BE510)</f>
        <v>=J457</v>
      </c>
    </row>
    <row r="511" spans="1:64" ht="14.5">
      <c r="A511" s="64" t="s">
        <v>673</v>
      </c>
      <c r="B511" s="275" t="s">
        <v>1226</v>
      </c>
      <c r="C511" s="275"/>
      <c r="D511" s="275"/>
      <c r="E511" s="439"/>
      <c r="F511" s="438"/>
      <c r="G511" s="438"/>
      <c r="H511" s="409"/>
      <c r="I511" s="439" t="s">
        <v>450</v>
      </c>
      <c r="J511" s="438"/>
      <c r="K511" s="409"/>
      <c r="L511" s="445"/>
      <c r="M511" s="444"/>
      <c r="N511" s="444"/>
      <c r="O511" s="415"/>
      <c r="P511" s="64"/>
      <c r="AD511" s="22">
        <f>ROW()</f>
        <v>511</v>
      </c>
      <c r="AE511" s="22"/>
      <c r="AF511" s="22"/>
      <c r="AG511" s="22"/>
      <c r="AH511" s="22"/>
      <c r="AI511" s="22"/>
      <c r="AJ511" s="22"/>
      <c r="AK511" s="22"/>
      <c r="AL511" s="22"/>
      <c r="AM511" s="22"/>
      <c r="AN511" s="22"/>
      <c r="AO511" s="22"/>
      <c r="AP511" s="22"/>
      <c r="BB511" s="21" t="s">
        <v>1227</v>
      </c>
      <c r="BC511" s="21" t="s">
        <v>127</v>
      </c>
      <c r="BD511" s="21" t="b">
        <v>0</v>
      </c>
      <c r="BE511" s="21">
        <f>M457</f>
        <v>0</v>
      </c>
      <c r="BF511" s="21" t="str">
        <f>""&amp;M457</f>
        <v/>
      </c>
      <c r="BG511" s="21" t="b">
        <v>1</v>
      </c>
      <c r="BH511" s="21" t="b">
        <v>0</v>
      </c>
      <c r="BI511" s="21" t="str">
        <f>BE510</f>
        <v/>
      </c>
      <c r="BJ511" s="116"/>
      <c r="BK511" s="21" t="str">
        <f ca="1">_xlfn.FORMULATEXT(BE511)</f>
        <v>=M457</v>
      </c>
      <c r="BL511" s="21" t="str">
        <f ca="1">_xlfn.FORMULATEXT(BE511)</f>
        <v>=M457</v>
      </c>
    </row>
    <row r="512" spans="1:64" ht="29.75" customHeight="1">
      <c r="A512" s="64" t="s">
        <v>673</v>
      </c>
      <c r="B512" s="281" t="s">
        <v>1228</v>
      </c>
      <c r="C512" s="275"/>
      <c r="D512" s="275"/>
      <c r="E512" s="502"/>
      <c r="F512" s="501"/>
      <c r="G512" s="501"/>
      <c r="H512" s="503"/>
      <c r="I512" s="439" t="s">
        <v>450</v>
      </c>
      <c r="J512" s="438"/>
      <c r="K512" s="409"/>
      <c r="L512" s="445"/>
      <c r="M512" s="444"/>
      <c r="N512" s="444"/>
      <c r="O512" s="415"/>
      <c r="P512" s="64"/>
      <c r="AD512" s="22">
        <f>ROW()</f>
        <v>512</v>
      </c>
      <c r="AE512" s="22"/>
      <c r="AF512" s="22"/>
      <c r="AG512" s="22"/>
      <c r="AH512" s="22"/>
      <c r="AI512" s="22"/>
      <c r="AJ512" s="22"/>
      <c r="AK512" s="22"/>
      <c r="AL512" s="22"/>
      <c r="AM512" s="22"/>
      <c r="AN512" s="22"/>
      <c r="AO512" s="22"/>
      <c r="AP512" s="22"/>
      <c r="BB512" s="21" t="s">
        <v>1229</v>
      </c>
      <c r="BC512" s="21" t="s">
        <v>127</v>
      </c>
      <c r="BD512" s="21" t="b">
        <v>1</v>
      </c>
      <c r="BE512" s="21">
        <f>G458</f>
        <v>0</v>
      </c>
      <c r="BF512" s="21" t="str">
        <f>""&amp;G458</f>
        <v/>
      </c>
      <c r="BG512" s="21" t="b">
        <v>1</v>
      </c>
      <c r="BH512" s="21" t="b">
        <v>0</v>
      </c>
      <c r="BK512" s="21" t="str">
        <f ca="1">_xlfn.FORMULATEXT(BE512)</f>
        <v>=G458</v>
      </c>
      <c r="BL512" s="21" t="str">
        <f ca="1">_xlfn.FORMULATEXT(BE512)</f>
        <v>=G458</v>
      </c>
    </row>
    <row r="513" spans="1:64" ht="14.5">
      <c r="A513" s="64" t="s">
        <v>673</v>
      </c>
      <c r="B513" s="275" t="s">
        <v>1230</v>
      </c>
      <c r="C513" s="275"/>
      <c r="D513" s="275"/>
      <c r="E513" s="439"/>
      <c r="F513" s="438"/>
      <c r="G513" s="438"/>
      <c r="H513" s="409"/>
      <c r="I513" s="439" t="s">
        <v>450</v>
      </c>
      <c r="J513" s="438"/>
      <c r="K513" s="409"/>
      <c r="L513" s="445"/>
      <c r="M513" s="444"/>
      <c r="N513" s="444"/>
      <c r="O513" s="415"/>
      <c r="P513" s="64"/>
      <c r="AD513" s="22">
        <f>ROW()</f>
        <v>513</v>
      </c>
      <c r="AE513" s="22"/>
      <c r="AF513" s="22"/>
      <c r="AG513" s="22"/>
      <c r="AH513" s="22"/>
      <c r="AI513" s="22"/>
      <c r="AJ513" s="22"/>
      <c r="AK513" s="22"/>
      <c r="AL513" s="22"/>
      <c r="AM513" s="22"/>
      <c r="AN513" s="22"/>
      <c r="AO513" s="22"/>
      <c r="AP513" s="22"/>
      <c r="BB513" s="21" t="s">
        <v>1231</v>
      </c>
      <c r="BC513" s="21" t="s">
        <v>127</v>
      </c>
      <c r="BD513" s="21" t="b">
        <v>1</v>
      </c>
      <c r="BE513" s="21" t="str">
        <f>J458</f>
        <v/>
      </c>
      <c r="BF513" s="21" t="str">
        <f>""&amp;J458</f>
        <v/>
      </c>
      <c r="BG513" s="21" t="b">
        <v>1</v>
      </c>
      <c r="BH513" s="21" t="b">
        <v>0</v>
      </c>
      <c r="BI513" s="21" t="str">
        <f>BE513</f>
        <v/>
      </c>
      <c r="BK513" s="21" t="str">
        <f ca="1">_xlfn.FORMULATEXT(BE513)</f>
        <v>=J458</v>
      </c>
      <c r="BL513" s="21" t="str">
        <f ca="1">_xlfn.FORMULATEXT(BE513)</f>
        <v>=J458</v>
      </c>
    </row>
    <row r="514" spans="1:64" ht="14.5">
      <c r="A514" s="64" t="s">
        <v>673</v>
      </c>
      <c r="B514" s="275" t="s">
        <v>1232</v>
      </c>
      <c r="C514" s="275"/>
      <c r="D514" s="275"/>
      <c r="E514" s="491"/>
      <c r="F514" s="491"/>
      <c r="G514" s="491"/>
      <c r="H514" s="491"/>
      <c r="I514" s="491"/>
      <c r="J514" s="491"/>
      <c r="K514" s="491"/>
      <c r="L514" s="491"/>
      <c r="M514" s="491"/>
      <c r="N514" s="491"/>
      <c r="O514" s="491"/>
      <c r="P514" s="64"/>
      <c r="AD514" s="22">
        <f>ROW()</f>
        <v>514</v>
      </c>
      <c r="AE514" s="22"/>
      <c r="AF514" s="22"/>
      <c r="AG514" s="22"/>
      <c r="AH514" s="22"/>
      <c r="AI514" s="22"/>
      <c r="AJ514" s="22"/>
      <c r="AK514" s="22"/>
      <c r="AL514" s="22"/>
      <c r="AM514" s="22"/>
      <c r="AN514" s="22"/>
      <c r="AO514" s="22"/>
      <c r="AP514" s="22"/>
      <c r="BB514" s="21" t="s">
        <v>1233</v>
      </c>
      <c r="BC514" s="21" t="s">
        <v>127</v>
      </c>
      <c r="BD514" s="21" t="b">
        <v>0</v>
      </c>
      <c r="BE514" s="21">
        <f>M458</f>
        <v>0</v>
      </c>
      <c r="BF514" s="21" t="str">
        <f>""&amp;M458</f>
        <v/>
      </c>
      <c r="BG514" s="21" t="b">
        <v>1</v>
      </c>
      <c r="BH514" s="21" t="b">
        <v>0</v>
      </c>
      <c r="BI514" s="21" t="str">
        <f>BE513</f>
        <v/>
      </c>
      <c r="BK514" s="21" t="str">
        <f ca="1">_xlfn.FORMULATEXT(BE514)</f>
        <v>=M458</v>
      </c>
      <c r="BL514" s="21" t="str">
        <f ca="1">_xlfn.FORMULATEXT(BE514)</f>
        <v>=M458</v>
      </c>
    </row>
    <row r="515" spans="1:70" ht="14.5">
      <c r="A515" s="64" t="s">
        <v>673</v>
      </c>
      <c r="B515" s="275" t="s">
        <v>1234</v>
      </c>
      <c r="C515" s="275"/>
      <c r="D515" s="275"/>
      <c r="E515" s="439"/>
      <c r="F515" s="438"/>
      <c r="G515" s="438"/>
      <c r="H515" s="409"/>
      <c r="I515" s="439" t="s">
        <v>450</v>
      </c>
      <c r="J515" s="438"/>
      <c r="K515" s="409"/>
      <c r="L515" s="414"/>
      <c r="M515" s="414"/>
      <c r="N515" s="414"/>
      <c r="O515" s="506"/>
      <c r="P515" s="64"/>
      <c r="AD515" s="22">
        <f>ROW()</f>
        <v>515</v>
      </c>
      <c r="AE515" s="22"/>
      <c r="AF515" s="22"/>
      <c r="AG515" s="22"/>
      <c r="AH515" s="22"/>
      <c r="AI515" s="22"/>
      <c r="AJ515" s="22"/>
      <c r="AK515" s="22"/>
      <c r="AL515" s="22"/>
      <c r="AM515" s="22"/>
      <c r="AN515" s="22"/>
      <c r="AO515" s="22"/>
      <c r="AP515" s="22"/>
      <c r="BA515" s="116"/>
      <c r="BB515" s="21" t="s">
        <v>1235</v>
      </c>
      <c r="BC515" s="21" t="s">
        <v>127</v>
      </c>
      <c r="BD515" s="21" t="b">
        <v>1</v>
      </c>
      <c r="BE515" s="21">
        <f>G459</f>
        <v>0</v>
      </c>
      <c r="BF515" s="21" t="str">
        <f>""&amp;G459</f>
        <v/>
      </c>
      <c r="BG515" s="21" t="b">
        <v>1</v>
      </c>
      <c r="BH515" s="21" t="b">
        <v>0</v>
      </c>
      <c r="BK515" s="21" t="str">
        <f ca="1">_xlfn.FORMULATEXT(BE515)</f>
        <v>=G459</v>
      </c>
      <c r="BL515" s="21" t="str">
        <f ca="1">_xlfn.FORMULATEXT(BE515)</f>
        <v>=G459</v>
      </c>
      <c r="BR515" s="261"/>
    </row>
    <row r="516" spans="1:64" ht="14.5">
      <c r="A516" s="64" t="s">
        <v>673</v>
      </c>
      <c r="B516" s="275" t="s">
        <v>1236</v>
      </c>
      <c r="C516" s="275"/>
      <c r="D516" s="275"/>
      <c r="E516" s="439"/>
      <c r="F516" s="438"/>
      <c r="G516" s="438"/>
      <c r="H516" s="409"/>
      <c r="I516" s="439" t="s">
        <v>450</v>
      </c>
      <c r="J516" s="438"/>
      <c r="K516" s="409"/>
      <c r="L516" s="414"/>
      <c r="M516" s="414"/>
      <c r="N516" s="414"/>
      <c r="O516" s="506"/>
      <c r="P516" s="64"/>
      <c r="AD516" s="22">
        <f>ROW()</f>
        <v>516</v>
      </c>
      <c r="AE516" s="22"/>
      <c r="AF516" s="22"/>
      <c r="AG516" s="22"/>
      <c r="AH516" s="22"/>
      <c r="AI516" s="22"/>
      <c r="AJ516" s="22"/>
      <c r="AK516" s="22"/>
      <c r="AL516" s="22"/>
      <c r="AM516" s="22"/>
      <c r="AN516" s="22"/>
      <c r="AO516" s="22"/>
      <c r="AP516" s="22"/>
      <c r="BA516" s="116"/>
      <c r="BB516" s="21" t="s">
        <v>1237</v>
      </c>
      <c r="BC516" s="21" t="s">
        <v>127</v>
      </c>
      <c r="BD516" s="21" t="b">
        <v>1</v>
      </c>
      <c r="BE516" s="21" t="str">
        <f>J459</f>
        <v/>
      </c>
      <c r="BF516" s="21" t="str">
        <f>""&amp;J459</f>
        <v/>
      </c>
      <c r="BG516" s="21" t="b">
        <v>1</v>
      </c>
      <c r="BH516" s="21" t="b">
        <v>0</v>
      </c>
      <c r="BI516" s="21" t="str">
        <f>BE516</f>
        <v/>
      </c>
      <c r="BK516" s="21" t="str">
        <f ca="1">_xlfn.FORMULATEXT(BE516)</f>
        <v>=J459</v>
      </c>
      <c r="BL516" s="21" t="str">
        <f ca="1">_xlfn.FORMULATEXT(BE516)</f>
        <v>=J459</v>
      </c>
    </row>
    <row r="517" spans="1:69" ht="14.4" customHeight="1">
      <c r="A517" s="64" t="s">
        <v>673</v>
      </c>
      <c r="B517" s="282" t="s">
        <v>1238</v>
      </c>
      <c r="C517" s="240"/>
      <c r="D517" s="240"/>
      <c r="E517" s="439"/>
      <c r="F517" s="438"/>
      <c r="G517" s="438"/>
      <c r="H517" s="409"/>
      <c r="I517" s="439" t="s">
        <v>450</v>
      </c>
      <c r="J517" s="438"/>
      <c r="K517" s="409"/>
      <c r="L517" s="414"/>
      <c r="M517" s="414"/>
      <c r="N517" s="414"/>
      <c r="O517" s="506"/>
      <c r="P517" s="64"/>
      <c r="AD517" s="22">
        <f>ROW()</f>
        <v>517</v>
      </c>
      <c r="AE517" s="22"/>
      <c r="AF517" s="22"/>
      <c r="AG517" s="22"/>
      <c r="AH517" s="22"/>
      <c r="AI517" s="22"/>
      <c r="AJ517" s="22"/>
      <c r="AK517" s="22"/>
      <c r="AL517" s="22"/>
      <c r="AM517" s="22"/>
      <c r="AN517" s="22"/>
      <c r="AO517" s="22"/>
      <c r="AP517" s="22"/>
      <c r="BA517" s="116"/>
      <c r="BB517" s="21" t="s">
        <v>1239</v>
      </c>
      <c r="BC517" s="21" t="s">
        <v>127</v>
      </c>
      <c r="BD517" s="21" t="b">
        <v>0</v>
      </c>
      <c r="BE517" s="21">
        <f>M459</f>
        <v>0</v>
      </c>
      <c r="BF517" s="21" t="str">
        <f>""&amp;M459</f>
        <v/>
      </c>
      <c r="BG517" s="21" t="b">
        <v>1</v>
      </c>
      <c r="BH517" s="21" t="b">
        <v>0</v>
      </c>
      <c r="BI517" s="21" t="str">
        <f>BE516</f>
        <v/>
      </c>
      <c r="BK517" s="21" t="str">
        <f ca="1">_xlfn.FORMULATEXT(BE517)</f>
        <v>=M459</v>
      </c>
      <c r="BL517" s="21" t="str">
        <f ca="1">_xlfn.FORMULATEXT(BE517)</f>
        <v>=M459</v>
      </c>
      <c r="BO517" s="261"/>
      <c r="BP517" s="261"/>
      <c r="BQ517" s="261"/>
    </row>
    <row r="518" spans="1:64" ht="14.5">
      <c r="A518" s="64" t="s">
        <v>673</v>
      </c>
      <c r="B518" s="275" t="s">
        <v>1240</v>
      </c>
      <c r="C518" s="275"/>
      <c r="D518" s="275"/>
      <c r="E518" s="439"/>
      <c r="F518" s="438"/>
      <c r="G518" s="438"/>
      <c r="H518" s="409"/>
      <c r="I518" s="439" t="s">
        <v>450</v>
      </c>
      <c r="J518" s="438"/>
      <c r="K518" s="409"/>
      <c r="L518" s="414"/>
      <c r="M518" s="414"/>
      <c r="N518" s="414"/>
      <c r="O518" s="506"/>
      <c r="P518" s="64"/>
      <c r="AD518" s="22">
        <f>ROW()</f>
        <v>518</v>
      </c>
      <c r="AE518" s="22"/>
      <c r="AF518" s="22"/>
      <c r="AG518" s="22"/>
      <c r="AH518" s="22"/>
      <c r="AI518" s="22"/>
      <c r="AJ518" s="22"/>
      <c r="AK518" s="22"/>
      <c r="AL518" s="22"/>
      <c r="AM518" s="22"/>
      <c r="AN518" s="22"/>
      <c r="AO518" s="22"/>
      <c r="AP518" s="22"/>
      <c r="BA518" s="116"/>
      <c r="BB518" s="21" t="s">
        <v>1241</v>
      </c>
      <c r="BC518" s="21" t="s">
        <v>127</v>
      </c>
      <c r="BD518" s="21" t="b">
        <v>1</v>
      </c>
      <c r="BE518" s="21">
        <f>G460</f>
        <v>0</v>
      </c>
      <c r="BF518" s="21" t="str">
        <f>""&amp;G460</f>
        <v/>
      </c>
      <c r="BG518" s="21" t="b">
        <v>1</v>
      </c>
      <c r="BH518" s="21" t="b">
        <v>0</v>
      </c>
      <c r="BK518" s="21" t="str">
        <f ca="1">_xlfn.FORMULATEXT(BE518)</f>
        <v>=G460</v>
      </c>
      <c r="BL518" s="21" t="str">
        <f ca="1">_xlfn.FORMULATEXT(BE518)</f>
        <v>=G460</v>
      </c>
    </row>
    <row r="519" spans="1:64" ht="14.5">
      <c r="A519" s="64" t="s">
        <v>673</v>
      </c>
      <c r="B519" s="275" t="s">
        <v>1242</v>
      </c>
      <c r="C519" s="275"/>
      <c r="D519" s="275"/>
      <c r="E519" s="439"/>
      <c r="F519" s="438"/>
      <c r="G519" s="438"/>
      <c r="H519" s="409"/>
      <c r="I519" s="439" t="s">
        <v>450</v>
      </c>
      <c r="J519" s="438"/>
      <c r="K519" s="409"/>
      <c r="L519" s="414"/>
      <c r="M519" s="414"/>
      <c r="N519" s="414"/>
      <c r="O519" s="506"/>
      <c r="P519" s="64"/>
      <c r="AD519" s="22">
        <f>ROW()</f>
        <v>519</v>
      </c>
      <c r="AE519" s="22"/>
      <c r="AF519" s="22"/>
      <c r="AG519" s="22"/>
      <c r="AH519" s="22"/>
      <c r="AI519" s="22"/>
      <c r="AJ519" s="22"/>
      <c r="AK519" s="22"/>
      <c r="AL519" s="22"/>
      <c r="AM519" s="22"/>
      <c r="AN519" s="22"/>
      <c r="AO519" s="22"/>
      <c r="AP519" s="22"/>
      <c r="BA519" s="116"/>
      <c r="BB519" s="21" t="s">
        <v>1243</v>
      </c>
      <c r="BC519" s="21" t="s">
        <v>127</v>
      </c>
      <c r="BD519" s="21" t="b">
        <v>1</v>
      </c>
      <c r="BE519" s="64" t="str">
        <f>J460</f>
        <v/>
      </c>
      <c r="BF519" s="21" t="str">
        <f>""&amp;J460</f>
        <v/>
      </c>
      <c r="BG519" s="21" t="b">
        <v>1</v>
      </c>
      <c r="BH519" s="21" t="b">
        <v>0</v>
      </c>
      <c r="BI519" s="21" t="str">
        <f>BE519</f>
        <v/>
      </c>
      <c r="BK519" s="21" t="str">
        <f ca="1">_xlfn.FORMULATEXT(BE519)</f>
        <v>=J460</v>
      </c>
      <c r="BL519" s="21" t="str">
        <f ca="1">_xlfn.FORMULATEXT(BE519)</f>
        <v>=J460</v>
      </c>
    </row>
    <row r="520" spans="1:64" ht="14.5">
      <c r="A520" s="64" t="s">
        <v>673</v>
      </c>
      <c r="B520" s="275" t="s">
        <v>1244</v>
      </c>
      <c r="C520" s="275"/>
      <c r="D520" s="275"/>
      <c r="E520" s="439"/>
      <c r="F520" s="438"/>
      <c r="G520" s="438"/>
      <c r="H520" s="409"/>
      <c r="I520" s="439" t="s">
        <v>450</v>
      </c>
      <c r="J520" s="438"/>
      <c r="K520" s="409"/>
      <c r="L520" s="414"/>
      <c r="M520" s="414"/>
      <c r="N520" s="414"/>
      <c r="O520" s="506"/>
      <c r="P520" s="64"/>
      <c r="AD520" s="22">
        <f>ROW()</f>
        <v>520</v>
      </c>
      <c r="AE520" s="22"/>
      <c r="AF520" s="22"/>
      <c r="AG520" s="22"/>
      <c r="AH520" s="22"/>
      <c r="AI520" s="22"/>
      <c r="AJ520" s="22"/>
      <c r="AK520" s="22"/>
      <c r="AL520" s="22"/>
      <c r="AM520" s="22"/>
      <c r="AN520" s="22"/>
      <c r="AO520" s="22"/>
      <c r="AP520" s="22"/>
      <c r="BA520" s="116"/>
      <c r="BB520" s="21" t="s">
        <v>1245</v>
      </c>
      <c r="BC520" s="21" t="s">
        <v>127</v>
      </c>
      <c r="BD520" s="21" t="b">
        <v>0</v>
      </c>
      <c r="BE520" s="21">
        <f>M460</f>
        <v>0</v>
      </c>
      <c r="BF520" s="21" t="str">
        <f>""&amp;M460</f>
        <v/>
      </c>
      <c r="BG520" s="21" t="b">
        <v>1</v>
      </c>
      <c r="BH520" s="21" t="b">
        <v>0</v>
      </c>
      <c r="BI520" s="21" t="str">
        <f>BE519</f>
        <v/>
      </c>
      <c r="BK520" s="21" t="str">
        <f ca="1">_xlfn.FORMULATEXT(BE520)</f>
        <v>=M460</v>
      </c>
      <c r="BL520" s="21" t="str">
        <f ca="1">_xlfn.FORMULATEXT(BE520)</f>
        <v>=M460</v>
      </c>
    </row>
    <row r="521" spans="1:64" ht="14.5">
      <c r="A521" s="64" t="s">
        <v>673</v>
      </c>
      <c r="B521" s="281" t="s">
        <v>1246</v>
      </c>
      <c r="C521" s="275"/>
      <c r="D521" s="275"/>
      <c r="E521" s="628" t="str" cm="1">
        <f t="array" ref="E521">TEXT(SUM(_xlfn.NUMBERVALUE(E511:H513),_xlfn.NUMBERVALUE(E515:H520)),"0.00")</f>
        <v>0.00</v>
      </c>
      <c r="F521" s="627"/>
      <c r="G521" s="627"/>
      <c r="H521" s="624"/>
      <c r="I521" s="653" t="str" cm="1">
        <f t="array" ref="I521">TEXT(SUM(_xlfn.NUMBERVALUE(I511:K513),_xlfn.NUMBERVALUE(I515:K520)),"0.00")</f>
        <v>0.00</v>
      </c>
      <c r="J521" s="652"/>
      <c r="K521" s="654"/>
      <c r="L521" s="414"/>
      <c r="M521" s="413"/>
      <c r="N521" s="413"/>
      <c r="O521" s="415"/>
      <c r="P521" s="64"/>
      <c r="AD521" s="22">
        <f>ROW()</f>
        <v>521</v>
      </c>
      <c r="AE521" s="22"/>
      <c r="AF521" s="22"/>
      <c r="AG521" s="22"/>
      <c r="AH521" s="22"/>
      <c r="AI521" s="22"/>
      <c r="AJ521" s="22"/>
      <c r="AK521" s="22"/>
      <c r="AL521" s="22"/>
      <c r="AM521" s="22"/>
      <c r="AN521" s="22"/>
      <c r="AO521" s="22"/>
      <c r="AP521" s="22"/>
      <c r="BA521" s="116"/>
      <c r="BB521" s="21" t="s">
        <v>1247</v>
      </c>
      <c r="BC521" s="21" t="s">
        <v>127</v>
      </c>
      <c r="BD521" s="21" t="b">
        <v>1</v>
      </c>
      <c r="BE521" s="21" t="str">
        <f>G461</f>
        <v>0.00</v>
      </c>
      <c r="BF521" s="21" t="str">
        <f>""&amp;G461</f>
        <v>0.00</v>
      </c>
      <c r="BG521" s="21" t="b">
        <v>0</v>
      </c>
      <c r="BH521" s="21" t="b">
        <v>0</v>
      </c>
      <c r="BK521" s="21" t="str">
        <f ca="1">_xlfn.FORMULATEXT(BE521)</f>
        <v>=G461</v>
      </c>
      <c r="BL521" s="21" t="str">
        <f ca="1">_xlfn.FORMULATEXT(BE521)</f>
        <v>=G461</v>
      </c>
    </row>
    <row r="522" spans="1:66" ht="14.5">
      <c r="A522" s="64" t="s">
        <v>673</v>
      </c>
      <c r="B522" s="64"/>
      <c r="C522" s="64"/>
      <c r="D522" s="64"/>
      <c r="E522" s="64"/>
      <c r="F522" s="64"/>
      <c r="G522" s="64"/>
      <c r="H522" s="64"/>
      <c r="I522" s="64"/>
      <c r="J522" s="64"/>
      <c r="K522" s="64"/>
      <c r="L522" s="64"/>
      <c r="M522" s="64"/>
      <c r="N522" s="64"/>
      <c r="O522" s="64"/>
      <c r="P522" s="64"/>
      <c r="AD522" s="22">
        <f>ROW()</f>
        <v>522</v>
      </c>
      <c r="AE522" s="22"/>
      <c r="AF522" s="22"/>
      <c r="AG522" s="22"/>
      <c r="AH522" s="22"/>
      <c r="AI522" s="22"/>
      <c r="AJ522" s="22"/>
      <c r="AK522" s="22"/>
      <c r="AL522" s="22"/>
      <c r="AM522" s="22"/>
      <c r="AN522" s="22"/>
      <c r="AO522" s="22"/>
      <c r="AP522" s="22"/>
      <c r="BA522" s="116"/>
      <c r="BB522" s="21" t="s">
        <v>1248</v>
      </c>
      <c r="BC522" s="21" t="s">
        <v>127</v>
      </c>
      <c r="BD522" s="21" t="b">
        <v>1</v>
      </c>
      <c r="BE522" s="21" t="str">
        <f>J461</f>
        <v>0.00</v>
      </c>
      <c r="BF522" s="21" t="str">
        <f>""&amp;J461</f>
        <v>0.00</v>
      </c>
      <c r="BG522" s="21" t="b">
        <v>0</v>
      </c>
      <c r="BH522" s="21" t="b">
        <v>0</v>
      </c>
      <c r="BI522" s="21" t="str">
        <f>BE522</f>
        <v>0.00</v>
      </c>
      <c r="BK522" s="21" t="str">
        <f ca="1">_xlfn.FORMULATEXT(BE522)</f>
        <v>=J461</v>
      </c>
      <c r="BL522" s="21" t="str">
        <f ca="1">_xlfn.FORMULATEXT(BE522)</f>
        <v>=J461</v>
      </c>
      <c r="BN522" s="261"/>
    </row>
    <row r="523" spans="1:64" ht="14.5">
      <c r="A523" s="64" t="s">
        <v>673</v>
      </c>
      <c r="B523" s="158" t="s">
        <v>1250</v>
      </c>
      <c r="C523" s="158"/>
      <c r="D523" s="158"/>
      <c r="E523" s="158"/>
      <c r="F523" s="158"/>
      <c r="G523" s="158"/>
      <c r="H523" s="158"/>
      <c r="I523" s="158"/>
      <c r="J523" s="158"/>
      <c r="K523" s="158"/>
      <c r="L523" s="158"/>
      <c r="M523" s="467"/>
      <c r="N523" s="467"/>
      <c r="O523" s="467"/>
      <c r="P523" s="64"/>
      <c r="AD523" s="22">
        <f>ROW()</f>
        <v>523</v>
      </c>
      <c r="AE523" s="22"/>
      <c r="AF523" s="22"/>
      <c r="AG523" s="22"/>
      <c r="AH523" s="22"/>
      <c r="AI523" s="22"/>
      <c r="AJ523" s="22"/>
      <c r="AK523" s="22"/>
      <c r="AL523" s="22"/>
      <c r="AM523" s="22"/>
      <c r="AN523" s="22"/>
      <c r="AO523" s="22"/>
      <c r="AP523" s="22"/>
      <c r="BB523" s="21" t="s">
        <v>1251</v>
      </c>
      <c r="BC523" s="21" t="s">
        <v>127</v>
      </c>
      <c r="BD523" s="21" t="b">
        <v>0</v>
      </c>
      <c r="BE523" s="21">
        <f>M461</f>
        <v>0</v>
      </c>
      <c r="BF523" s="21" t="str">
        <f>""&amp;M461</f>
        <v/>
      </c>
      <c r="BG523" s="21" t="b">
        <v>1</v>
      </c>
      <c r="BH523" s="21" t="b">
        <v>0</v>
      </c>
      <c r="BI523" s="21" t="str">
        <f>BE522</f>
        <v>0.00</v>
      </c>
      <c r="BK523" s="21" t="str">
        <f ca="1">_xlfn.FORMULATEXT(BE523)</f>
        <v>=M461</v>
      </c>
      <c r="BL523" s="21" t="str">
        <f ca="1">_xlfn.FORMULATEXT(BE523)</f>
        <v>=M461</v>
      </c>
    </row>
    <row r="524" spans="1:64" ht="14.5">
      <c r="A524" s="64" t="s">
        <v>673</v>
      </c>
      <c r="B524" s="266">
        <v>1</v>
      </c>
      <c r="C524" s="275" t="s">
        <v>1252</v>
      </c>
      <c r="D524" s="275"/>
      <c r="E524" s="275"/>
      <c r="F524" s="275"/>
      <c r="G524" s="275"/>
      <c r="H524" s="275"/>
      <c r="I524" s="275"/>
      <c r="J524" s="275"/>
      <c r="K524" s="275"/>
      <c r="L524" s="275"/>
      <c r="M524" s="510"/>
      <c r="N524" s="509"/>
      <c r="O524" s="511"/>
      <c r="P524" s="64"/>
      <c r="Q524" s="261"/>
      <c r="AD524" s="22">
        <f>ROW()</f>
        <v>524</v>
      </c>
      <c r="AE524" s="22"/>
      <c r="AF524" s="22"/>
      <c r="AG524" s="22"/>
      <c r="AH524" s="22"/>
      <c r="AI524" s="22"/>
      <c r="AJ524" s="22"/>
      <c r="AK524" s="22"/>
      <c r="AL524" s="22"/>
      <c r="AM524" s="22"/>
      <c r="AN524" s="22"/>
      <c r="AO524" s="22"/>
      <c r="AP524" s="22"/>
      <c r="BB524" s="21" t="s">
        <v>1253</v>
      </c>
      <c r="BC524" s="21" t="s">
        <v>127</v>
      </c>
      <c r="BD524" s="21" t="b">
        <v>1</v>
      </c>
      <c r="BE524" s="21">
        <f>G463</f>
        <v>0</v>
      </c>
      <c r="BF524" s="21" t="str">
        <f>""&amp;G463</f>
        <v/>
      </c>
      <c r="BG524" s="21" t="b">
        <v>1</v>
      </c>
      <c r="BH524" s="21" t="b">
        <v>0</v>
      </c>
      <c r="BK524" s="21" t="str">
        <f ca="1">_xlfn.FORMULATEXT(BE524)</f>
        <v>=G463</v>
      </c>
      <c r="BL524" s="21" t="str">
        <f ca="1">_xlfn.FORMULATEXT(BE524)</f>
        <v>=G463</v>
      </c>
    </row>
    <row r="525" spans="1:64" ht="14.5">
      <c r="A525" s="64" t="s">
        <v>673</v>
      </c>
      <c r="B525" s="266"/>
      <c r="C525" s="275" t="s">
        <v>1254</v>
      </c>
      <c r="D525" s="275"/>
      <c r="E525" s="275"/>
      <c r="F525" s="275"/>
      <c r="G525" s="275"/>
      <c r="H525" s="275"/>
      <c r="I525" s="275"/>
      <c r="J525" s="275"/>
      <c r="K525" s="275"/>
      <c r="L525" s="275"/>
      <c r="M525" s="515"/>
      <c r="N525" s="514"/>
      <c r="O525" s="511"/>
      <c r="P525" s="64"/>
      <c r="AD525" s="22">
        <f>ROW()</f>
        <v>525</v>
      </c>
      <c r="AE525" s="22"/>
      <c r="AF525" s="22"/>
      <c r="AG525" s="22"/>
      <c r="AH525" s="22"/>
      <c r="AI525" s="22"/>
      <c r="AJ525" s="22"/>
      <c r="AK525" s="22"/>
      <c r="AL525" s="22"/>
      <c r="AM525" s="22"/>
      <c r="AN525" s="22"/>
      <c r="AO525" s="22"/>
      <c r="AP525" s="22"/>
      <c r="BB525" s="21" t="s">
        <v>1255</v>
      </c>
      <c r="BC525" s="21" t="s">
        <v>127</v>
      </c>
      <c r="BD525" s="21" t="b">
        <v>1</v>
      </c>
      <c r="BE525" s="21" t="str">
        <f>J463</f>
        <v>0</v>
      </c>
      <c r="BF525" s="21" t="str">
        <f>""&amp;J463</f>
        <v>0</v>
      </c>
      <c r="BG525" s="21" t="b">
        <v>1</v>
      </c>
      <c r="BH525" s="21" t="b">
        <v>0</v>
      </c>
      <c r="BI525" s="21" t="str">
        <f>BE525</f>
        <v>0</v>
      </c>
      <c r="BK525" s="21" t="str">
        <f ca="1">_xlfn.FORMULATEXT(BE525)</f>
        <v>=J463</v>
      </c>
      <c r="BL525" s="21" t="str">
        <f ca="1">_xlfn.FORMULATEXT(BE525)</f>
        <v>=J463</v>
      </c>
    </row>
    <row r="526" spans="1:64" ht="14.5">
      <c r="A526" s="64" t="s">
        <v>673</v>
      </c>
      <c r="B526" s="266">
        <v>2</v>
      </c>
      <c r="C526" s="278" t="s">
        <v>1256</v>
      </c>
      <c r="D526" s="279"/>
      <c r="E526" s="279"/>
      <c r="F526" s="279"/>
      <c r="G526" s="279"/>
      <c r="H526" s="279"/>
      <c r="I526" s="279"/>
      <c r="J526" s="279"/>
      <c r="K526" s="279"/>
      <c r="L526" s="279"/>
      <c r="M526" s="518"/>
      <c r="N526" s="518"/>
      <c r="O526" s="519"/>
      <c r="P526" s="64"/>
      <c r="AD526" s="22">
        <f>ROW()</f>
        <v>526</v>
      </c>
      <c r="AE526" s="22"/>
      <c r="AF526" s="22"/>
      <c r="AG526" s="22"/>
      <c r="AH526" s="22"/>
      <c r="AI526" s="22"/>
      <c r="AJ526" s="22"/>
      <c r="AK526" s="22"/>
      <c r="AL526" s="22"/>
      <c r="AM526" s="22"/>
      <c r="AN526" s="22"/>
      <c r="AO526" s="22"/>
      <c r="AP526" s="22"/>
      <c r="BB526" s="21" t="s">
        <v>1257</v>
      </c>
      <c r="BC526" s="21" t="s">
        <v>127</v>
      </c>
      <c r="BD526" s="21" t="b">
        <v>0</v>
      </c>
      <c r="BE526" s="21">
        <f>M463</f>
        <v>0</v>
      </c>
      <c r="BF526" s="21" t="str">
        <f>""&amp;M463</f>
        <v/>
      </c>
      <c r="BG526" s="21" t="b">
        <v>1</v>
      </c>
      <c r="BH526" s="21" t="b">
        <v>0</v>
      </c>
      <c r="BI526" s="21" t="str">
        <f>BE525</f>
        <v>0</v>
      </c>
      <c r="BK526" s="21" t="str">
        <f ca="1">_xlfn.FORMULATEXT(BE526)</f>
        <v>=M463</v>
      </c>
      <c r="BL526" s="21" t="str">
        <f ca="1">_xlfn.FORMULATEXT(BE526)</f>
        <v>=M463</v>
      </c>
    </row>
    <row r="527" spans="1:64" ht="14.5">
      <c r="A527" s="64" t="s">
        <v>673</v>
      </c>
      <c r="B527" s="266"/>
      <c r="C527" s="275" t="s">
        <v>1258</v>
      </c>
      <c r="D527" s="275"/>
      <c r="E527" s="275"/>
      <c r="F527" s="275"/>
      <c r="G527" s="275"/>
      <c r="H527" s="275"/>
      <c r="I527" s="275"/>
      <c r="J527" s="275"/>
      <c r="K527" s="275"/>
      <c r="L527" s="275"/>
      <c r="M527" s="521" t="str">
        <f>""&amp;G494</f>
        <v/>
      </c>
      <c r="N527" s="520"/>
      <c r="O527" s="522"/>
      <c r="P527" s="64"/>
      <c r="Q527" s="288"/>
      <c r="AD527" s="22">
        <f>ROW()</f>
        <v>527</v>
      </c>
      <c r="AE527" s="22"/>
      <c r="AF527" s="22"/>
      <c r="AG527" s="22"/>
      <c r="AH527" s="22"/>
      <c r="AI527" s="22"/>
      <c r="AJ527" s="22"/>
      <c r="AK527" s="22"/>
      <c r="AL527" s="22"/>
      <c r="AM527" s="22"/>
      <c r="AN527" s="22"/>
      <c r="AO527" s="22"/>
      <c r="AP527" s="22"/>
      <c r="BB527" s="21" t="s">
        <v>1259</v>
      </c>
      <c r="BC527" s="21" t="s">
        <v>127</v>
      </c>
      <c r="BD527" s="21" t="b">
        <v>1</v>
      </c>
      <c r="BE527" s="21">
        <f>G464</f>
        <v>0</v>
      </c>
      <c r="BF527" s="21" t="str">
        <f>""&amp;G464</f>
        <v/>
      </c>
      <c r="BG527" s="21" t="b">
        <v>1</v>
      </c>
      <c r="BH527" s="21" t="b">
        <v>0</v>
      </c>
      <c r="BK527" s="21" t="str">
        <f ca="1">_xlfn.FORMULATEXT(BE527)</f>
        <v>=G464</v>
      </c>
      <c r="BL527" s="21" t="str">
        <f ca="1">_xlfn.FORMULATEXT(BE527)</f>
        <v>=G464</v>
      </c>
    </row>
    <row r="528" spans="1:64" ht="14.5">
      <c r="A528" s="64" t="s">
        <v>673</v>
      </c>
      <c r="B528" s="266"/>
      <c r="C528" s="275" t="s">
        <v>1260</v>
      </c>
      <c r="D528" s="275"/>
      <c r="E528" s="275"/>
      <c r="F528" s="275"/>
      <c r="G528" s="275"/>
      <c r="H528" s="275"/>
      <c r="I528" s="275"/>
      <c r="J528" s="275"/>
      <c r="K528" s="275"/>
      <c r="L528" s="275"/>
      <c r="M528" s="521" t="str">
        <f>""&amp;G495</f>
        <v/>
      </c>
      <c r="N528" s="520"/>
      <c r="O528" s="522"/>
      <c r="P528" s="64"/>
      <c r="Q528" s="290"/>
      <c r="AD528" s="22">
        <f>ROW()</f>
        <v>528</v>
      </c>
      <c r="AE528" s="22"/>
      <c r="AF528" s="22"/>
      <c r="AG528" s="22"/>
      <c r="AH528" s="22"/>
      <c r="AI528" s="22"/>
      <c r="AJ528" s="22"/>
      <c r="AK528" s="22"/>
      <c r="AL528" s="22"/>
      <c r="AM528" s="22"/>
      <c r="AN528" s="22"/>
      <c r="AO528" s="22"/>
      <c r="AP528" s="22"/>
      <c r="BB528" s="21" t="s">
        <v>1261</v>
      </c>
      <c r="BC528" s="21" t="s">
        <v>127</v>
      </c>
      <c r="BD528" s="21" t="b">
        <v>1</v>
      </c>
      <c r="BE528" s="21" t="str">
        <f>J464</f>
        <v>0</v>
      </c>
      <c r="BF528" s="21" t="str">
        <f>""&amp;J464</f>
        <v>0</v>
      </c>
      <c r="BG528" s="21" t="b">
        <v>1</v>
      </c>
      <c r="BH528" s="21" t="b">
        <v>0</v>
      </c>
      <c r="BI528" s="21" t="str">
        <f>BE528</f>
        <v>0</v>
      </c>
      <c r="BK528" s="21" t="str">
        <f ca="1">_xlfn.FORMULATEXT(BE528)</f>
        <v>=J464</v>
      </c>
      <c r="BL528" s="21" t="str">
        <f ca="1">_xlfn.FORMULATEXT(BE528)</f>
        <v>=J464</v>
      </c>
    </row>
    <row r="529" spans="1:83" s="261" customFormat="1" ht="14.5">
      <c r="A529" s="64" t="s">
        <v>673</v>
      </c>
      <c r="B529" s="266">
        <v>3</v>
      </c>
      <c r="C529" s="275" t="s">
        <v>1262</v>
      </c>
      <c r="D529" s="275"/>
      <c r="E529" s="275"/>
      <c r="F529" s="275"/>
      <c r="G529" s="275"/>
      <c r="H529" s="275"/>
      <c r="I529" s="275"/>
      <c r="J529" s="275"/>
      <c r="K529" s="275"/>
      <c r="L529" s="275"/>
      <c r="M529" s="515"/>
      <c r="N529" s="514"/>
      <c r="O529" s="511"/>
      <c r="P529" s="64"/>
      <c r="Q529" s="290"/>
      <c r="R529" s="21"/>
      <c r="S529" s="21"/>
      <c r="T529" s="21"/>
      <c r="U529" s="21"/>
      <c r="V529" s="21"/>
      <c r="W529" s="21"/>
      <c r="X529" s="21"/>
      <c r="Y529" s="21"/>
      <c r="Z529" s="21"/>
      <c r="AA529" s="21"/>
      <c r="AB529" s="21"/>
      <c r="AC529" s="21"/>
      <c r="AD529" s="22">
        <f>ROW()</f>
        <v>529</v>
      </c>
      <c r="AE529" s="22"/>
      <c r="AF529" s="22"/>
      <c r="AG529" s="22"/>
      <c r="AH529" s="22"/>
      <c r="AI529" s="22"/>
      <c r="AJ529" s="22"/>
      <c r="AK529" s="22"/>
      <c r="AL529" s="22"/>
      <c r="AM529" s="22"/>
      <c r="AN529" s="22"/>
      <c r="AO529" s="22"/>
      <c r="AP529" s="22"/>
      <c r="AQ529" s="21"/>
      <c r="AR529" s="21"/>
      <c r="AS529" s="21"/>
      <c r="AT529" s="21"/>
      <c r="AU529" s="21"/>
      <c r="AV529" s="21"/>
      <c r="AW529" s="21"/>
      <c r="AX529" s="21"/>
      <c r="AY529" s="21"/>
      <c r="AZ529" s="21"/>
      <c r="BA529" s="21"/>
      <c r="BB529" s="21" t="s">
        <v>1263</v>
      </c>
      <c r="BC529" s="21" t="s">
        <v>127</v>
      </c>
      <c r="BD529" s="21" t="b">
        <v>0</v>
      </c>
      <c r="BE529" s="21">
        <f>M464</f>
        <v>0</v>
      </c>
      <c r="BF529" s="21" t="str">
        <f>""&amp;M464</f>
        <v/>
      </c>
      <c r="BG529" s="21" t="b">
        <v>1</v>
      </c>
      <c r="BH529" s="21" t="b">
        <v>0</v>
      </c>
      <c r="BI529" s="21" t="str">
        <f>BE528</f>
        <v>0</v>
      </c>
      <c r="BJ529" s="21"/>
      <c r="BK529" s="21" t="str">
        <f ca="1">_xlfn.FORMULATEXT(BE529)</f>
        <v>=M464</v>
      </c>
      <c r="BL529" s="21" t="str">
        <f ca="1">_xlfn.FORMULATEXT(BE529)</f>
        <v>=M464</v>
      </c>
      <c r="BM529" s="21"/>
      <c r="BN529" s="21"/>
      <c r="BO529" s="21"/>
      <c r="BP529" s="21"/>
      <c r="BQ529" s="21"/>
      <c r="BR529" s="21"/>
      <c r="BS529" s="21"/>
      <c r="BT529" s="21"/>
      <c r="BU529" s="21"/>
      <c r="BV529" s="21"/>
      <c r="BW529" s="21"/>
      <c r="BX529" s="21"/>
      <c r="CE529" s="21"/>
    </row>
    <row r="530" spans="1:83" ht="15" customHeight="1">
      <c r="A530" s="64" t="s">
        <v>673</v>
      </c>
      <c r="B530" s="266">
        <v>4</v>
      </c>
      <c r="C530" s="275" t="s">
        <v>1264</v>
      </c>
      <c r="D530" s="275"/>
      <c r="E530" s="275"/>
      <c r="F530" s="275"/>
      <c r="G530" s="275"/>
      <c r="H530" s="275"/>
      <c r="I530" s="275"/>
      <c r="J530" s="275"/>
      <c r="K530" s="275"/>
      <c r="L530" s="275"/>
      <c r="M530" s="515"/>
      <c r="N530" s="514"/>
      <c r="O530" s="511"/>
      <c r="P530" s="64"/>
      <c r="Q530" s="290"/>
      <c r="AD530" s="22">
        <f>ROW()</f>
        <v>530</v>
      </c>
      <c r="AE530" s="22"/>
      <c r="AF530" s="22"/>
      <c r="AG530" s="22"/>
      <c r="AH530" s="22"/>
      <c r="AI530" s="22"/>
      <c r="AJ530" s="22"/>
      <c r="AK530" s="22"/>
      <c r="AL530" s="22"/>
      <c r="AM530" s="22"/>
      <c r="AN530" s="22"/>
      <c r="AO530" s="22"/>
      <c r="AP530" s="22"/>
      <c r="BB530" s="21" t="s">
        <v>1265</v>
      </c>
      <c r="BC530" s="21" t="s">
        <v>127</v>
      </c>
      <c r="BD530" s="21" t="b">
        <v>1</v>
      </c>
      <c r="BE530" s="21">
        <f>G465</f>
        <v>0</v>
      </c>
      <c r="BF530" s="21" t="str">
        <f>""&amp;G465</f>
        <v/>
      </c>
      <c r="BG530" s="21" t="b">
        <v>1</v>
      </c>
      <c r="BH530" s="21" t="b">
        <v>0</v>
      </c>
      <c r="BK530" s="21" t="str">
        <f ca="1">_xlfn.FORMULATEXT(BE530)</f>
        <v>=G465</v>
      </c>
      <c r="BL530" s="21" t="str">
        <f ca="1">_xlfn.FORMULATEXT(BE530)</f>
        <v>=G465</v>
      </c>
      <c r="BS530" s="261"/>
      <c r="BT530" s="261"/>
      <c r="BU530" s="261"/>
      <c r="BV530" s="261"/>
      <c r="BW530" s="261"/>
      <c r="BX530" s="261"/>
      <c r="CE530" s="261"/>
    </row>
    <row r="531" spans="1:64" ht="14.5">
      <c r="A531" s="64" t="s">
        <v>673</v>
      </c>
      <c r="B531" s="266">
        <v>5</v>
      </c>
      <c r="C531" s="275" t="s">
        <v>1266</v>
      </c>
      <c r="D531" s="275"/>
      <c r="E531" s="275"/>
      <c r="F531" s="275"/>
      <c r="G531" s="275"/>
      <c r="H531" s="275"/>
      <c r="I531" s="275"/>
      <c r="J531" s="275"/>
      <c r="K531" s="275"/>
      <c r="L531" s="275"/>
      <c r="M531" s="515"/>
      <c r="N531" s="514"/>
      <c r="O531" s="511"/>
      <c r="P531" s="64"/>
      <c r="Q531" s="290"/>
      <c r="AD531" s="22">
        <f>ROW()</f>
        <v>531</v>
      </c>
      <c r="AE531" s="22"/>
      <c r="AF531" s="22"/>
      <c r="AG531" s="22"/>
      <c r="AH531" s="22"/>
      <c r="AI531" s="22"/>
      <c r="AJ531" s="22"/>
      <c r="AK531" s="22"/>
      <c r="AL531" s="22"/>
      <c r="AM531" s="22"/>
      <c r="AN531" s="22"/>
      <c r="AO531" s="22"/>
      <c r="AP531" s="22"/>
      <c r="BB531" s="21" t="s">
        <v>1267</v>
      </c>
      <c r="BC531" s="21" t="s">
        <v>127</v>
      </c>
      <c r="BD531" s="21" t="b">
        <v>1</v>
      </c>
      <c r="BE531" s="21" t="str">
        <f>J465</f>
        <v>0</v>
      </c>
      <c r="BF531" s="21" t="str">
        <f>""&amp;J465</f>
        <v>0</v>
      </c>
      <c r="BG531" s="21" t="b">
        <v>1</v>
      </c>
      <c r="BH531" s="21" t="b">
        <v>0</v>
      </c>
      <c r="BI531" s="21" t="str">
        <f>BE531</f>
        <v>0</v>
      </c>
      <c r="BK531" s="21" t="str">
        <f ca="1">_xlfn.FORMULATEXT(BE531)</f>
        <v>=J465</v>
      </c>
      <c r="BL531" s="21" t="str">
        <f ca="1">_xlfn.FORMULATEXT(BE531)</f>
        <v>=J465</v>
      </c>
    </row>
    <row r="532" spans="1:64" ht="14.5">
      <c r="A532" s="64" t="s">
        <v>673</v>
      </c>
      <c r="B532" s="266">
        <v>6</v>
      </c>
      <c r="C532" s="275" t="s">
        <v>1268</v>
      </c>
      <c r="D532" s="275"/>
      <c r="E532" s="275"/>
      <c r="F532" s="275"/>
      <c r="G532" s="275"/>
      <c r="H532" s="275"/>
      <c r="I532" s="275"/>
      <c r="J532" s="275"/>
      <c r="K532" s="275"/>
      <c r="L532" s="275"/>
      <c r="M532" s="515"/>
      <c r="N532" s="514"/>
      <c r="O532" s="511"/>
      <c r="P532" s="64"/>
      <c r="Q532" s="290"/>
      <c r="AD532" s="22">
        <f>ROW()</f>
        <v>532</v>
      </c>
      <c r="AE532" s="22"/>
      <c r="AF532" s="22"/>
      <c r="AG532" s="22"/>
      <c r="AH532" s="22"/>
      <c r="AI532" s="22"/>
      <c r="AJ532" s="22"/>
      <c r="AK532" s="22"/>
      <c r="AL532" s="22"/>
      <c r="AM532" s="22"/>
      <c r="AN532" s="22"/>
      <c r="AO532" s="22"/>
      <c r="AP532" s="22"/>
      <c r="BB532" s="21" t="s">
        <v>1269</v>
      </c>
      <c r="BC532" s="21" t="s">
        <v>127</v>
      </c>
      <c r="BD532" s="21" t="b">
        <v>0</v>
      </c>
      <c r="BE532" s="21">
        <f>M465</f>
        <v>0</v>
      </c>
      <c r="BF532" s="21" t="str">
        <f>""&amp;M465</f>
        <v/>
      </c>
      <c r="BG532" s="21" t="b">
        <v>1</v>
      </c>
      <c r="BH532" s="21" t="b">
        <v>0</v>
      </c>
      <c r="BI532" s="21" t="str">
        <f>BE531</f>
        <v>0</v>
      </c>
      <c r="BK532" s="21" t="str">
        <f ca="1">_xlfn.FORMULATEXT(BE532)</f>
        <v>=M465</v>
      </c>
      <c r="BL532" s="21" t="str">
        <f ca="1">_xlfn.FORMULATEXT(BE532)</f>
        <v>=M465</v>
      </c>
    </row>
    <row r="533" spans="1:64" ht="14.5">
      <c r="A533" s="64" t="s">
        <v>673</v>
      </c>
      <c r="B533" s="266">
        <v>7</v>
      </c>
      <c r="C533" s="275" t="s">
        <v>1270</v>
      </c>
      <c r="D533" s="275"/>
      <c r="E533" s="275"/>
      <c r="F533" s="275"/>
      <c r="G533" s="275"/>
      <c r="H533" s="275"/>
      <c r="I533" s="275"/>
      <c r="J533" s="275"/>
      <c r="K533" s="275"/>
      <c r="L533" s="275"/>
      <c r="M533" s="515"/>
      <c r="N533" s="514"/>
      <c r="O533" s="511"/>
      <c r="P533" s="64"/>
      <c r="Q533" s="290"/>
      <c r="AD533" s="22">
        <f>ROW()</f>
        <v>533</v>
      </c>
      <c r="AE533" s="22"/>
      <c r="AF533" s="22"/>
      <c r="AG533" s="22"/>
      <c r="AH533" s="22"/>
      <c r="AI533" s="22"/>
      <c r="AJ533" s="22"/>
      <c r="AK533" s="22"/>
      <c r="AL533" s="22"/>
      <c r="AM533" s="22"/>
      <c r="AN533" s="22"/>
      <c r="AO533" s="22"/>
      <c r="AP533" s="22"/>
      <c r="BB533" s="21" t="s">
        <v>1271</v>
      </c>
      <c r="BC533" s="21" t="s">
        <v>127</v>
      </c>
      <c r="BD533" s="21" t="b">
        <v>1</v>
      </c>
      <c r="BE533" s="21">
        <f>G466</f>
        <v>0</v>
      </c>
      <c r="BF533" s="21" t="str">
        <f>""&amp;G466</f>
        <v/>
      </c>
      <c r="BG533" s="21" t="b">
        <v>1</v>
      </c>
      <c r="BH533" s="21" t="b">
        <v>0</v>
      </c>
      <c r="BK533" s="21" t="str">
        <f ca="1">_xlfn.FORMULATEXT(BE533)</f>
        <v>=G466</v>
      </c>
      <c r="BL533" s="21" t="str">
        <f ca="1">_xlfn.FORMULATEXT(BE533)</f>
        <v>=G466</v>
      </c>
    </row>
    <row r="534" spans="1:64" ht="14.5">
      <c r="A534" s="64" t="s">
        <v>673</v>
      </c>
      <c r="B534" s="266">
        <v>8</v>
      </c>
      <c r="C534" s="275" t="s">
        <v>1272</v>
      </c>
      <c r="D534" s="275"/>
      <c r="E534" s="275"/>
      <c r="F534" s="275"/>
      <c r="G534" s="275"/>
      <c r="H534" s="275"/>
      <c r="I534" s="275"/>
      <c r="J534" s="275"/>
      <c r="K534" s="275"/>
      <c r="L534" s="275"/>
      <c r="M534" s="515"/>
      <c r="N534" s="514"/>
      <c r="O534" s="511"/>
      <c r="P534" s="64"/>
      <c r="Q534" s="290"/>
      <c r="AD534" s="22">
        <f>ROW()</f>
        <v>534</v>
      </c>
      <c r="AE534" s="22"/>
      <c r="AF534" s="22"/>
      <c r="AG534" s="22"/>
      <c r="AH534" s="22"/>
      <c r="AI534" s="22"/>
      <c r="AJ534" s="22"/>
      <c r="AK534" s="22"/>
      <c r="AL534" s="22"/>
      <c r="AM534" s="22"/>
      <c r="AN534" s="22"/>
      <c r="AO534" s="22"/>
      <c r="AP534" s="22"/>
      <c r="BB534" s="21" t="s">
        <v>1273</v>
      </c>
      <c r="BC534" s="21" t="s">
        <v>127</v>
      </c>
      <c r="BD534" s="21" t="b">
        <v>1</v>
      </c>
      <c r="BE534" s="21" t="str">
        <f>J466</f>
        <v>0</v>
      </c>
      <c r="BF534" s="21" t="str">
        <f>""&amp;J466</f>
        <v>0</v>
      </c>
      <c r="BG534" s="21" t="b">
        <v>1</v>
      </c>
      <c r="BH534" s="21" t="b">
        <v>0</v>
      </c>
      <c r="BI534" s="21" t="str">
        <f>BE534</f>
        <v>0</v>
      </c>
      <c r="BK534" s="21" t="str">
        <f ca="1">_xlfn.FORMULATEXT(BE534)</f>
        <v>=J466</v>
      </c>
      <c r="BL534" s="21" t="str">
        <f ca="1">_xlfn.FORMULATEXT(BE534)</f>
        <v>=J466</v>
      </c>
    </row>
    <row r="535" spans="1:64" ht="14.5">
      <c r="A535" s="64" t="s">
        <v>673</v>
      </c>
      <c r="B535" s="266">
        <v>9</v>
      </c>
      <c r="C535" s="275" t="s">
        <v>1274</v>
      </c>
      <c r="D535" s="275"/>
      <c r="E535" s="275"/>
      <c r="F535" s="275"/>
      <c r="G535" s="275"/>
      <c r="H535" s="275"/>
      <c r="I535" s="275"/>
      <c r="J535" s="275"/>
      <c r="K535" s="275"/>
      <c r="L535" s="275"/>
      <c r="M535" s="515"/>
      <c r="N535" s="514"/>
      <c r="O535" s="511"/>
      <c r="P535" s="64"/>
      <c r="AD535" s="22">
        <f>ROW()</f>
        <v>535</v>
      </c>
      <c r="AE535" s="22"/>
      <c r="AF535" s="22"/>
      <c r="AG535" s="22"/>
      <c r="AH535" s="22"/>
      <c r="AI535" s="22"/>
      <c r="AJ535" s="22"/>
      <c r="AK535" s="22"/>
      <c r="AL535" s="22"/>
      <c r="AM535" s="22"/>
      <c r="AN535" s="22"/>
      <c r="AO535" s="22"/>
      <c r="AP535" s="22"/>
      <c r="BB535" s="21" t="s">
        <v>1275</v>
      </c>
      <c r="BC535" s="21" t="s">
        <v>127</v>
      </c>
      <c r="BD535" s="21" t="b">
        <v>0</v>
      </c>
      <c r="BE535" s="21">
        <f>M466</f>
        <v>0</v>
      </c>
      <c r="BF535" s="21" t="str">
        <f>""&amp;M466</f>
        <v/>
      </c>
      <c r="BG535" s="21" t="b">
        <v>1</v>
      </c>
      <c r="BH535" s="21" t="b">
        <v>0</v>
      </c>
      <c r="BI535" s="21" t="str">
        <f>BE534</f>
        <v>0</v>
      </c>
      <c r="BK535" s="21" t="str">
        <f ca="1">_xlfn.FORMULATEXT(BE535)</f>
        <v>=M466</v>
      </c>
      <c r="BL535" s="21" t="str">
        <f ca="1">_xlfn.FORMULATEXT(BE535)</f>
        <v>=M466</v>
      </c>
    </row>
    <row r="536" spans="1:64" ht="14.5">
      <c r="A536" s="64" t="s">
        <v>673</v>
      </c>
      <c r="B536" s="266">
        <v>10</v>
      </c>
      <c r="C536" s="275" t="s">
        <v>1276</v>
      </c>
      <c r="D536" s="275"/>
      <c r="E536" s="275"/>
      <c r="F536" s="275"/>
      <c r="G536" s="275"/>
      <c r="H536" s="275"/>
      <c r="I536" s="275"/>
      <c r="J536" s="275"/>
      <c r="K536" s="275"/>
      <c r="L536" s="275"/>
      <c r="M536" s="515"/>
      <c r="N536" s="514"/>
      <c r="O536" s="511"/>
      <c r="P536" s="64"/>
      <c r="AD536" s="22">
        <f>ROW()</f>
        <v>536</v>
      </c>
      <c r="AE536" s="22"/>
      <c r="AF536" s="22"/>
      <c r="AG536" s="22"/>
      <c r="AH536" s="22"/>
      <c r="AI536" s="22"/>
      <c r="AJ536" s="22"/>
      <c r="AK536" s="22"/>
      <c r="AL536" s="22"/>
      <c r="AM536" s="22"/>
      <c r="AN536" s="22"/>
      <c r="AO536" s="22"/>
      <c r="AP536" s="22"/>
      <c r="BB536" s="21" t="s">
        <v>1277</v>
      </c>
      <c r="BC536" s="21" t="s">
        <v>127</v>
      </c>
      <c r="BD536" s="21" t="b">
        <v>1</v>
      </c>
      <c r="BE536" s="21">
        <f>G467</f>
        <v>0</v>
      </c>
      <c r="BF536" s="21" t="str">
        <f>""&amp;G467</f>
        <v/>
      </c>
      <c r="BG536" s="21" t="b">
        <v>1</v>
      </c>
      <c r="BH536" s="21" t="b">
        <v>0</v>
      </c>
      <c r="BK536" s="21" t="str">
        <f ca="1">_xlfn.FORMULATEXT(BE536)</f>
        <v>=G467</v>
      </c>
      <c r="BL536" s="21" t="str">
        <f ca="1">_xlfn.FORMULATEXT(BE536)</f>
        <v>=G467</v>
      </c>
    </row>
    <row r="537" spans="1:64" ht="14.5">
      <c r="A537" s="64" t="s">
        <v>673</v>
      </c>
      <c r="B537" s="64"/>
      <c r="C537" s="64"/>
      <c r="D537" s="64"/>
      <c r="E537" s="64"/>
      <c r="F537" s="64"/>
      <c r="G537" s="64"/>
      <c r="H537" s="64"/>
      <c r="I537" s="64"/>
      <c r="J537" s="64"/>
      <c r="K537" s="64"/>
      <c r="L537" s="64"/>
      <c r="M537" s="64"/>
      <c r="N537" s="64"/>
      <c r="O537" s="64"/>
      <c r="P537" s="64"/>
      <c r="AD537" s="22">
        <f>ROW()</f>
        <v>537</v>
      </c>
      <c r="AE537" s="22"/>
      <c r="AF537" s="22"/>
      <c r="AG537" s="22"/>
      <c r="AH537" s="22"/>
      <c r="AI537" s="22"/>
      <c r="AJ537" s="22"/>
      <c r="AK537" s="22"/>
      <c r="AL537" s="22"/>
      <c r="AM537" s="22"/>
      <c r="AN537" s="22"/>
      <c r="AO537" s="22"/>
      <c r="AP537" s="22"/>
      <c r="AR537" s="261"/>
      <c r="AS537" s="261"/>
      <c r="AT537" s="261"/>
      <c r="AU537" s="261"/>
      <c r="AV537" s="261"/>
      <c r="AW537" s="261"/>
      <c r="AX537" s="261"/>
      <c r="BB537" s="21" t="s">
        <v>1278</v>
      </c>
      <c r="BC537" s="21" t="s">
        <v>127</v>
      </c>
      <c r="BD537" s="21" t="b">
        <v>1</v>
      </c>
      <c r="BE537" s="21" t="str">
        <f>J467</f>
        <v>0</v>
      </c>
      <c r="BF537" s="21" t="str">
        <f>""&amp;J467</f>
        <v>0</v>
      </c>
      <c r="BG537" s="21" t="b">
        <v>1</v>
      </c>
      <c r="BH537" s="21" t="b">
        <v>0</v>
      </c>
      <c r="BI537" s="21" t="str">
        <f>BE537</f>
        <v>0</v>
      </c>
      <c r="BK537" s="21" t="str">
        <f ca="1">_xlfn.FORMULATEXT(BE537)</f>
        <v>=J467</v>
      </c>
      <c r="BL537" s="21" t="str">
        <f ca="1">_xlfn.FORMULATEXT(BE537)</f>
        <v>=J467</v>
      </c>
    </row>
    <row r="538" spans="1:64" ht="14.5">
      <c r="A538" s="64" t="s">
        <v>673</v>
      </c>
      <c r="B538" s="292" t="s">
        <v>1279</v>
      </c>
      <c r="C538" s="292"/>
      <c r="D538" s="292"/>
      <c r="E538" s="292"/>
      <c r="F538" s="292"/>
      <c r="G538" s="292"/>
      <c r="H538" s="292"/>
      <c r="I538" s="292"/>
      <c r="J538" s="292"/>
      <c r="K538" s="292"/>
      <c r="L538" s="292"/>
      <c r="M538" s="64"/>
      <c r="N538" s="64"/>
      <c r="O538" s="64"/>
      <c r="P538" s="330"/>
      <c r="Q538" s="288"/>
      <c r="R538" s="261"/>
      <c r="S538" s="261"/>
      <c r="T538" s="261"/>
      <c r="AD538" s="22">
        <f>ROW()</f>
        <v>538</v>
      </c>
      <c r="AE538" s="22"/>
      <c r="AF538" s="22"/>
      <c r="AG538" s="22"/>
      <c r="AH538" s="22"/>
      <c r="AI538" s="22"/>
      <c r="AJ538" s="22"/>
      <c r="AK538" s="22"/>
      <c r="AL538" s="22"/>
      <c r="AM538" s="22"/>
      <c r="AN538" s="22"/>
      <c r="AO538" s="22"/>
      <c r="AP538" s="22"/>
      <c r="AY538" s="261"/>
      <c r="AZ538" s="261"/>
      <c r="BB538" s="21" t="s">
        <v>1280</v>
      </c>
      <c r="BC538" s="21" t="s">
        <v>127</v>
      </c>
      <c r="BD538" s="21" t="b">
        <v>0</v>
      </c>
      <c r="BE538" s="21">
        <f>M467</f>
        <v>0</v>
      </c>
      <c r="BF538" s="21" t="str">
        <f>""&amp;M467</f>
        <v/>
      </c>
      <c r="BG538" s="21" t="b">
        <v>1</v>
      </c>
      <c r="BH538" s="21" t="b">
        <v>0</v>
      </c>
      <c r="BI538" s="21" t="str">
        <f>BE537</f>
        <v>0</v>
      </c>
      <c r="BK538" s="21" t="str">
        <f ca="1">_xlfn.FORMULATEXT(BE538)</f>
        <v>=M467</v>
      </c>
      <c r="BL538" s="21" t="str">
        <f ca="1">_xlfn.FORMULATEXT(BE538)</f>
        <v>=M467</v>
      </c>
    </row>
    <row r="539" spans="1:64" ht="14.5">
      <c r="A539" s="64" t="s">
        <v>673</v>
      </c>
      <c r="B539" s="525" t="s">
        <v>1281</v>
      </c>
      <c r="C539" s="406"/>
      <c r="D539" s="118"/>
      <c r="E539" s="118"/>
      <c r="F539" s="118"/>
      <c r="G539" s="64"/>
      <c r="H539" s="64"/>
      <c r="I539" s="64"/>
      <c r="J539" s="64"/>
      <c r="K539" s="64"/>
      <c r="L539" s="64"/>
      <c r="M539" s="64"/>
      <c r="N539" s="64"/>
      <c r="O539" s="64"/>
      <c r="P539" s="64"/>
      <c r="Q539" s="116"/>
      <c r="AA539" s="261"/>
      <c r="AB539" s="261"/>
      <c r="AC539" s="261"/>
      <c r="AD539" s="22">
        <f>ROW()</f>
        <v>539</v>
      </c>
      <c r="AE539" s="22"/>
      <c r="AF539" s="22"/>
      <c r="AG539" s="22"/>
      <c r="AH539" s="22"/>
      <c r="AI539" s="22"/>
      <c r="AJ539" s="22"/>
      <c r="AK539" s="22"/>
      <c r="AL539" s="22"/>
      <c r="AM539" s="22"/>
      <c r="AN539" s="22"/>
      <c r="AO539" s="22"/>
      <c r="AP539" s="22"/>
      <c r="AQ539" s="261"/>
      <c r="BB539" s="21" t="s">
        <v>1282</v>
      </c>
      <c r="BC539" s="21" t="s">
        <v>127</v>
      </c>
      <c r="BD539" s="21" t="b">
        <v>1</v>
      </c>
      <c r="BE539" s="21">
        <f>G468</f>
        <v>0</v>
      </c>
      <c r="BF539" s="21" t="str">
        <f>""&amp;G468</f>
        <v/>
      </c>
      <c r="BG539" s="21" t="b">
        <v>1</v>
      </c>
      <c r="BH539" s="21" t="b">
        <v>0</v>
      </c>
      <c r="BJ539" s="261"/>
      <c r="BK539" s="21" t="str">
        <f ca="1">_xlfn.FORMULATEXT(BE539)</f>
        <v>=G468</v>
      </c>
      <c r="BL539" s="21" t="str">
        <f ca="1">_xlfn.FORMULATEXT(BE539)</f>
        <v>=G468</v>
      </c>
    </row>
    <row r="540" spans="1:64" ht="14.5">
      <c r="A540" s="64" t="s">
        <v>673</v>
      </c>
      <c r="B540" s="527"/>
      <c r="C540" s="528"/>
      <c r="D540" s="64"/>
      <c r="E540" s="64"/>
      <c r="F540" s="64"/>
      <c r="G540" s="64"/>
      <c r="H540" s="64"/>
      <c r="I540" s="64"/>
      <c r="J540" s="64"/>
      <c r="K540" s="64"/>
      <c r="L540" s="64"/>
      <c r="M540" s="64"/>
      <c r="N540" s="64"/>
      <c r="O540" s="64"/>
      <c r="P540" s="342"/>
      <c r="Q540" s="53"/>
      <c r="R540" s="53"/>
      <c r="S540" s="53"/>
      <c r="T540" s="53"/>
      <c r="U540" s="53"/>
      <c r="V540" s="53"/>
      <c r="W540" s="261"/>
      <c r="X540" s="261"/>
      <c r="Y540" s="261"/>
      <c r="Z540" s="261"/>
      <c r="AD540" s="22">
        <f>ROW()</f>
        <v>540</v>
      </c>
      <c r="AE540" s="22"/>
      <c r="AF540" s="22"/>
      <c r="AG540" s="22"/>
      <c r="AH540" s="22"/>
      <c r="AI540" s="22"/>
      <c r="AJ540" s="22"/>
      <c r="AK540" s="22"/>
      <c r="AL540" s="22"/>
      <c r="AM540" s="22"/>
      <c r="AN540" s="22"/>
      <c r="AO540" s="22"/>
      <c r="AP540" s="22"/>
      <c r="BB540" s="21" t="s">
        <v>1283</v>
      </c>
      <c r="BC540" s="21" t="s">
        <v>127</v>
      </c>
      <c r="BD540" s="21" t="b">
        <v>1</v>
      </c>
      <c r="BE540" s="21" t="str">
        <f>J468</f>
        <v>0</v>
      </c>
      <c r="BF540" s="21" t="str">
        <f>""&amp;J468</f>
        <v>0</v>
      </c>
      <c r="BG540" s="21" t="b">
        <v>1</v>
      </c>
      <c r="BH540" s="21" t="b">
        <v>0</v>
      </c>
      <c r="BI540" s="21" t="str">
        <f>BE540</f>
        <v>0</v>
      </c>
      <c r="BK540" s="21" t="str">
        <f ca="1">_xlfn.FORMULATEXT(BE540)</f>
        <v>=J468</v>
      </c>
      <c r="BL540" s="21" t="str">
        <f ca="1">_xlfn.FORMULATEXT(BE540)</f>
        <v>=J468</v>
      </c>
    </row>
    <row r="541" spans="1:64" ht="14.5">
      <c r="A541" s="64" t="s">
        <v>673</v>
      </c>
      <c r="B541" s="64"/>
      <c r="C541" s="64"/>
      <c r="D541" s="64"/>
      <c r="E541" s="64"/>
      <c r="F541" s="64"/>
      <c r="G541" s="64"/>
      <c r="H541" s="64"/>
      <c r="I541" s="64"/>
      <c r="J541" s="64"/>
      <c r="K541" s="64"/>
      <c r="L541" s="64"/>
      <c r="M541" s="64"/>
      <c r="N541" s="64"/>
      <c r="O541" s="64"/>
      <c r="P541" s="343"/>
      <c r="Q541" s="53"/>
      <c r="R541" s="53"/>
      <c r="S541" s="53"/>
      <c r="T541" s="53"/>
      <c r="U541" s="53"/>
      <c r="V541" s="53"/>
      <c r="AD541" s="22">
        <f>ROW()</f>
        <v>541</v>
      </c>
      <c r="AE541" s="22"/>
      <c r="AF541" s="22"/>
      <c r="AG541" s="22"/>
      <c r="AH541" s="22"/>
      <c r="AI541" s="22"/>
      <c r="AJ541" s="22"/>
      <c r="AK541" s="22"/>
      <c r="AL541" s="22"/>
      <c r="AM541" s="22"/>
      <c r="AN541" s="22"/>
      <c r="AO541" s="22"/>
      <c r="AP541" s="22"/>
      <c r="BB541" s="21" t="s">
        <v>1284</v>
      </c>
      <c r="BC541" s="21" t="s">
        <v>127</v>
      </c>
      <c r="BD541" s="21" t="b">
        <v>0</v>
      </c>
      <c r="BE541" s="21">
        <f>M468</f>
        <v>0</v>
      </c>
      <c r="BF541" s="21" t="str">
        <f>""&amp;M468</f>
        <v/>
      </c>
      <c r="BG541" s="21" t="b">
        <v>1</v>
      </c>
      <c r="BH541" s="21" t="b">
        <v>0</v>
      </c>
      <c r="BI541" s="21" t="str">
        <f>BE540</f>
        <v>0</v>
      </c>
      <c r="BK541" s="21" t="str">
        <f ca="1">_xlfn.FORMULATEXT(BE541)</f>
        <v>=M468</v>
      </c>
      <c r="BL541" s="21" t="str">
        <f ca="1">_xlfn.FORMULATEXT(BE541)</f>
        <v>=M468</v>
      </c>
    </row>
    <row r="542" spans="1:64" ht="58.25" customHeight="1">
      <c r="A542" s="64" t="s">
        <v>673</v>
      </c>
      <c r="B542" s="687" t="s">
        <v>1285</v>
      </c>
      <c r="C542" s="688"/>
      <c r="D542" s="687" t="s">
        <v>1286</v>
      </c>
      <c r="E542" s="694"/>
      <c r="F542" s="688"/>
      <c r="G542" s="687" t="s">
        <v>1287</v>
      </c>
      <c r="H542" s="688"/>
      <c r="I542" s="687" t="s">
        <v>1288</v>
      </c>
      <c r="J542" s="688"/>
      <c r="K542" s="705" t="s">
        <v>1289</v>
      </c>
      <c r="L542" s="705"/>
      <c r="M542" s="705" t="s">
        <v>1290</v>
      </c>
      <c r="N542" s="705"/>
      <c r="O542" s="705"/>
      <c r="P542" s="343"/>
      <c r="Q542" s="53"/>
      <c r="R542" s="53"/>
      <c r="S542" s="53"/>
      <c r="T542" s="53"/>
      <c r="U542" s="53"/>
      <c r="V542" s="53"/>
      <c r="AD542" s="22">
        <f>ROW()</f>
        <v>542</v>
      </c>
      <c r="AE542" s="22"/>
      <c r="AF542" s="22"/>
      <c r="AG542" s="22"/>
      <c r="AH542" s="22"/>
      <c r="AI542" s="22"/>
      <c r="AJ542" s="22"/>
      <c r="AK542" s="22"/>
      <c r="AL542" s="22"/>
      <c r="AM542" s="22"/>
      <c r="AN542" s="22"/>
      <c r="AO542" s="22"/>
      <c r="AP542" s="22"/>
      <c r="BB542" s="21" t="s">
        <v>1291</v>
      </c>
      <c r="BC542" s="21" t="s">
        <v>127</v>
      </c>
      <c r="BD542" s="21" t="b">
        <v>1</v>
      </c>
      <c r="BE542" s="261">
        <f>G469</f>
        <v>0</v>
      </c>
      <c r="BF542" s="21" t="str">
        <f>""&amp;G469</f>
        <v/>
      </c>
      <c r="BG542" s="21" t="b">
        <v>1</v>
      </c>
      <c r="BH542" s="21" t="b">
        <v>0</v>
      </c>
      <c r="BK542" s="21" t="str">
        <f ca="1">_xlfn.FORMULATEXT(BE542)</f>
        <v>=G469</v>
      </c>
      <c r="BL542" s="21" t="str">
        <f ca="1">_xlfn.FORMULATEXT(BE542)</f>
        <v>=G469</v>
      </c>
    </row>
    <row r="543" spans="1:64" ht="14.5">
      <c r="A543" s="64" t="s">
        <v>673</v>
      </c>
      <c r="B543" s="690"/>
      <c r="C543" s="691"/>
      <c r="D543" s="696"/>
      <c r="E543" s="695"/>
      <c r="F543" s="697"/>
      <c r="G543" s="701"/>
      <c r="H543" s="702"/>
      <c r="I543" s="690"/>
      <c r="J543" s="691"/>
      <c r="K543" s="707"/>
      <c r="L543" s="691"/>
      <c r="M543" s="439"/>
      <c r="N543" s="438"/>
      <c r="O543" s="409"/>
      <c r="P543" s="343"/>
      <c r="Q543" s="53"/>
      <c r="R543" s="53"/>
      <c r="S543" s="53"/>
      <c r="T543" s="53"/>
      <c r="U543" s="53"/>
      <c r="V543" s="53"/>
      <c r="AD543" s="22">
        <f>ROW()</f>
        <v>543</v>
      </c>
      <c r="AE543" s="22"/>
      <c r="AF543" s="22"/>
      <c r="AG543" s="22"/>
      <c r="AH543" s="22"/>
      <c r="AI543" s="22"/>
      <c r="AJ543" s="22"/>
      <c r="AK543" s="22"/>
      <c r="AL543" s="22"/>
      <c r="AM543" s="22"/>
      <c r="AN543" s="22"/>
      <c r="AO543" s="22"/>
      <c r="AP543" s="22"/>
      <c r="BB543" s="21" t="s">
        <v>1292</v>
      </c>
      <c r="BC543" s="21" t="s">
        <v>127</v>
      </c>
      <c r="BD543" s="21" t="b">
        <v>1</v>
      </c>
      <c r="BE543" s="21" t="str">
        <f>J469</f>
        <v>0</v>
      </c>
      <c r="BF543" s="21" t="str">
        <f>""&amp;J469</f>
        <v>0</v>
      </c>
      <c r="BG543" s="21" t="b">
        <v>1</v>
      </c>
      <c r="BH543" s="21" t="b">
        <v>0</v>
      </c>
      <c r="BI543" s="21" t="str">
        <f>BE543</f>
        <v>0</v>
      </c>
      <c r="BK543" s="21" t="str">
        <f ca="1">_xlfn.FORMULATEXT(BE543)</f>
        <v>=J469</v>
      </c>
      <c r="BL543" s="21" t="str">
        <f ca="1">_xlfn.FORMULATEXT(BE543)</f>
        <v>=J469</v>
      </c>
    </row>
    <row r="544" spans="1:64" ht="14.5">
      <c r="A544" s="64"/>
      <c r="B544" s="690"/>
      <c r="C544" s="691"/>
      <c r="D544" s="696"/>
      <c r="E544" s="695"/>
      <c r="F544" s="697"/>
      <c r="G544" s="701"/>
      <c r="H544" s="702"/>
      <c r="I544" s="690"/>
      <c r="J544" s="691"/>
      <c r="K544" s="707"/>
      <c r="L544" s="691"/>
      <c r="M544" s="439"/>
      <c r="N544" s="438"/>
      <c r="O544" s="409"/>
      <c r="P544" s="343"/>
      <c r="Q544" s="53"/>
      <c r="R544" s="53"/>
      <c r="S544" s="53"/>
      <c r="T544" s="53"/>
      <c r="U544" s="53"/>
      <c r="V544" s="53"/>
      <c r="AD544" s="22"/>
      <c r="AE544" s="22"/>
      <c r="AF544" s="22"/>
      <c r="AG544" s="22"/>
      <c r="AH544" s="22"/>
      <c r="AI544" s="22"/>
      <c r="AJ544" s="22"/>
      <c r="AK544" s="22"/>
      <c r="AL544" s="22"/>
      <c r="AM544" s="22"/>
      <c r="AN544" s="22"/>
      <c r="AO544" s="22"/>
      <c r="AP544" s="22"/>
      <c r="BB544" s="21"/>
      <c r="BC544" s="21"/>
      <c r="BD544" s="21"/>
      <c r="BE544" s="21"/>
      <c r="BF544" s="21"/>
      <c r="BG544" s="21"/>
      <c r="BH544" s="21"/>
      <c r="BI544" s="21"/>
      <c r="BK544" s="21"/>
      <c r="BL544" s="21"/>
    </row>
    <row r="545" spans="1:64" ht="14.5">
      <c r="A545" s="64"/>
      <c r="B545" s="690"/>
      <c r="C545" s="691"/>
      <c r="D545" s="696"/>
      <c r="E545" s="695"/>
      <c r="F545" s="697"/>
      <c r="G545" s="701"/>
      <c r="H545" s="702"/>
      <c r="I545" s="690"/>
      <c r="J545" s="691"/>
      <c r="K545" s="707"/>
      <c r="L545" s="691"/>
      <c r="M545" s="439"/>
      <c r="N545" s="438"/>
      <c r="O545" s="409"/>
      <c r="P545" s="343"/>
      <c r="Q545" s="53"/>
      <c r="R545" s="53"/>
      <c r="S545" s="53"/>
      <c r="T545" s="53"/>
      <c r="U545" s="53"/>
      <c r="V545" s="53"/>
      <c r="AD545" s="22"/>
      <c r="AE545" s="22"/>
      <c r="AF545" s="22"/>
      <c r="AG545" s="22"/>
      <c r="AH545" s="22"/>
      <c r="AI545" s="22"/>
      <c r="AJ545" s="22"/>
      <c r="AK545" s="22"/>
      <c r="AL545" s="22"/>
      <c r="AM545" s="22"/>
      <c r="AN545" s="22"/>
      <c r="AO545" s="22"/>
      <c r="AP545" s="22"/>
      <c r="BB545" s="21"/>
      <c r="BC545" s="21"/>
      <c r="BD545" s="21"/>
      <c r="BE545" s="21"/>
      <c r="BF545" s="21"/>
      <c r="BG545" s="21"/>
      <c r="BH545" s="21"/>
      <c r="BI545" s="21"/>
      <c r="BK545" s="21"/>
      <c r="BL545" s="21"/>
    </row>
    <row r="546" spans="1:64" ht="14.5">
      <c r="A546" s="64"/>
      <c r="B546" s="690"/>
      <c r="C546" s="691"/>
      <c r="D546" s="696"/>
      <c r="E546" s="695"/>
      <c r="F546" s="697"/>
      <c r="G546" s="701"/>
      <c r="H546" s="702"/>
      <c r="I546" s="690"/>
      <c r="J546" s="691"/>
      <c r="K546" s="707"/>
      <c r="L546" s="691"/>
      <c r="M546" s="439"/>
      <c r="N546" s="438"/>
      <c r="O546" s="409"/>
      <c r="P546" s="343"/>
      <c r="Q546" s="53"/>
      <c r="R546" s="53"/>
      <c r="S546" s="53"/>
      <c r="T546" s="53"/>
      <c r="U546" s="53"/>
      <c r="V546" s="53"/>
      <c r="AD546" s="22"/>
      <c r="AE546" s="22"/>
      <c r="AF546" s="22"/>
      <c r="AG546" s="22"/>
      <c r="AH546" s="22"/>
      <c r="AI546" s="22"/>
      <c r="AJ546" s="22"/>
      <c r="AK546" s="22"/>
      <c r="AL546" s="22"/>
      <c r="AM546" s="22"/>
      <c r="AN546" s="22"/>
      <c r="AO546" s="22"/>
      <c r="AP546" s="22"/>
      <c r="BB546" s="21"/>
      <c r="BC546" s="21"/>
      <c r="BD546" s="21"/>
      <c r="BE546" s="21"/>
      <c r="BF546" s="21"/>
      <c r="BG546" s="21"/>
      <c r="BH546" s="21"/>
      <c r="BI546" s="21"/>
      <c r="BK546" s="21"/>
      <c r="BL546" s="21"/>
    </row>
    <row r="547" spans="1:64" ht="14.5">
      <c r="A547" s="64"/>
      <c r="B547" s="690"/>
      <c r="C547" s="691"/>
      <c r="D547" s="696"/>
      <c r="E547" s="695"/>
      <c r="F547" s="697"/>
      <c r="G547" s="701"/>
      <c r="H547" s="702"/>
      <c r="I547" s="690"/>
      <c r="J547" s="691"/>
      <c r="K547" s="707"/>
      <c r="L547" s="691"/>
      <c r="M547" s="439"/>
      <c r="N547" s="438"/>
      <c r="O547" s="409"/>
      <c r="P547" s="343"/>
      <c r="Q547" s="53"/>
      <c r="R547" s="53"/>
      <c r="S547" s="53"/>
      <c r="T547" s="53"/>
      <c r="U547" s="53"/>
      <c r="V547" s="53"/>
      <c r="AD547" s="22"/>
      <c r="AE547" s="22"/>
      <c r="AF547" s="22"/>
      <c r="AG547" s="22"/>
      <c r="AH547" s="22"/>
      <c r="AI547" s="22"/>
      <c r="AJ547" s="22"/>
      <c r="AK547" s="22"/>
      <c r="AL547" s="22"/>
      <c r="AM547" s="22"/>
      <c r="AN547" s="22"/>
      <c r="AO547" s="22"/>
      <c r="AP547" s="22"/>
      <c r="BB547" s="21"/>
      <c r="BC547" s="21"/>
      <c r="BD547" s="21"/>
      <c r="BE547" s="21"/>
      <c r="BF547" s="21"/>
      <c r="BG547" s="21"/>
      <c r="BH547" s="21"/>
      <c r="BI547" s="21"/>
      <c r="BK547" s="21"/>
      <c r="BL547" s="21"/>
    </row>
    <row r="548" spans="1:64" ht="14.5">
      <c r="A548" s="64"/>
      <c r="B548" s="690"/>
      <c r="C548" s="691"/>
      <c r="D548" s="696"/>
      <c r="E548" s="695"/>
      <c r="F548" s="697"/>
      <c r="G548" s="701"/>
      <c r="H548" s="702"/>
      <c r="I548" s="690"/>
      <c r="J548" s="691"/>
      <c r="K548" s="707"/>
      <c r="L548" s="691"/>
      <c r="M548" s="439"/>
      <c r="N548" s="438"/>
      <c r="O548" s="409"/>
      <c r="P548" s="343"/>
      <c r="Q548" s="53"/>
      <c r="R548" s="53"/>
      <c r="S548" s="53"/>
      <c r="T548" s="53"/>
      <c r="U548" s="53"/>
      <c r="V548" s="53"/>
      <c r="AD548" s="22"/>
      <c r="AE548" s="22"/>
      <c r="AF548" s="22"/>
      <c r="AG548" s="22"/>
      <c r="AH548" s="22"/>
      <c r="AI548" s="22"/>
      <c r="AJ548" s="22"/>
      <c r="AK548" s="22"/>
      <c r="AL548" s="22"/>
      <c r="AM548" s="22"/>
      <c r="AN548" s="22"/>
      <c r="AO548" s="22"/>
      <c r="AP548" s="22"/>
      <c r="BB548" s="21"/>
      <c r="BC548" s="21"/>
      <c r="BD548" s="21"/>
      <c r="BE548" s="21"/>
      <c r="BF548" s="21"/>
      <c r="BG548" s="21"/>
      <c r="BH548" s="21"/>
      <c r="BI548" s="21"/>
      <c r="BK548" s="21"/>
      <c r="BL548" s="21"/>
    </row>
    <row r="549" spans="1:64" ht="14.5">
      <c r="A549" s="64"/>
      <c r="B549" s="690"/>
      <c r="C549" s="691"/>
      <c r="D549" s="696"/>
      <c r="E549" s="695"/>
      <c r="F549" s="697"/>
      <c r="G549" s="701"/>
      <c r="H549" s="702"/>
      <c r="I549" s="690"/>
      <c r="J549" s="691"/>
      <c r="K549" s="707"/>
      <c r="L549" s="691"/>
      <c r="M549" s="439"/>
      <c r="N549" s="438"/>
      <c r="O549" s="409"/>
      <c r="P549" s="343"/>
      <c r="Q549" s="53"/>
      <c r="R549" s="53"/>
      <c r="S549" s="53"/>
      <c r="T549" s="53"/>
      <c r="U549" s="53"/>
      <c r="V549" s="53"/>
      <c r="AD549" s="22"/>
      <c r="AE549" s="22"/>
      <c r="AF549" s="22"/>
      <c r="AG549" s="22"/>
      <c r="AH549" s="22"/>
      <c r="AI549" s="22"/>
      <c r="AJ549" s="22"/>
      <c r="AK549" s="22"/>
      <c r="AL549" s="22"/>
      <c r="AM549" s="22"/>
      <c r="AN549" s="22"/>
      <c r="AO549" s="22"/>
      <c r="AP549" s="22"/>
      <c r="BB549" s="21"/>
      <c r="BC549" s="21"/>
      <c r="BD549" s="21"/>
      <c r="BE549" s="21"/>
      <c r="BF549" s="21"/>
      <c r="BG549" s="21"/>
      <c r="BH549" s="21"/>
      <c r="BI549" s="21"/>
      <c r="BK549" s="21"/>
      <c r="BL549" s="21"/>
    </row>
    <row r="550" spans="1:64" ht="14.5">
      <c r="A550" s="64"/>
      <c r="B550" s="690"/>
      <c r="C550" s="691"/>
      <c r="D550" s="696"/>
      <c r="E550" s="695"/>
      <c r="F550" s="697"/>
      <c r="G550" s="701"/>
      <c r="H550" s="702"/>
      <c r="I550" s="690"/>
      <c r="J550" s="691"/>
      <c r="K550" s="707"/>
      <c r="L550" s="691"/>
      <c r="M550" s="439"/>
      <c r="N550" s="438"/>
      <c r="O550" s="409"/>
      <c r="P550" s="343"/>
      <c r="Q550" s="53"/>
      <c r="R550" s="53"/>
      <c r="S550" s="53"/>
      <c r="T550" s="53"/>
      <c r="U550" s="53"/>
      <c r="V550" s="53"/>
      <c r="AD550" s="22"/>
      <c r="AE550" s="22"/>
      <c r="AF550" s="22"/>
      <c r="AG550" s="22"/>
      <c r="AH550" s="22"/>
      <c r="AI550" s="22"/>
      <c r="AJ550" s="22"/>
      <c r="AK550" s="22"/>
      <c r="AL550" s="22"/>
      <c r="AM550" s="22"/>
      <c r="AN550" s="22"/>
      <c r="AO550" s="22"/>
      <c r="AP550" s="22"/>
      <c r="BB550" s="21"/>
      <c r="BC550" s="21"/>
      <c r="BD550" s="21"/>
      <c r="BE550" s="21"/>
      <c r="BF550" s="21"/>
      <c r="BG550" s="21"/>
      <c r="BH550" s="21"/>
      <c r="BI550" s="21"/>
      <c r="BK550" s="21"/>
      <c r="BL550" s="21"/>
    </row>
    <row r="551" spans="1:64" ht="14.5">
      <c r="A551" s="64"/>
      <c r="B551" s="690"/>
      <c r="C551" s="691"/>
      <c r="D551" s="696"/>
      <c r="E551" s="695"/>
      <c r="F551" s="697"/>
      <c r="G551" s="701"/>
      <c r="H551" s="702"/>
      <c r="I551" s="690"/>
      <c r="J551" s="691"/>
      <c r="K551" s="707"/>
      <c r="L551" s="691"/>
      <c r="M551" s="439"/>
      <c r="N551" s="438"/>
      <c r="O551" s="409"/>
      <c r="P551" s="343"/>
      <c r="Q551" s="53"/>
      <c r="R551" s="53"/>
      <c r="S551" s="53"/>
      <c r="T551" s="53"/>
      <c r="U551" s="53"/>
      <c r="V551" s="53"/>
      <c r="AD551" s="22"/>
      <c r="AE551" s="22"/>
      <c r="AF551" s="22"/>
      <c r="AG551" s="22"/>
      <c r="AH551" s="22"/>
      <c r="AI551" s="22"/>
      <c r="AJ551" s="22"/>
      <c r="AK551" s="22"/>
      <c r="AL551" s="22"/>
      <c r="AM551" s="22"/>
      <c r="AN551" s="22"/>
      <c r="AO551" s="22"/>
      <c r="AP551" s="22"/>
      <c r="BB551" s="21"/>
      <c r="BC551" s="21"/>
      <c r="BD551" s="21"/>
      <c r="BE551" s="21"/>
      <c r="BF551" s="21"/>
      <c r="BG551" s="21"/>
      <c r="BH551" s="21"/>
      <c r="BI551" s="21"/>
      <c r="BK551" s="21"/>
      <c r="BL551" s="21"/>
    </row>
    <row r="552" spans="1:64" ht="14.5">
      <c r="A552" s="64"/>
      <c r="B552" s="690"/>
      <c r="C552" s="691"/>
      <c r="D552" s="696"/>
      <c r="E552" s="695"/>
      <c r="F552" s="697"/>
      <c r="G552" s="701"/>
      <c r="H552" s="702"/>
      <c r="I552" s="690"/>
      <c r="J552" s="691"/>
      <c r="K552" s="707"/>
      <c r="L552" s="691"/>
      <c r="M552" s="439"/>
      <c r="N552" s="438"/>
      <c r="O552" s="409"/>
      <c r="P552" s="343"/>
      <c r="Q552" s="53"/>
      <c r="R552" s="53"/>
      <c r="S552" s="53"/>
      <c r="T552" s="53"/>
      <c r="U552" s="53"/>
      <c r="V552" s="53"/>
      <c r="AD552" s="22"/>
      <c r="AE552" s="22"/>
      <c r="AF552" s="22"/>
      <c r="AG552" s="22"/>
      <c r="AH552" s="22"/>
      <c r="AI552" s="22"/>
      <c r="AJ552" s="22"/>
      <c r="AK552" s="22"/>
      <c r="AL552" s="22"/>
      <c r="AM552" s="22"/>
      <c r="AN552" s="22"/>
      <c r="AO552" s="22"/>
      <c r="AP552" s="22"/>
      <c r="BB552" s="21"/>
      <c r="BC552" s="21"/>
      <c r="BD552" s="21"/>
      <c r="BE552" s="21"/>
      <c r="BF552" s="21"/>
      <c r="BG552" s="21"/>
      <c r="BH552" s="21"/>
      <c r="BI552" s="21"/>
      <c r="BK552" s="21"/>
      <c r="BL552" s="21"/>
    </row>
    <row r="553" spans="1:64" ht="14.5">
      <c r="A553" s="64"/>
      <c r="B553" s="690"/>
      <c r="C553" s="691"/>
      <c r="D553" s="696"/>
      <c r="E553" s="695"/>
      <c r="F553" s="697"/>
      <c r="G553" s="701"/>
      <c r="H553" s="702"/>
      <c r="I553" s="690"/>
      <c r="J553" s="691"/>
      <c r="K553" s="707"/>
      <c r="L553" s="691"/>
      <c r="M553" s="439"/>
      <c r="N553" s="438"/>
      <c r="O553" s="409"/>
      <c r="P553" s="343"/>
      <c r="Q553" s="53"/>
      <c r="R553" s="53"/>
      <c r="S553" s="53"/>
      <c r="T553" s="53"/>
      <c r="U553" s="53"/>
      <c r="V553" s="53"/>
      <c r="AD553" s="22"/>
      <c r="AE553" s="22"/>
      <c r="AF553" s="22"/>
      <c r="AG553" s="22"/>
      <c r="AH553" s="22"/>
      <c r="AI553" s="22"/>
      <c r="AJ553" s="22"/>
      <c r="AK553" s="22"/>
      <c r="AL553" s="22"/>
      <c r="AM553" s="22"/>
      <c r="AN553" s="22"/>
      <c r="AO553" s="22"/>
      <c r="AP553" s="22"/>
      <c r="BB553" s="21"/>
      <c r="BC553" s="21"/>
      <c r="BD553" s="21"/>
      <c r="BE553" s="21"/>
      <c r="BF553" s="21"/>
      <c r="BG553" s="21"/>
      <c r="BH553" s="21"/>
      <c r="BI553" s="21"/>
      <c r="BK553" s="21"/>
      <c r="BL553" s="21"/>
    </row>
    <row r="554" spans="1:64" ht="14.5">
      <c r="A554" s="64"/>
      <c r="B554" s="690"/>
      <c r="C554" s="691"/>
      <c r="D554" s="696"/>
      <c r="E554" s="695"/>
      <c r="F554" s="697"/>
      <c r="G554" s="701"/>
      <c r="H554" s="702"/>
      <c r="I554" s="690"/>
      <c r="J554" s="691"/>
      <c r="K554" s="707"/>
      <c r="L554" s="691"/>
      <c r="M554" s="439"/>
      <c r="N554" s="438"/>
      <c r="O554" s="409"/>
      <c r="P554" s="343"/>
      <c r="Q554" s="53"/>
      <c r="R554" s="53"/>
      <c r="S554" s="53"/>
      <c r="T554" s="53"/>
      <c r="U554" s="53"/>
      <c r="V554" s="53"/>
      <c r="AD554" s="22"/>
      <c r="AE554" s="22"/>
      <c r="AF554" s="22"/>
      <c r="AG554" s="22"/>
      <c r="AH554" s="22"/>
      <c r="AI554" s="22"/>
      <c r="AJ554" s="22"/>
      <c r="AK554" s="22"/>
      <c r="AL554" s="22"/>
      <c r="AM554" s="22"/>
      <c r="AN554" s="22"/>
      <c r="AO554" s="22"/>
      <c r="AP554" s="22"/>
      <c r="BB554" s="21"/>
      <c r="BC554" s="21"/>
      <c r="BD554" s="21"/>
      <c r="BE554" s="21"/>
      <c r="BF554" s="21"/>
      <c r="BG554" s="21"/>
      <c r="BH554" s="21"/>
      <c r="BI554" s="21"/>
      <c r="BK554" s="21"/>
      <c r="BL554" s="21"/>
    </row>
    <row r="555" spans="1:64" ht="14.5">
      <c r="A555" s="64"/>
      <c r="B555" s="690"/>
      <c r="C555" s="691"/>
      <c r="D555" s="696"/>
      <c r="E555" s="695"/>
      <c r="F555" s="697"/>
      <c r="G555" s="701"/>
      <c r="H555" s="702"/>
      <c r="I555" s="690"/>
      <c r="J555" s="691"/>
      <c r="K555" s="707"/>
      <c r="L555" s="691"/>
      <c r="M555" s="439"/>
      <c r="N555" s="438"/>
      <c r="O555" s="409"/>
      <c r="P555" s="343"/>
      <c r="Q555" s="53"/>
      <c r="R555" s="53"/>
      <c r="S555" s="53"/>
      <c r="T555" s="53"/>
      <c r="U555" s="53"/>
      <c r="V555" s="53"/>
      <c r="AD555" s="22"/>
      <c r="AE555" s="22"/>
      <c r="AF555" s="22"/>
      <c r="AG555" s="22"/>
      <c r="AH555" s="22"/>
      <c r="AI555" s="22"/>
      <c r="AJ555" s="22"/>
      <c r="AK555" s="22"/>
      <c r="AL555" s="22"/>
      <c r="AM555" s="22"/>
      <c r="AN555" s="22"/>
      <c r="AO555" s="22"/>
      <c r="AP555" s="22"/>
      <c r="BB555" s="21"/>
      <c r="BC555" s="21"/>
      <c r="BD555" s="21"/>
      <c r="BE555" s="21"/>
      <c r="BF555" s="21"/>
      <c r="BG555" s="21"/>
      <c r="BH555" s="21"/>
      <c r="BI555" s="21"/>
      <c r="BK555" s="21"/>
      <c r="BL555" s="21"/>
    </row>
    <row r="556" spans="1:64" ht="14.5">
      <c r="A556" s="64"/>
      <c r="B556" s="690"/>
      <c r="C556" s="691"/>
      <c r="D556" s="696"/>
      <c r="E556" s="695"/>
      <c r="F556" s="697"/>
      <c r="G556" s="701"/>
      <c r="H556" s="702"/>
      <c r="I556" s="690"/>
      <c r="J556" s="691"/>
      <c r="K556" s="707"/>
      <c r="L556" s="691"/>
      <c r="M556" s="439"/>
      <c r="N556" s="438"/>
      <c r="O556" s="409"/>
      <c r="P556" s="343"/>
      <c r="Q556" s="53"/>
      <c r="R556" s="53"/>
      <c r="S556" s="53"/>
      <c r="T556" s="53"/>
      <c r="U556" s="53"/>
      <c r="V556" s="53"/>
      <c r="AD556" s="22"/>
      <c r="AE556" s="22"/>
      <c r="AF556" s="22"/>
      <c r="AG556" s="22"/>
      <c r="AH556" s="22"/>
      <c r="AI556" s="22"/>
      <c r="AJ556" s="22"/>
      <c r="AK556" s="22"/>
      <c r="AL556" s="22"/>
      <c r="AM556" s="22"/>
      <c r="AN556" s="22"/>
      <c r="AO556" s="22"/>
      <c r="AP556" s="22"/>
      <c r="BB556" s="21"/>
      <c r="BC556" s="21"/>
      <c r="BD556" s="21"/>
      <c r="BE556" s="21"/>
      <c r="BF556" s="21"/>
      <c r="BG556" s="21"/>
      <c r="BH556" s="21"/>
      <c r="BI556" s="21"/>
      <c r="BK556" s="21"/>
      <c r="BL556" s="21"/>
    </row>
    <row r="557" spans="1:64" ht="14.5">
      <c r="A557" s="64"/>
      <c r="B557" s="690"/>
      <c r="C557" s="691"/>
      <c r="D557" s="696"/>
      <c r="E557" s="695"/>
      <c r="F557" s="697"/>
      <c r="G557" s="701"/>
      <c r="H557" s="702"/>
      <c r="I557" s="690"/>
      <c r="J557" s="691"/>
      <c r="K557" s="707"/>
      <c r="L557" s="691"/>
      <c r="M557" s="439"/>
      <c r="N557" s="438"/>
      <c r="O557" s="409"/>
      <c r="P557" s="343"/>
      <c r="Q557" s="53"/>
      <c r="R557" s="53"/>
      <c r="S557" s="53"/>
      <c r="T557" s="53"/>
      <c r="U557" s="53"/>
      <c r="V557" s="53"/>
      <c r="AD557" s="22"/>
      <c r="AE557" s="22"/>
      <c r="AF557" s="22"/>
      <c r="AG557" s="22"/>
      <c r="AH557" s="22"/>
      <c r="AI557" s="22"/>
      <c r="AJ557" s="22"/>
      <c r="AK557" s="22"/>
      <c r="AL557" s="22"/>
      <c r="AM557" s="22"/>
      <c r="AN557" s="22"/>
      <c r="AO557" s="22"/>
      <c r="AP557" s="22"/>
      <c r="BB557" s="21"/>
      <c r="BC557" s="21"/>
      <c r="BD557" s="21"/>
      <c r="BE557" s="21"/>
      <c r="BF557" s="21"/>
      <c r="BG557" s="21"/>
      <c r="BH557" s="21"/>
      <c r="BI557" s="21"/>
      <c r="BK557" s="21"/>
      <c r="BL557" s="21"/>
    </row>
    <row r="558" spans="1:64" ht="14" customHeight="1">
      <c r="A558" s="64" t="s">
        <v>673</v>
      </c>
      <c r="B558" s="64"/>
      <c r="C558" s="64"/>
      <c r="D558" s="64"/>
      <c r="E558" s="64"/>
      <c r="F558" s="64"/>
      <c r="G558" s="64"/>
      <c r="H558" s="64"/>
      <c r="I558" s="64"/>
      <c r="J558" s="64"/>
      <c r="K558" s="64"/>
      <c r="L558" s="64"/>
      <c r="M558" s="64"/>
      <c r="N558" s="64"/>
      <c r="O558" s="64"/>
      <c r="P558" s="343"/>
      <c r="Q558" s="53"/>
      <c r="R558" s="53"/>
      <c r="S558" s="53"/>
      <c r="T558" s="53"/>
      <c r="U558" s="53"/>
      <c r="V558" s="53"/>
      <c r="AD558" s="22">
        <f>ROW()</f>
        <v>558</v>
      </c>
      <c r="AE558" s="22"/>
      <c r="AF558" s="22"/>
      <c r="AG558" s="22"/>
      <c r="AH558" s="22"/>
      <c r="AI558" s="22"/>
      <c r="AJ558" s="22"/>
      <c r="AK558" s="22"/>
      <c r="AL558" s="22"/>
      <c r="AM558" s="22"/>
      <c r="AN558" s="22"/>
      <c r="AO558" s="22"/>
      <c r="AP558" s="22"/>
      <c r="BB558" s="21" t="s">
        <v>1293</v>
      </c>
      <c r="BC558" s="21" t="s">
        <v>127</v>
      </c>
      <c r="BD558" s="21" t="b">
        <v>0</v>
      </c>
      <c r="BE558" s="21">
        <f>M469</f>
        <v>0</v>
      </c>
      <c r="BF558" s="21" t="str">
        <f>""&amp;M469</f>
        <v/>
      </c>
      <c r="BG558" s="21" t="b">
        <v>1</v>
      </c>
      <c r="BH558" s="21" t="b">
        <v>0</v>
      </c>
      <c r="BI558" s="21" t="str">
        <f>BE543</f>
        <v>0</v>
      </c>
      <c r="BK558" s="21" t="str">
        <f ca="1">_xlfn.FORMULATEXT(BE558)</f>
        <v>=M469</v>
      </c>
      <c r="BL558" s="21" t="str">
        <f ca="1">_xlfn.FORMULATEXT(BE558)</f>
        <v>=M469</v>
      </c>
    </row>
    <row r="559" spans="1:64" ht="43.25" customHeight="1">
      <c r="A559" s="64" t="s">
        <v>673</v>
      </c>
      <c r="B559" s="293" t="s">
        <v>1294</v>
      </c>
      <c r="C559" s="89"/>
      <c r="D559" s="89"/>
      <c r="E559" s="89"/>
      <c r="F559" s="89"/>
      <c r="G559" s="89"/>
      <c r="H559" s="89"/>
      <c r="I559" s="89"/>
      <c r="J559" s="89"/>
      <c r="K559" s="89"/>
      <c r="L559" s="89"/>
      <c r="M559" s="89"/>
      <c r="N559" s="89"/>
      <c r="O559" s="89"/>
      <c r="P559" s="343"/>
      <c r="Q559" s="53"/>
      <c r="R559" s="53"/>
      <c r="S559" s="53"/>
      <c r="T559" s="53"/>
      <c r="U559" s="53"/>
      <c r="V559" s="53"/>
      <c r="AD559" s="22">
        <f>ROW()</f>
        <v>559</v>
      </c>
      <c r="AE559" s="22"/>
      <c r="AF559" s="22"/>
      <c r="AG559" s="22"/>
      <c r="AH559" s="22"/>
      <c r="AI559" s="22"/>
      <c r="AJ559" s="22"/>
      <c r="AK559" s="22"/>
      <c r="AL559" s="22"/>
      <c r="AM559" s="22"/>
      <c r="AN559" s="22"/>
      <c r="AO559" s="22"/>
      <c r="AP559" s="22"/>
      <c r="BB559" s="21" t="s">
        <v>1295</v>
      </c>
      <c r="BC559" s="21" t="s">
        <v>127</v>
      </c>
      <c r="BD559" s="21" t="b">
        <v>1</v>
      </c>
      <c r="BE559" s="21">
        <f>G470</f>
        <v>0</v>
      </c>
      <c r="BF559" s="21" t="str">
        <f>""&amp;G470</f>
        <v/>
      </c>
      <c r="BG559" s="21" t="b">
        <v>1</v>
      </c>
      <c r="BH559" s="21" t="b">
        <v>0</v>
      </c>
      <c r="BK559" s="21" t="str">
        <f ca="1">_xlfn.FORMULATEXT(BE559)</f>
        <v>=G470</v>
      </c>
      <c r="BL559" s="21" t="str">
        <f ca="1">_xlfn.FORMULATEXT(BE559)</f>
        <v>=G470</v>
      </c>
    </row>
    <row r="560" spans="1:64" ht="14.5">
      <c r="A560" s="64" t="s">
        <v>673</v>
      </c>
      <c r="B560" s="64"/>
      <c r="C560" s="64"/>
      <c r="D560" s="64"/>
      <c r="E560" s="64"/>
      <c r="F560" s="64"/>
      <c r="G560" s="64"/>
      <c r="H560" s="64"/>
      <c r="I560" s="64"/>
      <c r="J560" s="64"/>
      <c r="K560" s="64"/>
      <c r="L560" s="64"/>
      <c r="M560" s="64"/>
      <c r="N560" s="64"/>
      <c r="O560" s="64"/>
      <c r="P560" s="343"/>
      <c r="Q560" s="53"/>
      <c r="R560" s="53"/>
      <c r="S560" s="53"/>
      <c r="T560" s="53"/>
      <c r="U560" s="53"/>
      <c r="V560" s="53"/>
      <c r="AD560" s="22">
        <f>ROW()</f>
        <v>560</v>
      </c>
      <c r="AE560" s="22"/>
      <c r="AF560" s="22"/>
      <c r="AG560" s="22"/>
      <c r="AH560" s="22"/>
      <c r="AI560" s="22"/>
      <c r="AJ560" s="22"/>
      <c r="AK560" s="22"/>
      <c r="AL560" s="22"/>
      <c r="AM560" s="22"/>
      <c r="AN560" s="22"/>
      <c r="AO560" s="22"/>
      <c r="AP560" s="22"/>
      <c r="BB560" s="21" t="s">
        <v>1296</v>
      </c>
      <c r="BC560" s="21" t="s">
        <v>127</v>
      </c>
      <c r="BD560" s="21" t="b">
        <v>1</v>
      </c>
      <c r="BE560" s="21" t="str">
        <f>J470</f>
        <v>7500</v>
      </c>
      <c r="BF560" s="21" t="str">
        <f>""&amp;J470</f>
        <v>7500</v>
      </c>
      <c r="BG560" s="21" t="b">
        <v>1</v>
      </c>
      <c r="BH560" s="21" t="b">
        <v>0</v>
      </c>
      <c r="BI560" s="21" t="str">
        <f>BE560</f>
        <v>7500</v>
      </c>
      <c r="BK560" s="21" t="str">
        <f ca="1">_xlfn.FORMULATEXT(BE560)</f>
        <v>=J470</v>
      </c>
      <c r="BL560" s="21" t="str">
        <f ca="1">_xlfn.FORMULATEXT(BE560)</f>
        <v>=J470</v>
      </c>
    </row>
    <row r="561" spans="1:64" ht="14.5">
      <c r="A561" s="64"/>
      <c r="B561" s="292" t="s">
        <v>1297</v>
      </c>
      <c r="C561" s="292"/>
      <c r="D561" s="292"/>
      <c r="E561" s="292"/>
      <c r="F561" s="292"/>
      <c r="G561" s="292"/>
      <c r="H561" s="292"/>
      <c r="I561" s="292"/>
      <c r="J561" s="292"/>
      <c r="K561" s="292"/>
      <c r="L561" s="64"/>
      <c r="M561" s="64"/>
      <c r="N561" s="64"/>
      <c r="O561" s="64"/>
      <c r="P561" s="343"/>
      <c r="Q561" s="53"/>
      <c r="R561" s="53"/>
      <c r="S561" s="53"/>
      <c r="T561" s="53"/>
      <c r="U561" s="53"/>
      <c r="V561" s="53"/>
      <c r="AD561" s="22">
        <f>ROW()</f>
        <v>561</v>
      </c>
      <c r="AE561" s="22"/>
      <c r="AF561" s="22"/>
      <c r="AG561" s="22"/>
      <c r="AH561" s="22"/>
      <c r="AI561" s="22"/>
      <c r="AJ561" s="22"/>
      <c r="AK561" s="22"/>
      <c r="AL561" s="22"/>
      <c r="AM561" s="22"/>
      <c r="AN561" s="22"/>
      <c r="AO561" s="22"/>
      <c r="AP561" s="22"/>
      <c r="BA561" s="261"/>
      <c r="BB561" s="21" t="s">
        <v>1298</v>
      </c>
      <c r="BC561" s="21" t="s">
        <v>127</v>
      </c>
      <c r="BD561" s="21" t="b">
        <v>0</v>
      </c>
      <c r="BE561" s="21">
        <f>M470</f>
        <v>0</v>
      </c>
      <c r="BF561" s="21" t="str">
        <f>""&amp;M470</f>
        <v/>
      </c>
      <c r="BG561" s="21" t="b">
        <v>1</v>
      </c>
      <c r="BH561" s="21" t="b">
        <v>0</v>
      </c>
      <c r="BI561" s="21" t="str">
        <f>BE560</f>
        <v>7500</v>
      </c>
      <c r="BK561" s="21" t="str">
        <f ca="1">_xlfn.FORMULATEXT(BE561)</f>
        <v>=M470</v>
      </c>
      <c r="BL561" s="21" t="str">
        <f ca="1">_xlfn.FORMULATEXT(BE561)</f>
        <v>=M470</v>
      </c>
    </row>
    <row r="562" spans="1:64" ht="14.5">
      <c r="A562" s="64"/>
      <c r="B562" s="118" t="s">
        <v>1299</v>
      </c>
      <c r="C562" s="118"/>
      <c r="D562" s="118"/>
      <c r="E562" s="118"/>
      <c r="F562" s="118"/>
      <c r="G562" s="118"/>
      <c r="H562" s="118"/>
      <c r="I562" s="118"/>
      <c r="J562" s="118"/>
      <c r="K562" s="118"/>
      <c r="L562" s="118"/>
      <c r="M562" s="64"/>
      <c r="N562" s="64"/>
      <c r="O562" s="64"/>
      <c r="P562" s="64"/>
      <c r="Q562" s="53"/>
      <c r="R562" s="53"/>
      <c r="S562" s="53"/>
      <c r="T562" s="53"/>
      <c r="U562" s="53"/>
      <c r="V562" s="53"/>
      <c r="AD562" s="22">
        <f>ROW()</f>
        <v>562</v>
      </c>
      <c r="AE562" s="22"/>
      <c r="AF562" s="22"/>
      <c r="AG562" s="22"/>
      <c r="AH562" s="22"/>
      <c r="AI562" s="22"/>
      <c r="AJ562" s="22"/>
      <c r="AK562" s="22"/>
      <c r="AL562" s="22"/>
      <c r="AM562" s="22"/>
      <c r="AN562" s="22"/>
      <c r="AO562" s="22"/>
      <c r="AP562" s="22"/>
      <c r="BB562" s="21" t="s">
        <v>1300</v>
      </c>
      <c r="BC562" s="21" t="s">
        <v>127</v>
      </c>
      <c r="BD562" s="21" t="b">
        <v>1</v>
      </c>
      <c r="BE562" s="21">
        <f>G471</f>
        <v>0</v>
      </c>
      <c r="BF562" s="21" t="str">
        <f>""&amp;G471</f>
        <v/>
      </c>
      <c r="BG562" s="21" t="b">
        <v>1</v>
      </c>
      <c r="BH562" s="21" t="b">
        <v>0</v>
      </c>
      <c r="BK562" s="21" t="str">
        <f ca="1">_xlfn.FORMULATEXT(BE562)</f>
        <v>=G471</v>
      </c>
      <c r="BL562" s="21" t="str">
        <f ca="1">_xlfn.FORMULATEXT(BE562)</f>
        <v>=G471</v>
      </c>
    </row>
    <row r="563" spans="1:64" ht="14.5">
      <c r="A563" s="64"/>
      <c r="B563" s="294"/>
      <c r="C563" s="294"/>
      <c r="D563" s="294"/>
      <c r="E563" s="294"/>
      <c r="F563" s="294"/>
      <c r="G563" s="294"/>
      <c r="H563" s="294"/>
      <c r="I563" s="294"/>
      <c r="J563" s="294"/>
      <c r="K563" s="294"/>
      <c r="L563" s="64"/>
      <c r="M563" s="64"/>
      <c r="N563" s="64"/>
      <c r="O563" s="64"/>
      <c r="P563" s="64"/>
      <c r="Q563" s="53"/>
      <c r="R563" s="53"/>
      <c r="S563" s="53"/>
      <c r="T563" s="53"/>
      <c r="U563" s="53"/>
      <c r="V563" s="53"/>
      <c r="AA563" s="591">
        <v>2</v>
      </c>
      <c r="AB563" s="22">
        <f>IF(AC563="0",1,2)</f>
        <v>2</v>
      </c>
      <c r="AC563" s="21" t="s">
        <v>44</v>
      </c>
      <c r="AD563" s="22">
        <f>ROW()</f>
        <v>563</v>
      </c>
      <c r="AE563" s="22"/>
      <c r="AF563" s="22"/>
      <c r="AG563" s="22"/>
      <c r="AH563" s="22"/>
      <c r="AI563" s="22"/>
      <c r="AJ563" s="22"/>
      <c r="AK563" s="22"/>
      <c r="AL563" s="22"/>
      <c r="AM563" s="22"/>
      <c r="AN563" s="22"/>
      <c r="AO563" s="22"/>
      <c r="AP563" s="22"/>
      <c r="BB563" s="21" t="s">
        <v>1301</v>
      </c>
      <c r="BC563" s="21" t="s">
        <v>127</v>
      </c>
      <c r="BD563" s="21" t="b">
        <v>1</v>
      </c>
      <c r="BE563" s="21" t="str">
        <f>J471</f>
        <v>0</v>
      </c>
      <c r="BF563" s="21" t="str">
        <f>""&amp;J471</f>
        <v>0</v>
      </c>
      <c r="BG563" s="21" t="b">
        <v>1</v>
      </c>
      <c r="BH563" s="21" t="b">
        <v>0</v>
      </c>
      <c r="BI563" s="21" t="str">
        <f>BE563</f>
        <v>0</v>
      </c>
      <c r="BK563" s="21" t="str">
        <f ca="1">_xlfn.FORMULATEXT(BE563)</f>
        <v>=J471</v>
      </c>
      <c r="BL563" s="21" t="str">
        <f ca="1">_xlfn.FORMULATEXT(BE563)</f>
        <v>=J471</v>
      </c>
    </row>
    <row r="564" spans="1:64" ht="14.5">
      <c r="A564" s="64"/>
      <c r="B564" s="294"/>
      <c r="C564" s="294"/>
      <c r="D564" s="294"/>
      <c r="E564" s="294"/>
      <c r="F564" s="294"/>
      <c r="G564" s="294"/>
      <c r="H564" s="294"/>
      <c r="I564" s="294"/>
      <c r="J564" s="294"/>
      <c r="K564" s="294"/>
      <c r="L564" s="64"/>
      <c r="M564" s="64"/>
      <c r="N564" s="64"/>
      <c r="O564" s="64"/>
      <c r="P564" s="64"/>
      <c r="Q564" s="53"/>
      <c r="R564" s="53"/>
      <c r="S564" s="53"/>
      <c r="T564" s="53"/>
      <c r="U564" s="53"/>
      <c r="V564" s="53"/>
      <c r="AB564" s="22"/>
      <c r="AD564" s="22">
        <f>ROW()</f>
        <v>564</v>
      </c>
      <c r="AE564" s="22"/>
      <c r="AF564" s="22"/>
      <c r="AG564" s="22"/>
      <c r="AH564" s="22"/>
      <c r="AI564" s="22"/>
      <c r="AJ564" s="22"/>
      <c r="AK564" s="22"/>
      <c r="AL564" s="22"/>
      <c r="AM564" s="22"/>
      <c r="AN564" s="22"/>
      <c r="AO564" s="22"/>
      <c r="AP564" s="22"/>
      <c r="BB564" s="21" t="s">
        <v>1302</v>
      </c>
      <c r="BC564" s="21" t="s">
        <v>127</v>
      </c>
      <c r="BD564" s="21" t="b">
        <v>0</v>
      </c>
      <c r="BE564" s="21">
        <f>M471</f>
        <v>0</v>
      </c>
      <c r="BF564" s="21" t="str">
        <f>""&amp;M471</f>
        <v/>
      </c>
      <c r="BG564" s="21" t="b">
        <v>1</v>
      </c>
      <c r="BH564" s="21" t="b">
        <v>0</v>
      </c>
      <c r="BI564" s="21" t="str">
        <f>BE563</f>
        <v>0</v>
      </c>
      <c r="BK564" s="21" t="str">
        <f ca="1">_xlfn.FORMULATEXT(BE564)</f>
        <v>=M471</v>
      </c>
      <c r="BL564" s="21" t="str">
        <f ca="1">_xlfn.FORMULATEXT(BE564)</f>
        <v>=M471</v>
      </c>
    </row>
    <row r="565" spans="1:64" ht="14.5">
      <c r="A565" s="64"/>
      <c r="B565" s="292" t="s">
        <v>1303</v>
      </c>
      <c r="C565" s="292"/>
      <c r="D565" s="292"/>
      <c r="E565" s="292"/>
      <c r="F565" s="292"/>
      <c r="G565" s="292"/>
      <c r="H565" s="292"/>
      <c r="I565" s="292"/>
      <c r="J565" s="292"/>
      <c r="K565" s="292"/>
      <c r="L565" s="292"/>
      <c r="M565" s="64"/>
      <c r="N565" s="64"/>
      <c r="O565" s="64"/>
      <c r="P565" s="118"/>
      <c r="Q565" s="53"/>
      <c r="R565" s="53"/>
      <c r="S565" s="53"/>
      <c r="T565" s="53"/>
      <c r="U565" s="53"/>
      <c r="V565" s="53"/>
      <c r="AD565" s="22">
        <f>ROW()</f>
        <v>565</v>
      </c>
      <c r="AE565" s="22"/>
      <c r="AF565" s="22"/>
      <c r="AG565" s="22"/>
      <c r="AH565" s="22"/>
      <c r="AI565" s="22"/>
      <c r="AJ565" s="22"/>
      <c r="AK565" s="22"/>
      <c r="AL565" s="22"/>
      <c r="AM565" s="22"/>
      <c r="AN565" s="22"/>
      <c r="AO565" s="22"/>
      <c r="AP565" s="22"/>
      <c r="BB565" s="21" t="s">
        <v>1304</v>
      </c>
      <c r="BC565" s="21" t="s">
        <v>127</v>
      </c>
      <c r="BD565" s="21" t="b">
        <v>1</v>
      </c>
      <c r="BE565" s="21">
        <f>G472</f>
        <v>0</v>
      </c>
      <c r="BF565" s="21" t="str">
        <f>""&amp;G472</f>
        <v/>
      </c>
      <c r="BG565" s="21" t="b">
        <v>1</v>
      </c>
      <c r="BH565" s="21" t="b">
        <v>0</v>
      </c>
      <c r="BK565" s="21" t="str">
        <f ca="1">_xlfn.FORMULATEXT(BE565)</f>
        <v>=G472</v>
      </c>
      <c r="BL565" s="21" t="str">
        <f ca="1">_xlfn.FORMULATEXT(BE565)</f>
        <v>=G472</v>
      </c>
    </row>
    <row r="566" spans="1:64" ht="32" customHeight="1">
      <c r="A566" s="64"/>
      <c r="B566" s="357" t="s">
        <v>1305</v>
      </c>
      <c r="C566" s="357"/>
      <c r="D566" s="357"/>
      <c r="E566" s="357"/>
      <c r="F566" s="357"/>
      <c r="G566" s="357"/>
      <c r="H566" s="357"/>
      <c r="I566" s="357"/>
      <c r="J566" s="357"/>
      <c r="K566" s="357"/>
      <c r="L566" s="357"/>
      <c r="M566" s="357"/>
      <c r="N566" s="357"/>
      <c r="O566" s="357"/>
      <c r="P566" s="294"/>
      <c r="Q566" s="53"/>
      <c r="R566" s="53"/>
      <c r="S566" s="53"/>
      <c r="T566" s="53"/>
      <c r="U566" s="53"/>
      <c r="V566" s="53"/>
      <c r="AD566" s="22">
        <f>ROW()</f>
        <v>566</v>
      </c>
      <c r="AE566" s="22"/>
      <c r="AF566" s="22"/>
      <c r="AG566" s="22"/>
      <c r="AH566" s="22"/>
      <c r="AI566" s="22"/>
      <c r="AJ566" s="22"/>
      <c r="AK566" s="22"/>
      <c r="AL566" s="22"/>
      <c r="AM566" s="22"/>
      <c r="AN566" s="22"/>
      <c r="AO566" s="22"/>
      <c r="AP566" s="22"/>
      <c r="BB566" s="21" t="s">
        <v>1306</v>
      </c>
      <c r="BC566" s="21" t="s">
        <v>127</v>
      </c>
      <c r="BD566" s="21" t="b">
        <v>1</v>
      </c>
      <c r="BE566" s="21" t="str">
        <f>J472</f>
        <v>0</v>
      </c>
      <c r="BF566" s="21" t="str">
        <f>""&amp;J472</f>
        <v>0</v>
      </c>
      <c r="BG566" s="21" t="b">
        <v>1</v>
      </c>
      <c r="BH566" s="21" t="b">
        <v>0</v>
      </c>
      <c r="BI566" s="21" t="str">
        <f>BE566</f>
        <v>0</v>
      </c>
      <c r="BK566" s="21" t="str">
        <f ca="1">_xlfn.FORMULATEXT(BE566)</f>
        <v>=J472</v>
      </c>
      <c r="BL566" s="21" t="str">
        <f ca="1">_xlfn.FORMULATEXT(BE566)</f>
        <v>=J472</v>
      </c>
    </row>
    <row r="567" spans="1:64" ht="14.5">
      <c r="A567" s="64"/>
      <c r="B567" s="293"/>
      <c r="C567" s="293"/>
      <c r="D567" s="293"/>
      <c r="E567" s="293"/>
      <c r="F567" s="293"/>
      <c r="G567" s="293"/>
      <c r="H567" s="293"/>
      <c r="I567" s="293"/>
      <c r="J567" s="293"/>
      <c r="K567" s="293"/>
      <c r="L567" s="293"/>
      <c r="M567" s="293"/>
      <c r="N567" s="293"/>
      <c r="O567" s="293"/>
      <c r="P567" s="294"/>
      <c r="Q567" s="53"/>
      <c r="R567" s="53"/>
      <c r="S567" s="53"/>
      <c r="T567" s="53"/>
      <c r="U567" s="53"/>
      <c r="V567" s="53"/>
      <c r="AA567" s="591">
        <v>2</v>
      </c>
      <c r="AB567" s="22">
        <f>IF(AC567="0",1,IF(AC567="1",2,IF(AC567="2",3,"")))</f>
        <v>2</v>
      </c>
      <c r="AC567" s="21" t="s">
        <v>44</v>
      </c>
      <c r="AD567" s="22">
        <f>ROW()</f>
        <v>567</v>
      </c>
      <c r="AE567" s="22"/>
      <c r="AF567" s="22"/>
      <c r="AG567" s="22"/>
      <c r="AH567" s="22"/>
      <c r="AI567" s="22"/>
      <c r="AJ567" s="22"/>
      <c r="AK567" s="22"/>
      <c r="AL567" s="22"/>
      <c r="AM567" s="22"/>
      <c r="AN567" s="22"/>
      <c r="AO567" s="22"/>
      <c r="AP567" s="22"/>
      <c r="BB567" s="21" t="s">
        <v>1307</v>
      </c>
      <c r="BC567" s="21" t="s">
        <v>127</v>
      </c>
      <c r="BD567" s="21" t="b">
        <v>0</v>
      </c>
      <c r="BE567" s="21">
        <f>M472</f>
        <v>0</v>
      </c>
      <c r="BF567" s="21" t="str">
        <f>""&amp;M472</f>
        <v/>
      </c>
      <c r="BG567" s="21" t="b">
        <v>1</v>
      </c>
      <c r="BH567" s="21" t="b">
        <v>0</v>
      </c>
      <c r="BI567" s="21" t="str">
        <f>BE566</f>
        <v>0</v>
      </c>
      <c r="BK567" s="21" t="str">
        <f ca="1">_xlfn.FORMULATEXT(BE567)</f>
        <v>=M472</v>
      </c>
      <c r="BL567" s="21" t="str">
        <f ca="1">_xlfn.FORMULATEXT(BE567)</f>
        <v>=M472</v>
      </c>
    </row>
    <row r="568" spans="1:64" ht="14.5">
      <c r="A568" s="64"/>
      <c r="B568" s="64"/>
      <c r="C568" s="64"/>
      <c r="D568" s="64"/>
      <c r="E568" s="64"/>
      <c r="F568" s="64"/>
      <c r="G568" s="64"/>
      <c r="H568" s="64"/>
      <c r="I568" s="64"/>
      <c r="J568" s="64"/>
      <c r="K568" s="64"/>
      <c r="L568" s="64"/>
      <c r="M568" s="64"/>
      <c r="N568" s="64"/>
      <c r="O568" s="64"/>
      <c r="P568" s="294"/>
      <c r="Q568" s="53"/>
      <c r="R568" s="53"/>
      <c r="S568" s="53"/>
      <c r="T568" s="53"/>
      <c r="U568" s="53"/>
      <c r="V568" s="53"/>
      <c r="AD568" s="22">
        <f>ROW()</f>
        <v>568</v>
      </c>
      <c r="AE568" s="22"/>
      <c r="AF568" s="22"/>
      <c r="AG568" s="22"/>
      <c r="AH568" s="22"/>
      <c r="AI568" s="22"/>
      <c r="AJ568" s="22"/>
      <c r="AK568" s="22"/>
      <c r="AL568" s="22"/>
      <c r="AM568" s="22"/>
      <c r="AN568" s="22"/>
      <c r="AO568" s="22"/>
      <c r="AP568" s="22"/>
      <c r="BB568" s="21" t="s">
        <v>1308</v>
      </c>
      <c r="BC568" s="21" t="s">
        <v>127</v>
      </c>
      <c r="BD568" s="21" t="b">
        <v>1</v>
      </c>
      <c r="BE568" s="21">
        <f>G473</f>
        <v>0</v>
      </c>
      <c r="BF568" s="21" t="str">
        <f>""&amp;G473</f>
        <v/>
      </c>
      <c r="BG568" s="21" t="b">
        <v>1</v>
      </c>
      <c r="BH568" s="21" t="b">
        <v>0</v>
      </c>
      <c r="BK568" s="21" t="str">
        <f ca="1">_xlfn.FORMULATEXT(BE568)</f>
        <v>=G473</v>
      </c>
      <c r="BL568" s="21" t="str">
        <f ca="1">_xlfn.FORMULATEXT(BE568)</f>
        <v>=G473</v>
      </c>
    </row>
    <row r="569" spans="1:81" s="710" customFormat="1" ht="14.5" hidden="1">
      <c r="A569" s="753" t="s">
        <v>673</v>
      </c>
      <c r="B569" s="769" t="s">
        <v>1310</v>
      </c>
      <c r="C569" s="761"/>
      <c r="D569" s="761"/>
      <c r="E569" s="761"/>
      <c r="F569" s="761"/>
      <c r="G569" s="761"/>
      <c r="H569" s="761"/>
      <c r="I569" s="753"/>
      <c r="J569" s="753"/>
      <c r="K569" s="753"/>
      <c r="L569" s="753"/>
      <c r="M569" s="753"/>
      <c r="N569" s="753"/>
      <c r="O569" s="753"/>
      <c r="P569" s="761"/>
      <c r="Q569" s="712"/>
      <c r="R569" s="712"/>
      <c r="S569" s="712"/>
      <c r="T569" s="712"/>
      <c r="U569" s="712"/>
      <c r="V569" s="712"/>
      <c r="W569" s="710"/>
      <c r="X569" s="710"/>
      <c r="Y569" s="710"/>
      <c r="Z569" s="710"/>
      <c r="AA569" s="710"/>
      <c r="AB569" s="710"/>
      <c r="AC569" s="710"/>
      <c r="AD569" s="22">
        <f>ROW()</f>
        <v>569</v>
      </c>
      <c r="AE569" s="22"/>
      <c r="AF569" s="22"/>
      <c r="AG569" s="22"/>
      <c r="AH569" s="22"/>
      <c r="AI569" s="22"/>
      <c r="AJ569" s="22"/>
      <c r="AK569" s="22"/>
      <c r="AL569" s="22"/>
      <c r="AM569" s="22"/>
      <c r="AN569" s="22"/>
      <c r="AO569" s="22"/>
      <c r="AP569" s="22"/>
      <c r="AQ569" s="710"/>
      <c r="AR569" s="710"/>
      <c r="AS569" s="710"/>
      <c r="AT569" s="710"/>
      <c r="AU569" s="710"/>
      <c r="AV569" s="710"/>
      <c r="AW569" s="710"/>
      <c r="AX569" s="710"/>
      <c r="AY569" s="710"/>
      <c r="AZ569" s="710"/>
      <c r="BA569" s="710"/>
      <c r="BB569" s="710" t="s">
        <v>1311</v>
      </c>
      <c r="BC569" s="710" t="s">
        <v>127</v>
      </c>
      <c r="BD569" s="710" t="b">
        <v>1</v>
      </c>
      <c r="BE569" s="710" t="str">
        <f>J473</f>
        <v>1250</v>
      </c>
      <c r="BF569" s="710" t="str">
        <f>""&amp;J473</f>
        <v>1250</v>
      </c>
      <c r="BG569" s="710" t="b">
        <v>1</v>
      </c>
      <c r="BH569" s="710" t="b">
        <v>0</v>
      </c>
      <c r="BI569" s="710" t="str">
        <f>BE569</f>
        <v>1250</v>
      </c>
      <c r="BJ569" s="710"/>
      <c r="BK569" s="710" t="str">
        <f ca="1">_xlfn.FORMULATEXT(BE569)</f>
        <v>=J473</v>
      </c>
      <c r="BL569" s="710" t="str">
        <f ca="1">_xlfn.FORMULATEXT(BE569)</f>
        <v>=J473</v>
      </c>
      <c r="BM569" s="710"/>
      <c r="BN569" s="710"/>
      <c r="BO569" s="710"/>
      <c r="BP569" s="710"/>
      <c r="BQ569" s="710"/>
      <c r="BR569" s="710"/>
      <c r="BS569" s="710"/>
      <c r="BT569" s="710"/>
      <c r="BU569" s="710"/>
      <c r="BV569" s="710"/>
      <c r="BW569" s="710"/>
      <c r="BX569" s="710"/>
      <c r="BY569" s="710"/>
      <c r="BZ569" s="710"/>
      <c r="CA569" s="710"/>
      <c r="CB569" s="710"/>
      <c r="CC569" s="710"/>
    </row>
    <row r="570" spans="1:81" s="710" customFormat="1" ht="14.5" hidden="1">
      <c r="A570" s="753" t="s">
        <v>673</v>
      </c>
      <c r="B570" s="770" t="s">
        <v>1312</v>
      </c>
      <c r="C570" s="771" t="s">
        <v>1313</v>
      </c>
      <c r="D570" s="771"/>
      <c r="E570" s="771"/>
      <c r="F570" s="771"/>
      <c r="G570" s="771"/>
      <c r="H570" s="771"/>
      <c r="I570" s="771"/>
      <c r="J570" s="772" t="s">
        <v>1314</v>
      </c>
      <c r="K570" s="772"/>
      <c r="L570" s="772"/>
      <c r="M570" s="772"/>
      <c r="N570" s="772"/>
      <c r="O570" s="772"/>
      <c r="P570" s="773"/>
      <c r="Q570" s="712"/>
      <c r="R570" s="712"/>
      <c r="S570" s="712"/>
      <c r="T570" s="712"/>
      <c r="U570" s="712"/>
      <c r="V570" s="712"/>
      <c r="W570" s="710"/>
      <c r="X570" s="710"/>
      <c r="Y570" s="710"/>
      <c r="Z570" s="710"/>
      <c r="AA570" s="710"/>
      <c r="AB570" s="710"/>
      <c r="AC570" s="710"/>
      <c r="AD570" s="22">
        <f>ROW()</f>
        <v>570</v>
      </c>
      <c r="AE570" s="22"/>
      <c r="AF570" s="22"/>
      <c r="AG570" s="22"/>
      <c r="AH570" s="22"/>
      <c r="AI570" s="22"/>
      <c r="AJ570" s="22"/>
      <c r="AK570" s="22"/>
      <c r="AL570" s="22"/>
      <c r="AM570" s="22"/>
      <c r="AN570" s="22"/>
      <c r="AO570" s="22"/>
      <c r="AP570" s="22"/>
      <c r="AQ570" s="710"/>
      <c r="AR570" s="710"/>
      <c r="AS570" s="710"/>
      <c r="AT570" s="710"/>
      <c r="AU570" s="710"/>
      <c r="AV570" s="710"/>
      <c r="AW570" s="710"/>
      <c r="AX570" s="710"/>
      <c r="AY570" s="710"/>
      <c r="AZ570" s="710"/>
      <c r="BA570" s="710"/>
      <c r="BB570" s="710" t="s">
        <v>1315</v>
      </c>
      <c r="BC570" s="710" t="s">
        <v>127</v>
      </c>
      <c r="BD570" s="710" t="b">
        <v>0</v>
      </c>
      <c r="BE570" s="710">
        <f>M473</f>
        <v>0</v>
      </c>
      <c r="BF570" s="710" t="str">
        <f>""&amp;M473</f>
        <v/>
      </c>
      <c r="BG570" s="710" t="b">
        <v>1</v>
      </c>
      <c r="BH570" s="710" t="b">
        <v>0</v>
      </c>
      <c r="BI570" s="710" t="str">
        <f>BE569</f>
        <v>1250</v>
      </c>
      <c r="BJ570" s="710"/>
      <c r="BK570" s="710" t="str">
        <f ca="1">_xlfn.FORMULATEXT(BE570)</f>
        <v>=M473</v>
      </c>
      <c r="BL570" s="710" t="str">
        <f ca="1">_xlfn.FORMULATEXT(BE570)</f>
        <v>=M473</v>
      </c>
      <c r="BM570" s="710"/>
      <c r="BN570" s="710"/>
      <c r="BO570" s="710"/>
      <c r="BP570" s="710"/>
      <c r="BQ570" s="710"/>
      <c r="BR570" s="710"/>
      <c r="BS570" s="710"/>
      <c r="BT570" s="710"/>
      <c r="BU570" s="710"/>
      <c r="BV570" s="710"/>
      <c r="BW570" s="710"/>
      <c r="BX570" s="710"/>
      <c r="BY570" s="710"/>
      <c r="BZ570" s="710"/>
      <c r="CA570" s="710"/>
      <c r="CB570" s="710"/>
      <c r="CC570" s="710"/>
    </row>
    <row r="571" spans="1:81" s="710" customFormat="1" ht="43.25" customHeight="1" hidden="1">
      <c r="A571" s="753" t="s">
        <v>673</v>
      </c>
      <c r="B571" s="708"/>
      <c r="C571" s="774"/>
      <c r="D571" s="775"/>
      <c r="E571" s="775"/>
      <c r="F571" s="775"/>
      <c r="G571" s="775"/>
      <c r="H571" s="775"/>
      <c r="I571" s="776"/>
      <c r="J571" s="774"/>
      <c r="K571" s="775"/>
      <c r="L571" s="775"/>
      <c r="M571" s="775"/>
      <c r="N571" s="775"/>
      <c r="O571" s="776"/>
      <c r="P571" s="777"/>
      <c r="Q571" s="710"/>
      <c r="R571" s="767"/>
      <c r="S571" s="710"/>
      <c r="T571" s="710"/>
      <c r="U571" s="710"/>
      <c r="V571" s="710"/>
      <c r="W571" s="710"/>
      <c r="X571" s="710"/>
      <c r="Y571" s="710"/>
      <c r="Z571" s="710"/>
      <c r="AA571" s="710"/>
      <c r="AB571" s="710"/>
      <c r="AC571" s="710"/>
      <c r="AD571" s="22">
        <f>ROW()</f>
        <v>571</v>
      </c>
      <c r="AE571" s="22"/>
      <c r="AF571" s="22"/>
      <c r="AG571" s="22"/>
      <c r="AH571" s="22"/>
      <c r="AI571" s="22"/>
      <c r="AJ571" s="22"/>
      <c r="AK571" s="22"/>
      <c r="AL571" s="22"/>
      <c r="AM571" s="22"/>
      <c r="AN571" s="22"/>
      <c r="AO571" s="22"/>
      <c r="AP571" s="22"/>
      <c r="AQ571" s="710"/>
      <c r="AR571" s="710"/>
      <c r="AS571" s="710"/>
      <c r="AT571" s="710"/>
      <c r="AU571" s="710"/>
      <c r="AV571" s="710"/>
      <c r="AW571" s="710"/>
      <c r="AX571" s="710"/>
      <c r="AY571" s="710"/>
      <c r="AZ571" s="710"/>
      <c r="BA571" s="710"/>
      <c r="BB571" s="710" t="s">
        <v>1316</v>
      </c>
      <c r="BC571" s="710" t="s">
        <v>127</v>
      </c>
      <c r="BD571" s="710" t="b">
        <v>1</v>
      </c>
      <c r="BE571" s="710">
        <f>G474</f>
        <v>0</v>
      </c>
      <c r="BF571" s="710" t="str">
        <f>""&amp;G474</f>
        <v/>
      </c>
      <c r="BG571" s="710" t="b">
        <v>1</v>
      </c>
      <c r="BH571" s="710" t="b">
        <v>0</v>
      </c>
      <c r="BI571" s="710"/>
      <c r="BJ571" s="710"/>
      <c r="BK571" s="710" t="str">
        <f ca="1">_xlfn.FORMULATEXT(BE571)</f>
        <v>=G474</v>
      </c>
      <c r="BL571" s="710" t="str">
        <f ca="1">_xlfn.FORMULATEXT(BE571)</f>
        <v>=G474</v>
      </c>
      <c r="BM571" s="710"/>
      <c r="BN571" s="710"/>
      <c r="BO571" s="710"/>
      <c r="BP571" s="710"/>
      <c r="BQ571" s="710"/>
      <c r="BR571" s="710"/>
      <c r="BS571" s="710"/>
      <c r="BT571" s="710"/>
      <c r="BU571" s="710"/>
      <c r="BV571" s="710"/>
      <c r="BW571" s="710"/>
      <c r="BX571" s="710"/>
      <c r="BY571" s="710"/>
      <c r="BZ571" s="710"/>
      <c r="CA571" s="710"/>
      <c r="CB571" s="710"/>
      <c r="CC571" s="710"/>
    </row>
    <row r="572" spans="1:81" s="710" customFormat="1" ht="14.5" hidden="1">
      <c r="A572" s="753" t="s">
        <v>673</v>
      </c>
      <c r="B572" s="753"/>
      <c r="C572" s="753"/>
      <c r="D572" s="753"/>
      <c r="E572" s="753"/>
      <c r="F572" s="753"/>
      <c r="G572" s="753"/>
      <c r="H572" s="753"/>
      <c r="I572" s="753"/>
      <c r="J572" s="753"/>
      <c r="K572" s="753"/>
      <c r="L572" s="753"/>
      <c r="M572" s="753"/>
      <c r="N572" s="753"/>
      <c r="O572" s="753"/>
      <c r="P572" s="773"/>
      <c r="Q572" s="710"/>
      <c r="R572" s="767"/>
      <c r="S572" s="710"/>
      <c r="T572" s="710"/>
      <c r="U572" s="710"/>
      <c r="V572" s="710"/>
      <c r="W572" s="710"/>
      <c r="X572" s="710"/>
      <c r="Y572" s="710"/>
      <c r="Z572" s="710"/>
      <c r="AA572" s="710"/>
      <c r="AB572" s="710"/>
      <c r="AC572" s="710"/>
      <c r="AD572" s="22">
        <f>ROW()</f>
        <v>572</v>
      </c>
      <c r="AE572" s="22"/>
      <c r="AF572" s="22"/>
      <c r="AG572" s="22"/>
      <c r="AH572" s="22"/>
      <c r="AI572" s="22"/>
      <c r="AJ572" s="22"/>
      <c r="AK572" s="22"/>
      <c r="AL572" s="22"/>
      <c r="AM572" s="22"/>
      <c r="AN572" s="22"/>
      <c r="AO572" s="22"/>
      <c r="AP572" s="22"/>
      <c r="AQ572" s="710"/>
      <c r="AR572" s="710"/>
      <c r="AS572" s="710"/>
      <c r="AT572" s="710"/>
      <c r="AU572" s="710"/>
      <c r="AV572" s="710"/>
      <c r="AW572" s="710"/>
      <c r="AX572" s="710"/>
      <c r="AY572" s="710"/>
      <c r="AZ572" s="710"/>
      <c r="BA572" s="710"/>
      <c r="BB572" s="710" t="s">
        <v>1317</v>
      </c>
      <c r="BC572" s="710" t="s">
        <v>127</v>
      </c>
      <c r="BD572" s="710" t="b">
        <v>1</v>
      </c>
      <c r="BE572" s="710" t="str">
        <f>J474</f>
        <v>0</v>
      </c>
      <c r="BF572" s="710" t="str">
        <f>""&amp;J474</f>
        <v>0</v>
      </c>
      <c r="BG572" s="710" t="b">
        <v>1</v>
      </c>
      <c r="BH572" s="710" t="b">
        <v>0</v>
      </c>
      <c r="BI572" s="710" t="str">
        <f>BE572</f>
        <v>0</v>
      </c>
      <c r="BJ572" s="710"/>
      <c r="BK572" s="710" t="str">
        <f ca="1">_xlfn.FORMULATEXT(BE572)</f>
        <v>=J474</v>
      </c>
      <c r="BL572" s="710" t="str">
        <f ca="1">_xlfn.FORMULATEXT(BE572)</f>
        <v>=J474</v>
      </c>
      <c r="BM572" s="710"/>
      <c r="BN572" s="710"/>
      <c r="BO572" s="710"/>
      <c r="BP572" s="710"/>
      <c r="BQ572" s="710"/>
      <c r="BR572" s="710"/>
      <c r="BS572" s="710"/>
      <c r="BT572" s="710"/>
      <c r="BU572" s="710"/>
      <c r="BV572" s="710"/>
      <c r="BW572" s="710"/>
      <c r="BX572" s="710"/>
      <c r="BY572" s="710"/>
      <c r="BZ572" s="710"/>
      <c r="CA572" s="710"/>
      <c r="CB572" s="710"/>
      <c r="CC572" s="710"/>
    </row>
    <row r="573" spans="1:81" s="710" customFormat="1" ht="14.5" hidden="1">
      <c r="A573" s="753" t="s">
        <v>673</v>
      </c>
      <c r="B573" s="778" t="s">
        <v>1318</v>
      </c>
      <c r="C573" s="778"/>
      <c r="D573" s="778"/>
      <c r="E573" s="778"/>
      <c r="F573" s="778"/>
      <c r="G573" s="778"/>
      <c r="H573" s="778"/>
      <c r="I573" s="778"/>
      <c r="J573" s="778"/>
      <c r="K573" s="778"/>
      <c r="L573" s="778"/>
      <c r="M573" s="778"/>
      <c r="N573" s="778"/>
      <c r="O573" s="753"/>
      <c r="P573" s="773"/>
      <c r="Q573" s="710"/>
      <c r="R573" s="767"/>
      <c r="S573" s="710"/>
      <c r="T573" s="710"/>
      <c r="U573" s="710"/>
      <c r="V573" s="710"/>
      <c r="W573" s="710"/>
      <c r="X573" s="710"/>
      <c r="Y573" s="710"/>
      <c r="Z573" s="710"/>
      <c r="AA573" s="710"/>
      <c r="AB573" s="710"/>
      <c r="AC573" s="710"/>
      <c r="AD573" s="22">
        <f>ROW()</f>
        <v>573</v>
      </c>
      <c r="AE573" s="22"/>
      <c r="AF573" s="22"/>
      <c r="AG573" s="22"/>
      <c r="AH573" s="22"/>
      <c r="AI573" s="22"/>
      <c r="AJ573" s="22"/>
      <c r="AK573" s="22"/>
      <c r="AL573" s="22"/>
      <c r="AM573" s="22"/>
      <c r="AN573" s="22"/>
      <c r="AO573" s="22"/>
      <c r="AP573" s="22"/>
      <c r="AQ573" s="710"/>
      <c r="AR573" s="710"/>
      <c r="AS573" s="710"/>
      <c r="AT573" s="710"/>
      <c r="AU573" s="710"/>
      <c r="AV573" s="710"/>
      <c r="AW573" s="710"/>
      <c r="AX573" s="710"/>
      <c r="AY573" s="710"/>
      <c r="AZ573" s="710"/>
      <c r="BA573" s="710"/>
      <c r="BB573" s="710" t="s">
        <v>1319</v>
      </c>
      <c r="BC573" s="710" t="s">
        <v>127</v>
      </c>
      <c r="BD573" s="710" t="b">
        <v>0</v>
      </c>
      <c r="BE573" s="710">
        <f>M474</f>
        <v>0</v>
      </c>
      <c r="BF573" s="710" t="str">
        <f>""&amp;M474</f>
        <v/>
      </c>
      <c r="BG573" s="710" t="b">
        <v>1</v>
      </c>
      <c r="BH573" s="710" t="b">
        <v>0</v>
      </c>
      <c r="BI573" s="710" t="str">
        <f>BE572</f>
        <v>0</v>
      </c>
      <c r="BJ573" s="710"/>
      <c r="BK573" s="710" t="str">
        <f ca="1">_xlfn.FORMULATEXT(BE573)</f>
        <v>=M474</v>
      </c>
      <c r="BL573" s="710" t="str">
        <f ca="1">_xlfn.FORMULATEXT(BE573)</f>
        <v>=M474</v>
      </c>
      <c r="BM573" s="710"/>
      <c r="BN573" s="710"/>
      <c r="BO573" s="710"/>
      <c r="BP573" s="710"/>
      <c r="BQ573" s="710"/>
      <c r="BR573" s="710"/>
      <c r="BS573" s="710"/>
      <c r="BT573" s="710"/>
      <c r="BU573" s="710"/>
      <c r="BV573" s="710"/>
      <c r="BW573" s="710"/>
      <c r="BX573" s="710"/>
      <c r="BY573" s="710"/>
      <c r="BZ573" s="710"/>
      <c r="CA573" s="710"/>
      <c r="CB573" s="710"/>
      <c r="CC573" s="710"/>
    </row>
    <row r="574" spans="1:81" s="710" customFormat="1" ht="14.5" hidden="1">
      <c r="A574" s="753" t="s">
        <v>673</v>
      </c>
      <c r="B574" s="777"/>
      <c r="C574" s="777"/>
      <c r="D574" s="777"/>
      <c r="E574" s="777"/>
      <c r="F574" s="777"/>
      <c r="G574" s="777"/>
      <c r="H574" s="777"/>
      <c r="I574" s="777"/>
      <c r="J574" s="777"/>
      <c r="K574" s="753"/>
      <c r="L574" s="753"/>
      <c r="M574" s="753"/>
      <c r="N574" s="753"/>
      <c r="O574" s="753"/>
      <c r="P574" s="773"/>
      <c r="Q574" s="710"/>
      <c r="R574" s="767"/>
      <c r="S574" s="710"/>
      <c r="T574" s="710"/>
      <c r="U574" s="710"/>
      <c r="V574" s="710"/>
      <c r="W574" s="710"/>
      <c r="X574" s="710"/>
      <c r="Y574" s="710"/>
      <c r="Z574" s="710"/>
      <c r="AA574" s="591">
        <v>2</v>
      </c>
      <c r="AB574" s="22">
        <f>IF(AC574="0",1,2)</f>
        <v>2</v>
      </c>
      <c r="AC574" s="710"/>
      <c r="AD574" s="22">
        <f>ROW()</f>
        <v>574</v>
      </c>
      <c r="AE574" s="22"/>
      <c r="AF574" s="22"/>
      <c r="AG574" s="22"/>
      <c r="AH574" s="22"/>
      <c r="AI574" s="22"/>
      <c r="AJ574" s="22"/>
      <c r="AK574" s="22"/>
      <c r="AL574" s="22"/>
      <c r="AM574" s="22"/>
      <c r="AN574" s="22"/>
      <c r="AO574" s="22"/>
      <c r="AP574" s="22"/>
      <c r="AQ574" s="710"/>
      <c r="AR574" s="710"/>
      <c r="AS574" s="710"/>
      <c r="AT574" s="710"/>
      <c r="AU574" s="710"/>
      <c r="AV574" s="710"/>
      <c r="AW574" s="710"/>
      <c r="AX574" s="710"/>
      <c r="AY574" s="710"/>
      <c r="AZ574" s="710"/>
      <c r="BA574" s="710"/>
      <c r="BB574" s="710" t="s">
        <v>1320</v>
      </c>
      <c r="BC574" s="710" t="s">
        <v>127</v>
      </c>
      <c r="BD574" s="710" t="b">
        <v>1</v>
      </c>
      <c r="BE574" s="710">
        <f>G475</f>
        <v>0</v>
      </c>
      <c r="BF574" s="710" t="str">
        <f>""&amp;G475</f>
        <v/>
      </c>
      <c r="BG574" s="710" t="b">
        <v>1</v>
      </c>
      <c r="BH574" s="710" t="b">
        <v>0</v>
      </c>
      <c r="BI574" s="710"/>
      <c r="BJ574" s="710"/>
      <c r="BK574" s="710" t="str">
        <f ca="1">_xlfn.FORMULATEXT(BE574)</f>
        <v>=G475</v>
      </c>
      <c r="BL574" s="710" t="str">
        <f ca="1">_xlfn.FORMULATEXT(BE574)</f>
        <v>=G475</v>
      </c>
      <c r="BM574" s="710"/>
      <c r="BN574" s="710"/>
      <c r="BO574" s="710"/>
      <c r="BP574" s="710"/>
      <c r="BQ574" s="710"/>
      <c r="BR574" s="710"/>
      <c r="BS574" s="710"/>
      <c r="BT574" s="710"/>
      <c r="BU574" s="710"/>
      <c r="BV574" s="710"/>
      <c r="BW574" s="710"/>
      <c r="BX574" s="710"/>
      <c r="BY574" s="710"/>
      <c r="BZ574" s="710"/>
      <c r="CA574" s="710"/>
      <c r="CB574" s="710"/>
      <c r="CC574" s="710"/>
    </row>
    <row r="575" spans="1:81" s="710" customFormat="1" ht="14.5" hidden="1">
      <c r="A575" s="753" t="s">
        <v>673</v>
      </c>
      <c r="B575" s="753"/>
      <c r="C575" s="753"/>
      <c r="D575" s="753"/>
      <c r="E575" s="753"/>
      <c r="F575" s="753"/>
      <c r="G575" s="753"/>
      <c r="H575" s="753"/>
      <c r="I575" s="753"/>
      <c r="J575" s="753"/>
      <c r="K575" s="753"/>
      <c r="L575" s="753"/>
      <c r="M575" s="753"/>
      <c r="N575" s="753"/>
      <c r="O575" s="753"/>
      <c r="P575" s="773"/>
      <c r="Q575" s="710"/>
      <c r="R575" s="767"/>
      <c r="S575" s="710"/>
      <c r="T575" s="710"/>
      <c r="U575" s="710"/>
      <c r="V575" s="710"/>
      <c r="W575" s="710"/>
      <c r="X575" s="710"/>
      <c r="Y575" s="710"/>
      <c r="Z575" s="710"/>
      <c r="AA575" s="710"/>
      <c r="AB575" s="710"/>
      <c r="AC575" s="710"/>
      <c r="AD575" s="22">
        <f>ROW()</f>
        <v>575</v>
      </c>
      <c r="AE575" s="22"/>
      <c r="AF575" s="22"/>
      <c r="AG575" s="22"/>
      <c r="AH575" s="22"/>
      <c r="AI575" s="22"/>
      <c r="AJ575" s="22"/>
      <c r="AK575" s="22"/>
      <c r="AL575" s="22"/>
      <c r="AM575" s="22"/>
      <c r="AN575" s="22"/>
      <c r="AO575" s="22"/>
      <c r="AP575" s="22"/>
      <c r="AQ575" s="710"/>
      <c r="AR575" s="710"/>
      <c r="AS575" s="710"/>
      <c r="AT575" s="710"/>
      <c r="AU575" s="710"/>
      <c r="AV575" s="710"/>
      <c r="AW575" s="710"/>
      <c r="AX575" s="710"/>
      <c r="AY575" s="710"/>
      <c r="AZ575" s="710"/>
      <c r="BA575" s="710"/>
      <c r="BB575" s="710" t="s">
        <v>1321</v>
      </c>
      <c r="BC575" s="710" t="s">
        <v>127</v>
      </c>
      <c r="BD575" s="710" t="b">
        <v>1</v>
      </c>
      <c r="BE575" s="710" t="str">
        <f>J475</f>
        <v>19500</v>
      </c>
      <c r="BF575" s="710" t="str">
        <f>""&amp;J475</f>
        <v>19500</v>
      </c>
      <c r="BG575" s="710" t="b">
        <v>1</v>
      </c>
      <c r="BH575" s="710" t="b">
        <v>0</v>
      </c>
      <c r="BI575" s="710" t="str">
        <f>BE575</f>
        <v>19500</v>
      </c>
      <c r="BJ575" s="710"/>
      <c r="BK575" s="710" t="str">
        <f ca="1">_xlfn.FORMULATEXT(BE575)</f>
        <v>=J475</v>
      </c>
      <c r="BL575" s="710" t="str">
        <f ca="1">_xlfn.FORMULATEXT(BE575)</f>
        <v>=J475</v>
      </c>
      <c r="BM575" s="710"/>
      <c r="BN575" s="710"/>
      <c r="BO575" s="710"/>
      <c r="BP575" s="710"/>
      <c r="BQ575" s="710"/>
      <c r="BR575" s="710"/>
      <c r="BS575" s="710"/>
      <c r="BT575" s="710"/>
      <c r="BU575" s="710"/>
      <c r="BV575" s="710"/>
      <c r="BW575" s="710"/>
      <c r="BX575" s="710"/>
      <c r="BY575" s="710"/>
      <c r="BZ575" s="710"/>
      <c r="CA575" s="710"/>
      <c r="CB575" s="710"/>
      <c r="CC575" s="710"/>
    </row>
    <row r="576" spans="1:81" s="710" customFormat="1" ht="42" customHeight="1" hidden="1">
      <c r="A576" s="753" t="s">
        <v>673</v>
      </c>
      <c r="B576" s="779" t="s">
        <v>1323</v>
      </c>
      <c r="C576" s="779"/>
      <c r="D576" s="779"/>
      <c r="E576" s="779"/>
      <c r="F576" s="779"/>
      <c r="G576" s="779"/>
      <c r="H576" s="779"/>
      <c r="I576" s="779"/>
      <c r="J576" s="779"/>
      <c r="K576" s="779"/>
      <c r="L576" s="779"/>
      <c r="M576" s="779"/>
      <c r="N576" s="779"/>
      <c r="O576" s="779"/>
      <c r="P576" s="773"/>
      <c r="Q576" s="710"/>
      <c r="R576" s="767"/>
      <c r="S576" s="710"/>
      <c r="T576" s="710"/>
      <c r="U576" s="710"/>
      <c r="V576" s="710"/>
      <c r="W576" s="710"/>
      <c r="X576" s="710"/>
      <c r="Y576" s="710"/>
      <c r="Z576" s="710"/>
      <c r="AA576" s="710"/>
      <c r="AB576" s="710"/>
      <c r="AC576" s="710"/>
      <c r="AD576" s="22">
        <f>ROW()</f>
        <v>576</v>
      </c>
      <c r="AE576" s="22"/>
      <c r="AF576" s="22"/>
      <c r="AG576" s="22"/>
      <c r="AH576" s="22"/>
      <c r="AI576" s="22"/>
      <c r="AJ576" s="22"/>
      <c r="AK576" s="22"/>
      <c r="AL576" s="22"/>
      <c r="AM576" s="22"/>
      <c r="AN576" s="22"/>
      <c r="AO576" s="22"/>
      <c r="AP576" s="22"/>
      <c r="AQ576" s="710"/>
      <c r="AR576" s="710"/>
      <c r="AS576" s="710"/>
      <c r="AT576" s="710"/>
      <c r="AU576" s="710"/>
      <c r="AV576" s="710"/>
      <c r="AW576" s="710"/>
      <c r="AX576" s="710"/>
      <c r="AY576" s="710"/>
      <c r="AZ576" s="710"/>
      <c r="BA576" s="710"/>
      <c r="BB576" s="710" t="s">
        <v>1324</v>
      </c>
      <c r="BC576" s="710" t="s">
        <v>127</v>
      </c>
      <c r="BD576" s="710" t="b">
        <v>0</v>
      </c>
      <c r="BE576" s="710">
        <f>M475</f>
        <v>0</v>
      </c>
      <c r="BF576" s="710" t="str">
        <f>""&amp;M475</f>
        <v/>
      </c>
      <c r="BG576" s="710" t="b">
        <v>1</v>
      </c>
      <c r="BH576" s="710" t="b">
        <v>0</v>
      </c>
      <c r="BI576" s="710" t="str">
        <f>BE575</f>
        <v>19500</v>
      </c>
      <c r="BJ576" s="710"/>
      <c r="BK576" s="710" t="str">
        <f ca="1">_xlfn.FORMULATEXT(BE576)</f>
        <v>=M475</v>
      </c>
      <c r="BL576" s="710" t="str">
        <f ca="1">_xlfn.FORMULATEXT(BE576)</f>
        <v>=M475</v>
      </c>
      <c r="BM576" s="710"/>
      <c r="BN576" s="710"/>
      <c r="BO576" s="710"/>
      <c r="BP576" s="710"/>
      <c r="BQ576" s="710"/>
      <c r="BR576" s="710"/>
      <c r="BS576" s="710"/>
      <c r="BT576" s="710"/>
      <c r="BU576" s="710"/>
      <c r="BV576" s="710"/>
      <c r="BW576" s="710"/>
      <c r="BX576" s="710"/>
      <c r="BY576" s="710"/>
      <c r="BZ576" s="710"/>
      <c r="CA576" s="710"/>
      <c r="CB576" s="710"/>
      <c r="CC576" s="710"/>
    </row>
    <row r="577" spans="1:81" s="710" customFormat="1" ht="14.5" hidden="1">
      <c r="A577" s="753" t="s">
        <v>673</v>
      </c>
      <c r="B577" s="753"/>
      <c r="C577" s="753"/>
      <c r="D577" s="753"/>
      <c r="E577" s="753"/>
      <c r="F577" s="753"/>
      <c r="G577" s="753"/>
      <c r="H577" s="753"/>
      <c r="I577" s="753"/>
      <c r="J577" s="753"/>
      <c r="K577" s="753"/>
      <c r="L577" s="753"/>
      <c r="M577" s="753"/>
      <c r="N577" s="753"/>
      <c r="O577" s="753"/>
      <c r="P577" s="773"/>
      <c r="Q577" s="710"/>
      <c r="R577" s="710"/>
      <c r="S577" s="710"/>
      <c r="T577" s="710"/>
      <c r="U577" s="710"/>
      <c r="V577" s="710"/>
      <c r="W577" s="710"/>
      <c r="X577" s="710"/>
      <c r="Y577" s="710"/>
      <c r="Z577" s="710"/>
      <c r="AA577" s="780">
        <v>2</v>
      </c>
      <c r="AB577" s="22">
        <f>IF(AC577="0",1,2)</f>
        <v>2</v>
      </c>
      <c r="AC577" s="710"/>
      <c r="AD577" s="22">
        <f>ROW()</f>
        <v>577</v>
      </c>
      <c r="AE577" s="22"/>
      <c r="AF577" s="22"/>
      <c r="AG577" s="22"/>
      <c r="AH577" s="22"/>
      <c r="AI577" s="22"/>
      <c r="AJ577" s="22"/>
      <c r="AK577" s="22"/>
      <c r="AL577" s="22"/>
      <c r="AM577" s="22"/>
      <c r="AN577" s="22"/>
      <c r="AO577" s="22"/>
      <c r="AP577" s="22"/>
      <c r="AQ577" s="710"/>
      <c r="AR577" s="710"/>
      <c r="AS577" s="710"/>
      <c r="AT577" s="710"/>
      <c r="AU577" s="710"/>
      <c r="AV577" s="710"/>
      <c r="AW577" s="710"/>
      <c r="AX577" s="710"/>
      <c r="AY577" s="710"/>
      <c r="AZ577" s="710"/>
      <c r="BA577" s="710"/>
      <c r="BB577" s="710" t="s">
        <v>1325</v>
      </c>
      <c r="BC577" s="710" t="s">
        <v>127</v>
      </c>
      <c r="BD577" s="710" t="b">
        <v>1</v>
      </c>
      <c r="BE577" s="710" t="str">
        <f>G476</f>
        <v>0.00</v>
      </c>
      <c r="BF577" s="710" t="str">
        <f>""&amp;G476</f>
        <v>0.00</v>
      </c>
      <c r="BG577" s="710" t="b">
        <v>0</v>
      </c>
      <c r="BH577" s="710" t="b">
        <v>0</v>
      </c>
      <c r="BI577" s="710"/>
      <c r="BJ577" s="710"/>
      <c r="BK577" s="710" t="str">
        <f ca="1">_xlfn.FORMULATEXT(BE577)</f>
        <v>=G476</v>
      </c>
      <c r="BL577" s="710" t="str">
        <f ca="1">_xlfn.FORMULATEXT(BE577)</f>
        <v>=G476</v>
      </c>
      <c r="BM577" s="710"/>
      <c r="BN577" s="710"/>
      <c r="BO577" s="710"/>
      <c r="BP577" s="710"/>
      <c r="BQ577" s="710"/>
      <c r="BR577" s="710"/>
      <c r="BS577" s="710"/>
      <c r="BT577" s="710"/>
      <c r="BU577" s="710"/>
      <c r="BV577" s="710"/>
      <c r="BW577" s="710"/>
      <c r="BX577" s="710"/>
      <c r="BY577" s="710"/>
      <c r="BZ577" s="710"/>
      <c r="CA577" s="710"/>
      <c r="CB577" s="710"/>
      <c r="CC577" s="710"/>
    </row>
    <row r="578" spans="1:81" s="710" customFormat="1" ht="14.5" hidden="1">
      <c r="A578" s="753" t="s">
        <v>673</v>
      </c>
      <c r="B578" s="753"/>
      <c r="C578" s="753"/>
      <c r="D578" s="753"/>
      <c r="E578" s="753"/>
      <c r="F578" s="753"/>
      <c r="G578" s="753"/>
      <c r="H578" s="753"/>
      <c r="I578" s="753"/>
      <c r="J578" s="753"/>
      <c r="K578" s="753"/>
      <c r="L578" s="753"/>
      <c r="M578" s="753"/>
      <c r="N578" s="753"/>
      <c r="O578" s="753"/>
      <c r="P578" s="773"/>
      <c r="Q578" s="710"/>
      <c r="R578" s="710"/>
      <c r="S578" s="710"/>
      <c r="T578" s="710"/>
      <c r="U578" s="710"/>
      <c r="V578" s="710"/>
      <c r="W578" s="710"/>
      <c r="X578" s="710"/>
      <c r="Y578" s="710"/>
      <c r="Z578" s="710"/>
      <c r="AA578" s="710"/>
      <c r="AB578" s="710"/>
      <c r="AC578" s="710"/>
      <c r="AD578" s="22">
        <f>ROW()</f>
        <v>578</v>
      </c>
      <c r="AE578" s="22"/>
      <c r="AF578" s="22"/>
      <c r="AG578" s="22"/>
      <c r="AH578" s="22"/>
      <c r="AI578" s="22"/>
      <c r="AJ578" s="22"/>
      <c r="AK578" s="22"/>
      <c r="AL578" s="22"/>
      <c r="AM578" s="22"/>
      <c r="AN578" s="22"/>
      <c r="AO578" s="22"/>
      <c r="AP578" s="22"/>
      <c r="AQ578" s="710"/>
      <c r="AR578" s="710"/>
      <c r="AS578" s="710"/>
      <c r="AT578" s="710"/>
      <c r="AU578" s="710"/>
      <c r="AV578" s="710"/>
      <c r="AW578" s="710"/>
      <c r="AX578" s="710"/>
      <c r="AY578" s="710"/>
      <c r="AZ578" s="710"/>
      <c r="BA578" s="710"/>
      <c r="BB578" s="710" t="s">
        <v>1326</v>
      </c>
      <c r="BC578" s="710" t="s">
        <v>127</v>
      </c>
      <c r="BD578" s="710" t="b">
        <v>1</v>
      </c>
      <c r="BE578" s="710" t="str">
        <f>J476</f>
        <v>28250.00</v>
      </c>
      <c r="BF578" s="710" t="str">
        <f>""&amp;J476</f>
        <v>28250.00</v>
      </c>
      <c r="BG578" s="710" t="b">
        <v>0</v>
      </c>
      <c r="BH578" s="710" t="b">
        <v>0</v>
      </c>
      <c r="BI578" s="710" t="str">
        <f>BE578</f>
        <v>28250.00</v>
      </c>
      <c r="BJ578" s="710"/>
      <c r="BK578" s="710" t="str">
        <f ca="1">_xlfn.FORMULATEXT(BE578)</f>
        <v>=J476</v>
      </c>
      <c r="BL578" s="710" t="str">
        <f ca="1">_xlfn.FORMULATEXT(BE578)</f>
        <v>=J476</v>
      </c>
      <c r="BM578" s="710"/>
      <c r="BN578" s="710"/>
      <c r="BO578" s="710"/>
      <c r="BP578" s="710"/>
      <c r="BQ578" s="710"/>
      <c r="BR578" s="757"/>
      <c r="BS578" s="710"/>
      <c r="BT578" s="710"/>
      <c r="BU578" s="710"/>
      <c r="BV578" s="710"/>
      <c r="BW578" s="710"/>
      <c r="BX578" s="710"/>
      <c r="BY578" s="710"/>
      <c r="BZ578" s="710"/>
      <c r="CA578" s="710"/>
      <c r="CB578" s="710"/>
      <c r="CC578" s="710"/>
    </row>
    <row r="579" spans="1:64" ht="14.5">
      <c r="A579" s="64" t="s">
        <v>673</v>
      </c>
      <c r="B579" s="292" t="s">
        <v>1328</v>
      </c>
      <c r="C579" s="292"/>
      <c r="D579" s="292"/>
      <c r="E579" s="292"/>
      <c r="F579" s="292"/>
      <c r="G579" s="292"/>
      <c r="H579" s="292"/>
      <c r="I579" s="292"/>
      <c r="J579" s="292"/>
      <c r="K579" s="64"/>
      <c r="L579" s="64"/>
      <c r="M579" s="64"/>
      <c r="N579" s="64"/>
      <c r="O579" s="64"/>
      <c r="P579" s="343"/>
      <c r="AD579" s="22">
        <f>ROW()</f>
        <v>579</v>
      </c>
      <c r="AE579" s="22"/>
      <c r="AF579" s="22"/>
      <c r="AG579" s="22"/>
      <c r="AH579" s="22"/>
      <c r="AI579" s="22"/>
      <c r="AJ579" s="22"/>
      <c r="AK579" s="22"/>
      <c r="AL579" s="22"/>
      <c r="AM579" s="22"/>
      <c r="AN579" s="22"/>
      <c r="AO579" s="22"/>
      <c r="AP579" s="22"/>
      <c r="BB579" s="21" t="s">
        <v>1329</v>
      </c>
      <c r="BC579" s="21" t="s">
        <v>127</v>
      </c>
      <c r="BD579" s="21" t="b">
        <v>0</v>
      </c>
      <c r="BE579" s="21">
        <f>M476</f>
        <v>0</v>
      </c>
      <c r="BF579" s="21" t="str">
        <f>""&amp;M476</f>
        <v/>
      </c>
      <c r="BG579" s="21" t="b">
        <v>1</v>
      </c>
      <c r="BH579" s="21" t="b">
        <v>0</v>
      </c>
      <c r="BI579" s="21" t="str">
        <f>BE578</f>
        <v>28250.00</v>
      </c>
      <c r="BK579" s="21" t="str">
        <f ca="1">_xlfn.FORMULATEXT(BE579)</f>
        <v>=M476</v>
      </c>
      <c r="BL579" s="21" t="str">
        <f ca="1">_xlfn.FORMULATEXT(BE579)</f>
        <v>=M476</v>
      </c>
    </row>
    <row r="580" spans="1:69" ht="14.5">
      <c r="A580" s="64" t="s">
        <v>673</v>
      </c>
      <c r="B580" s="406" t="s">
        <v>1330</v>
      </c>
      <c r="C580" s="406"/>
      <c r="D580" s="406"/>
      <c r="E580" s="406"/>
      <c r="F580" s="118"/>
      <c r="G580" s="64"/>
      <c r="H580" s="64"/>
      <c r="I580" s="64"/>
      <c r="J580" s="64"/>
      <c r="K580" s="64"/>
      <c r="L580" s="64"/>
      <c r="M580" s="64"/>
      <c r="N580" s="64"/>
      <c r="O580" s="64"/>
      <c r="P580" s="64"/>
      <c r="AD580" s="22">
        <f>ROW()</f>
        <v>580</v>
      </c>
      <c r="AE580" s="22"/>
      <c r="AF580" s="22"/>
      <c r="AG580" s="22"/>
      <c r="AH580" s="22"/>
      <c r="AI580" s="22"/>
      <c r="AJ580" s="22"/>
      <c r="AK580" s="22"/>
      <c r="AL580" s="22"/>
      <c r="AM580" s="22"/>
      <c r="AN580" s="22"/>
      <c r="AO580" s="22"/>
      <c r="AP580" s="22"/>
      <c r="BB580" s="21" t="s">
        <v>1331</v>
      </c>
      <c r="BC580" s="21" t="s">
        <v>127</v>
      </c>
      <c r="BD580" s="21" t="b">
        <v>1</v>
      </c>
      <c r="BE580" s="21" t="str">
        <f>G477</f>
        <v>0.00</v>
      </c>
      <c r="BF580" s="21" t="str">
        <f>""&amp;G477</f>
        <v>0.00</v>
      </c>
      <c r="BG580" s="21" t="b">
        <v>0</v>
      </c>
      <c r="BH580" s="21" t="b">
        <v>0</v>
      </c>
      <c r="BK580" s="21" t="str">
        <f ca="1">_xlfn.FORMULATEXT(BE580)</f>
        <v>=G477</v>
      </c>
      <c r="BL580" s="21" t="str">
        <f ca="1">_xlfn.FORMULATEXT(BE580)</f>
        <v>=G477</v>
      </c>
      <c r="BO580" s="261"/>
      <c r="BP580" s="261"/>
      <c r="BQ580" s="261"/>
    </row>
    <row r="581" spans="1:64" ht="14.5">
      <c r="A581" s="64" t="s">
        <v>673</v>
      </c>
      <c r="B581" s="541" t="s">
        <v>170</v>
      </c>
      <c r="C581" s="657"/>
      <c r="D581" s="657"/>
      <c r="E581" s="658"/>
      <c r="F581" s="64"/>
      <c r="G581" s="64"/>
      <c r="H581" s="64"/>
      <c r="I581" s="64"/>
      <c r="J581" s="64"/>
      <c r="K581" s="64"/>
      <c r="L581" s="64"/>
      <c r="M581" s="64"/>
      <c r="N581" s="64"/>
      <c r="O581" s="64"/>
      <c r="P581" s="64"/>
      <c r="AA581" s="21">
        <v>1</v>
      </c>
      <c r="AD581" s="22">
        <f>ROW()</f>
        <v>581</v>
      </c>
      <c r="AE581" s="22"/>
      <c r="AF581" s="22"/>
      <c r="AG581" s="22"/>
      <c r="AH581" s="22"/>
      <c r="AI581" s="22"/>
      <c r="AJ581" s="22"/>
      <c r="AK581" s="22"/>
      <c r="AL581" s="22"/>
      <c r="AM581" s="22"/>
      <c r="AN581" s="22"/>
      <c r="AO581" s="22"/>
      <c r="AP581" s="22"/>
      <c r="BB581" s="21" t="s">
        <v>1332</v>
      </c>
      <c r="BC581" s="21" t="s">
        <v>127</v>
      </c>
      <c r="BD581" s="21" t="b">
        <v>1</v>
      </c>
      <c r="BE581" s="21" t="str">
        <f>J477</f>
        <v>-28250.00</v>
      </c>
      <c r="BF581" s="21" t="str">
        <f>""&amp;J477</f>
        <v>-28250.00</v>
      </c>
      <c r="BG581" s="21" t="b">
        <v>0</v>
      </c>
      <c r="BH581" s="21" t="b">
        <v>0</v>
      </c>
      <c r="BI581" s="21" t="str">
        <f>BE581</f>
        <v>-28250.00</v>
      </c>
      <c r="BK581" s="21" t="str">
        <f ca="1">_xlfn.FORMULATEXT(BE581)</f>
        <v>=J477</v>
      </c>
      <c r="BL581" s="21" t="str">
        <f ca="1">_xlfn.FORMULATEXT(BE581)</f>
        <v>=J477</v>
      </c>
    </row>
    <row r="582" spans="1:64" ht="14.5">
      <c r="A582" s="64" t="s">
        <v>673</v>
      </c>
      <c r="B582" s="64"/>
      <c r="C582" s="64"/>
      <c r="D582" s="64"/>
      <c r="E582" s="64"/>
      <c r="F582" s="64"/>
      <c r="G582" s="64"/>
      <c r="H582" s="64"/>
      <c r="I582" s="64"/>
      <c r="J582" s="64"/>
      <c r="K582" s="64"/>
      <c r="L582" s="64"/>
      <c r="M582" s="64"/>
      <c r="N582" s="64"/>
      <c r="O582" s="64"/>
      <c r="P582" s="64"/>
      <c r="AD582" s="22">
        <f>ROW()</f>
        <v>582</v>
      </c>
      <c r="AE582" s="22"/>
      <c r="AF582" s="22"/>
      <c r="AG582" s="22"/>
      <c r="AH582" s="22"/>
      <c r="AI582" s="22"/>
      <c r="AJ582" s="22"/>
      <c r="AK582" s="22"/>
      <c r="AL582" s="22"/>
      <c r="AM582" s="22"/>
      <c r="AN582" s="22"/>
      <c r="AO582" s="22"/>
      <c r="AP582" s="22"/>
      <c r="BB582" s="21" t="s">
        <v>1333</v>
      </c>
      <c r="BC582" s="21" t="s">
        <v>127</v>
      </c>
      <c r="BD582" s="21" t="b">
        <v>0</v>
      </c>
      <c r="BE582" s="21">
        <f>M477</f>
        <v>0</v>
      </c>
      <c r="BF582" s="21" t="str">
        <f>""&amp;M477</f>
        <v/>
      </c>
      <c r="BG582" s="21" t="b">
        <v>1</v>
      </c>
      <c r="BH582" s="21" t="b">
        <v>0</v>
      </c>
      <c r="BI582" s="21" t="str">
        <f>BE581</f>
        <v>-28250.00</v>
      </c>
      <c r="BK582" s="21" t="str">
        <f ca="1">_xlfn.FORMULATEXT(BE582)</f>
        <v>=M477</v>
      </c>
      <c r="BL582" s="21" t="str">
        <f ca="1">_xlfn.FORMULATEXT(BE582)</f>
        <v>=M477</v>
      </c>
    </row>
    <row r="583" spans="1:64" ht="14.5">
      <c r="A583" s="64"/>
      <c r="B583" s="292" t="s">
        <v>1334</v>
      </c>
      <c r="C583" s="292"/>
      <c r="D583" s="292"/>
      <c r="E583" s="292"/>
      <c r="F583" s="292"/>
      <c r="G583" s="292"/>
      <c r="H583" s="292"/>
      <c r="I583" s="292"/>
      <c r="J583" s="64"/>
      <c r="K583" s="64"/>
      <c r="L583" s="64"/>
      <c r="M583" s="64"/>
      <c r="N583" s="64"/>
      <c r="O583" s="64"/>
      <c r="P583" s="64"/>
      <c r="Q583" s="362"/>
      <c r="AD583" s="22">
        <f>ROW()</f>
        <v>583</v>
      </c>
      <c r="AE583" s="22"/>
      <c r="AF583" s="22"/>
      <c r="AG583" s="22"/>
      <c r="AH583" s="22"/>
      <c r="AI583" s="22"/>
      <c r="AJ583" s="22"/>
      <c r="AK583" s="22"/>
      <c r="AL583" s="22"/>
      <c r="AM583" s="22"/>
      <c r="AN583" s="22"/>
      <c r="AO583" s="22"/>
      <c r="AP583" s="22"/>
      <c r="BB583" s="21" t="s">
        <v>1335</v>
      </c>
      <c r="BC583" s="21" t="s">
        <v>127</v>
      </c>
      <c r="BD583" s="21" t="b">
        <v>1</v>
      </c>
      <c r="BE583" s="21">
        <f>G478</f>
        <v>0</v>
      </c>
      <c r="BF583" s="21" t="str">
        <f>""&amp;G478</f>
        <v/>
      </c>
      <c r="BG583" s="21" t="b">
        <v>1</v>
      </c>
      <c r="BH583" s="21" t="b">
        <v>0</v>
      </c>
      <c r="BK583" s="21" t="str">
        <f ca="1">_xlfn.FORMULATEXT(BE583)</f>
        <v>=G478</v>
      </c>
      <c r="BL583" s="21" t="str">
        <f ca="1">_xlfn.FORMULATEXT(BE583)</f>
        <v>=G478</v>
      </c>
    </row>
    <row r="584" spans="1:64" ht="14.4" customHeight="1">
      <c r="A584" s="64"/>
      <c r="B584" s="118" t="s">
        <v>1336</v>
      </c>
      <c r="C584" s="118"/>
      <c r="D584" s="118"/>
      <c r="E584" s="118"/>
      <c r="F584" s="118"/>
      <c r="G584" s="118"/>
      <c r="H584" s="118"/>
      <c r="I584" s="64"/>
      <c r="J584" s="64"/>
      <c r="K584" s="64"/>
      <c r="L584" s="64"/>
      <c r="M584" s="64"/>
      <c r="N584" s="64"/>
      <c r="O584" s="64"/>
      <c r="P584" s="64"/>
      <c r="Q584" s="53"/>
      <c r="AD584" s="22">
        <f>ROW()</f>
        <v>584</v>
      </c>
      <c r="AE584" s="22"/>
      <c r="AF584" s="22"/>
      <c r="AG584" s="22"/>
      <c r="AH584" s="22"/>
      <c r="AI584" s="22"/>
      <c r="AJ584" s="22"/>
      <c r="AK584" s="22"/>
      <c r="AL584" s="22"/>
      <c r="AM584" s="22"/>
      <c r="AN584" s="22"/>
      <c r="AO584" s="22"/>
      <c r="AP584" s="22"/>
      <c r="BB584" s="21" t="s">
        <v>1337</v>
      </c>
      <c r="BC584" s="21" t="s">
        <v>127</v>
      </c>
      <c r="BD584" s="21" t="b">
        <v>1</v>
      </c>
      <c r="BE584" s="21" t="str">
        <f>J478</f>
        <v>0</v>
      </c>
      <c r="BF584" s="21" t="str">
        <f>""&amp;J478</f>
        <v>0</v>
      </c>
      <c r="BG584" s="21" t="b">
        <v>1</v>
      </c>
      <c r="BH584" s="21" t="b">
        <v>0</v>
      </c>
      <c r="BI584" s="21" t="str">
        <f>BE584</f>
        <v>0</v>
      </c>
      <c r="BK584" s="21" t="str">
        <f ca="1">_xlfn.FORMULATEXT(BE584)</f>
        <v>=J478</v>
      </c>
      <c r="BL584" s="21" t="str">
        <f ca="1">_xlfn.FORMULATEXT(BE584)</f>
        <v>=J478</v>
      </c>
    </row>
    <row r="585" spans="1:66" ht="14.5">
      <c r="A585" s="64"/>
      <c r="B585" s="64"/>
      <c r="C585" s="64"/>
      <c r="D585" s="64"/>
      <c r="E585" s="64"/>
      <c r="F585" s="64"/>
      <c r="G585" s="64"/>
      <c r="H585" s="64"/>
      <c r="I585" s="64"/>
      <c r="J585" s="64"/>
      <c r="K585" s="64"/>
      <c r="L585" s="64"/>
      <c r="M585" s="64"/>
      <c r="N585" s="64"/>
      <c r="O585" s="64"/>
      <c r="P585" s="64"/>
      <c r="AA585" s="591">
        <v>2</v>
      </c>
      <c r="AB585" s="22">
        <f>IF(AC585="0",1,2)</f>
        <v>2</v>
      </c>
      <c r="AC585" s="21" t="s">
        <v>44</v>
      </c>
      <c r="AD585" s="22">
        <f>ROW()</f>
        <v>585</v>
      </c>
      <c r="AE585" s="22"/>
      <c r="AF585" s="22"/>
      <c r="AG585" s="22"/>
      <c r="AH585" s="22"/>
      <c r="AI585" s="22"/>
      <c r="AJ585" s="22"/>
      <c r="AK585" s="22"/>
      <c r="AL585" s="22"/>
      <c r="AM585" s="22"/>
      <c r="AN585" s="22"/>
      <c r="AO585" s="22"/>
      <c r="AP585" s="22"/>
      <c r="BB585" s="21" t="s">
        <v>1338</v>
      </c>
      <c r="BC585" s="21" t="s">
        <v>127</v>
      </c>
      <c r="BD585" s="21" t="b">
        <v>0</v>
      </c>
      <c r="BE585" s="21">
        <f>M478</f>
        <v>0</v>
      </c>
      <c r="BF585" s="21" t="str">
        <f>""&amp;M478</f>
        <v/>
      </c>
      <c r="BG585" s="21" t="b">
        <v>1</v>
      </c>
      <c r="BH585" s="21" t="b">
        <v>0</v>
      </c>
      <c r="BI585" s="21" t="str">
        <f>BE584</f>
        <v>0</v>
      </c>
      <c r="BK585" s="21" t="str">
        <f ca="1">_xlfn.FORMULATEXT(BE585)</f>
        <v>=M478</v>
      </c>
      <c r="BL585" s="21" t="str">
        <f ca="1">_xlfn.FORMULATEXT(BE585)</f>
        <v>=M478</v>
      </c>
      <c r="BN585" s="261"/>
    </row>
    <row r="586" spans="1:64" ht="14.5">
      <c r="A586" s="64"/>
      <c r="B586" s="64"/>
      <c r="C586" s="64"/>
      <c r="D586" s="64"/>
      <c r="E586" s="64"/>
      <c r="F586" s="64"/>
      <c r="G586" s="64"/>
      <c r="H586" s="64"/>
      <c r="I586" s="64"/>
      <c r="J586" s="64"/>
      <c r="K586" s="64"/>
      <c r="L586" s="64"/>
      <c r="M586" s="64"/>
      <c r="N586" s="64"/>
      <c r="O586" s="64"/>
      <c r="P586" s="64"/>
      <c r="AD586" s="22">
        <f>ROW()</f>
        <v>586</v>
      </c>
      <c r="AE586" s="22"/>
      <c r="AF586" s="22"/>
      <c r="AG586" s="22"/>
      <c r="AH586" s="22"/>
      <c r="AI586" s="22"/>
      <c r="AJ586" s="22"/>
      <c r="AK586" s="22"/>
      <c r="AL586" s="22"/>
      <c r="AM586" s="22"/>
      <c r="AN586" s="22"/>
      <c r="AO586" s="22"/>
      <c r="AP586" s="22"/>
      <c r="BB586" s="21" t="s">
        <v>1339</v>
      </c>
      <c r="BC586" s="21" t="s">
        <v>127</v>
      </c>
      <c r="BD586" s="21" t="b">
        <v>1</v>
      </c>
      <c r="BE586" s="21" t="str">
        <f>G479</f>
        <v>0.00</v>
      </c>
      <c r="BF586" s="21" t="str">
        <f>""&amp;G479</f>
        <v>0.00</v>
      </c>
      <c r="BG586" s="21" t="b">
        <v>0</v>
      </c>
      <c r="BH586" s="21" t="b">
        <v>0</v>
      </c>
      <c r="BK586" s="21" t="str">
        <f ca="1">_xlfn.FORMULATEXT(BE586)</f>
        <v>=G479</v>
      </c>
      <c r="BL586" s="21" t="str">
        <f ca="1">_xlfn.FORMULATEXT(BE586)</f>
        <v>=G479</v>
      </c>
    </row>
    <row r="587" spans="1:81" s="710" customFormat="1" ht="14.5" hidden="1">
      <c r="A587" s="753" t="s">
        <v>673</v>
      </c>
      <c r="B587" s="778" t="s">
        <v>1341</v>
      </c>
      <c r="C587" s="778"/>
      <c r="D587" s="778"/>
      <c r="E587" s="778"/>
      <c r="F587" s="778"/>
      <c r="G587" s="778"/>
      <c r="H587" s="778"/>
      <c r="I587" s="778"/>
      <c r="J587" s="778"/>
      <c r="K587" s="778"/>
      <c r="L587" s="753"/>
      <c r="M587" s="753"/>
      <c r="N587" s="753"/>
      <c r="O587" s="753"/>
      <c r="P587" s="753"/>
      <c r="Q587" s="710"/>
      <c r="R587" s="710"/>
      <c r="S587" s="710"/>
      <c r="T587" s="710"/>
      <c r="U587" s="710"/>
      <c r="V587" s="710"/>
      <c r="W587" s="710"/>
      <c r="X587" s="710"/>
      <c r="Y587" s="710"/>
      <c r="Z587" s="710"/>
      <c r="AA587" s="710"/>
      <c r="AB587" s="710"/>
      <c r="AC587" s="710"/>
      <c r="AD587" s="22">
        <f>ROW()</f>
        <v>587</v>
      </c>
      <c r="AE587" s="22"/>
      <c r="AF587" s="22"/>
      <c r="AG587" s="22"/>
      <c r="AH587" s="22"/>
      <c r="AI587" s="22"/>
      <c r="AJ587" s="22"/>
      <c r="AK587" s="22"/>
      <c r="AL587" s="22"/>
      <c r="AM587" s="22"/>
      <c r="AN587" s="22"/>
      <c r="AO587" s="22"/>
      <c r="AP587" s="22"/>
      <c r="AQ587" s="710"/>
      <c r="AR587" s="710"/>
      <c r="AS587" s="710"/>
      <c r="AT587" s="710"/>
      <c r="AU587" s="710"/>
      <c r="AV587" s="710"/>
      <c r="AW587" s="710"/>
      <c r="AX587" s="710"/>
      <c r="AY587" s="710"/>
      <c r="AZ587" s="710"/>
      <c r="BA587" s="710"/>
      <c r="BB587" s="710" t="s">
        <v>1342</v>
      </c>
      <c r="BC587" s="710" t="s">
        <v>127</v>
      </c>
      <c r="BD587" s="710" t="b">
        <v>1</v>
      </c>
      <c r="BE587" s="710" t="str">
        <f>J479</f>
        <v>-28250.00</v>
      </c>
      <c r="BF587" s="710" t="str">
        <f>""&amp;J479</f>
        <v>-28250.00</v>
      </c>
      <c r="BG587" s="710" t="b">
        <v>0</v>
      </c>
      <c r="BH587" s="710" t="b">
        <v>0</v>
      </c>
      <c r="BI587" s="710" t="str">
        <f>BE587</f>
        <v>-28250.00</v>
      </c>
      <c r="BJ587" s="710"/>
      <c r="BK587" s="710" t="str">
        <f ca="1">_xlfn.FORMULATEXT(BE587)</f>
        <v>=J479</v>
      </c>
      <c r="BL587" s="710" t="str">
        <f ca="1">_xlfn.FORMULATEXT(BE587)</f>
        <v>=J479</v>
      </c>
      <c r="BM587" s="710"/>
      <c r="BN587" s="710"/>
      <c r="BO587" s="710"/>
      <c r="BP587" s="710"/>
      <c r="BQ587" s="710"/>
      <c r="BR587" s="710"/>
      <c r="BS587" s="710"/>
      <c r="BT587" s="710"/>
      <c r="BU587" s="710"/>
      <c r="BV587" s="710"/>
      <c r="BW587" s="710"/>
      <c r="BX587" s="710"/>
      <c r="BY587" s="710"/>
      <c r="BZ587" s="710"/>
      <c r="CA587" s="710"/>
      <c r="CB587" s="710"/>
      <c r="CC587" s="710"/>
    </row>
    <row r="588" spans="1:81" s="710" customFormat="1" ht="14.5" hidden="1">
      <c r="A588" s="753" t="s">
        <v>673</v>
      </c>
      <c r="B588" s="777"/>
      <c r="C588" s="777"/>
      <c r="D588" s="777"/>
      <c r="E588" s="777"/>
      <c r="F588" s="777"/>
      <c r="G588" s="777"/>
      <c r="H588" s="777"/>
      <c r="I588" s="777"/>
      <c r="J588" s="777"/>
      <c r="K588" s="753"/>
      <c r="L588" s="753"/>
      <c r="M588" s="753"/>
      <c r="N588" s="753"/>
      <c r="O588" s="753"/>
      <c r="P588" s="753"/>
      <c r="Q588" s="710"/>
      <c r="R588" s="710"/>
      <c r="S588" s="710"/>
      <c r="T588" s="710"/>
      <c r="U588" s="710"/>
      <c r="V588" s="710"/>
      <c r="W588" s="710"/>
      <c r="X588" s="710"/>
      <c r="Y588" s="710"/>
      <c r="Z588" s="710"/>
      <c r="AA588" s="591">
        <v>2</v>
      </c>
      <c r="AB588" s="22">
        <f>IF(AC588="0",1,2)</f>
        <v>2</v>
      </c>
      <c r="AC588" s="710"/>
      <c r="AD588" s="22">
        <f>ROW()</f>
        <v>588</v>
      </c>
      <c r="AE588" s="22"/>
      <c r="AF588" s="22"/>
      <c r="AG588" s="22"/>
      <c r="AH588" s="22"/>
      <c r="AI588" s="22"/>
      <c r="AJ588" s="22"/>
      <c r="AK588" s="22"/>
      <c r="AL588" s="22"/>
      <c r="AM588" s="22"/>
      <c r="AN588" s="22"/>
      <c r="AO588" s="22"/>
      <c r="AP588" s="22"/>
      <c r="AQ588" s="710"/>
      <c r="AR588" s="710"/>
      <c r="AS588" s="710"/>
      <c r="AT588" s="710"/>
      <c r="AU588" s="710"/>
      <c r="AV588" s="710"/>
      <c r="AW588" s="710"/>
      <c r="AX588" s="710"/>
      <c r="AY588" s="710"/>
      <c r="AZ588" s="710"/>
      <c r="BA588" s="710"/>
      <c r="BB588" s="710" t="s">
        <v>1343</v>
      </c>
      <c r="BC588" s="710" t="s">
        <v>127</v>
      </c>
      <c r="BD588" s="710" t="b">
        <v>0</v>
      </c>
      <c r="BE588" s="710">
        <f>M479</f>
        <v>0</v>
      </c>
      <c r="BF588" s="710" t="str">
        <f>""&amp;M479</f>
        <v/>
      </c>
      <c r="BG588" s="710" t="b">
        <v>1</v>
      </c>
      <c r="BH588" s="710" t="b">
        <v>0</v>
      </c>
      <c r="BI588" s="710" t="str">
        <f>BE587</f>
        <v>-28250.00</v>
      </c>
      <c r="BJ588" s="710"/>
      <c r="BK588" s="710" t="str">
        <f ca="1">_xlfn.FORMULATEXT(BE588)</f>
        <v>=M479</v>
      </c>
      <c r="BL588" s="710" t="str">
        <f ca="1">_xlfn.FORMULATEXT(BE588)</f>
        <v>=M479</v>
      </c>
      <c r="BM588" s="710"/>
      <c r="BN588" s="710"/>
      <c r="BO588" s="710"/>
      <c r="BP588" s="710"/>
      <c r="BQ588" s="710"/>
      <c r="BR588" s="710"/>
      <c r="BS588" s="710"/>
      <c r="BT588" s="710"/>
      <c r="BU588" s="710"/>
      <c r="BV588" s="710"/>
      <c r="BW588" s="710"/>
      <c r="BX588" s="710"/>
      <c r="BY588" s="710"/>
      <c r="BZ588" s="710"/>
      <c r="CA588" s="710"/>
      <c r="CB588" s="710"/>
      <c r="CC588" s="710"/>
    </row>
    <row r="589" spans="1:81" s="710" customFormat="1" ht="14.5" hidden="1">
      <c r="A589" s="753" t="s">
        <v>673</v>
      </c>
      <c r="B589" s="753"/>
      <c r="C589" s="753"/>
      <c r="D589" s="753"/>
      <c r="E589" s="753"/>
      <c r="F589" s="753"/>
      <c r="G589" s="753"/>
      <c r="H589" s="753"/>
      <c r="I589" s="753"/>
      <c r="J589" s="753"/>
      <c r="K589" s="753"/>
      <c r="L589" s="753"/>
      <c r="M589" s="753"/>
      <c r="N589" s="753"/>
      <c r="O589" s="753"/>
      <c r="P589" s="753"/>
      <c r="Q589" s="743"/>
      <c r="R589" s="710"/>
      <c r="S589" s="710"/>
      <c r="T589" s="710"/>
      <c r="U589" s="710"/>
      <c r="V589" s="710"/>
      <c r="W589" s="710"/>
      <c r="X589" s="710"/>
      <c r="Y589" s="710"/>
      <c r="Z589" s="710"/>
      <c r="AA589" s="710"/>
      <c r="AB589" s="710"/>
      <c r="AC589" s="710"/>
      <c r="AD589" s="22">
        <f>ROW()</f>
        <v>589</v>
      </c>
      <c r="AE589" s="22"/>
      <c r="AF589" s="22"/>
      <c r="AG589" s="22"/>
      <c r="AH589" s="22"/>
      <c r="AI589" s="22"/>
      <c r="AJ589" s="22"/>
      <c r="AK589" s="22"/>
      <c r="AL589" s="22"/>
      <c r="AM589" s="22"/>
      <c r="AN589" s="22"/>
      <c r="AO589" s="22"/>
      <c r="AP589" s="22"/>
      <c r="AQ589" s="710"/>
      <c r="AR589" s="710"/>
      <c r="AS589" s="710"/>
      <c r="AT589" s="710"/>
      <c r="AU589" s="710"/>
      <c r="AV589" s="710"/>
      <c r="AW589" s="710"/>
      <c r="AX589" s="710"/>
      <c r="AY589" s="710"/>
      <c r="AZ589" s="710"/>
      <c r="BA589" s="710"/>
      <c r="BB589" s="710" t="s">
        <v>1344</v>
      </c>
      <c r="BC589" s="710" t="s">
        <v>127</v>
      </c>
      <c r="BD589" s="710" t="b">
        <v>1</v>
      </c>
      <c r="BE589" s="710">
        <f>G480</f>
        <v>0</v>
      </c>
      <c r="BF589" s="710" t="str">
        <f>""&amp;G480</f>
        <v/>
      </c>
      <c r="BG589" s="710" t="b">
        <v>1</v>
      </c>
      <c r="BH589" s="710" t="b">
        <v>0</v>
      </c>
      <c r="BI589" s="710"/>
      <c r="BJ589" s="710"/>
      <c r="BK589" s="710" t="str">
        <f ca="1">_xlfn.FORMULATEXT(BE589)</f>
        <v>=G480</v>
      </c>
      <c r="BL589" s="710" t="str">
        <f ca="1">_xlfn.FORMULATEXT(BE589)</f>
        <v>=G480</v>
      </c>
      <c r="BM589" s="710"/>
      <c r="BN589" s="710"/>
      <c r="BO589" s="710"/>
      <c r="BP589" s="710"/>
      <c r="BQ589" s="710"/>
      <c r="BR589" s="710"/>
      <c r="BS589" s="710"/>
      <c r="BT589" s="710"/>
      <c r="BU589" s="710"/>
      <c r="BV589" s="710"/>
      <c r="BW589" s="710"/>
      <c r="BX589" s="710"/>
      <c r="BY589" s="710"/>
      <c r="BZ589" s="710"/>
      <c r="CA589" s="710"/>
      <c r="CB589" s="710"/>
      <c r="CC589" s="710"/>
    </row>
    <row r="590" spans="1:81" s="710" customFormat="1" ht="14.5" hidden="1">
      <c r="A590" s="753" t="s">
        <v>673</v>
      </c>
      <c r="B590" s="781" t="s">
        <v>1346</v>
      </c>
      <c r="C590" s="781"/>
      <c r="D590" s="781"/>
      <c r="E590" s="781"/>
      <c r="F590" s="725"/>
      <c r="G590" s="725"/>
      <c r="H590" s="725"/>
      <c r="I590" s="753"/>
      <c r="J590" s="753"/>
      <c r="K590" s="753"/>
      <c r="L590" s="753"/>
      <c r="M590" s="753"/>
      <c r="N590" s="753"/>
      <c r="O590" s="753"/>
      <c r="P590" s="753"/>
      <c r="Q590" s="710"/>
      <c r="R590" s="710"/>
      <c r="S590" s="710"/>
      <c r="T590" s="710"/>
      <c r="U590" s="710"/>
      <c r="V590" s="710"/>
      <c r="W590" s="710"/>
      <c r="X590" s="710"/>
      <c r="Y590" s="710"/>
      <c r="Z590" s="710"/>
      <c r="AA590" s="710"/>
      <c r="AB590" s="710"/>
      <c r="AC590" s="710"/>
      <c r="AD590" s="22">
        <f>ROW()</f>
        <v>590</v>
      </c>
      <c r="AE590" s="22"/>
      <c r="AF590" s="22"/>
      <c r="AG590" s="22"/>
      <c r="AH590" s="22"/>
      <c r="AI590" s="22"/>
      <c r="AJ590" s="22"/>
      <c r="AK590" s="22"/>
      <c r="AL590" s="22"/>
      <c r="AM590" s="22"/>
      <c r="AN590" s="22"/>
      <c r="AO590" s="22"/>
      <c r="AP590" s="22"/>
      <c r="AQ590" s="710"/>
      <c r="AR590" s="710"/>
      <c r="AS590" s="710"/>
      <c r="AT590" s="710"/>
      <c r="AU590" s="710"/>
      <c r="AV590" s="710"/>
      <c r="AW590" s="710"/>
      <c r="AX590" s="710"/>
      <c r="AY590" s="710"/>
      <c r="AZ590" s="710"/>
      <c r="BA590" s="710"/>
      <c r="BB590" s="710" t="s">
        <v>1347</v>
      </c>
      <c r="BC590" s="710" t="s">
        <v>127</v>
      </c>
      <c r="BD590" s="710" t="b">
        <v>1</v>
      </c>
      <c r="BE590" s="710" t="str">
        <f>J480</f>
        <v>0</v>
      </c>
      <c r="BF590" s="710" t="str">
        <f>""&amp;J480</f>
        <v>0</v>
      </c>
      <c r="BG590" s="710" t="b">
        <v>1</v>
      </c>
      <c r="BH590" s="710" t="b">
        <v>0</v>
      </c>
      <c r="BI590" s="710" t="str">
        <f>BE590</f>
        <v>0</v>
      </c>
      <c r="BJ590" s="710"/>
      <c r="BK590" s="710" t="str">
        <f ca="1">_xlfn.FORMULATEXT(BE590)</f>
        <v>=J480</v>
      </c>
      <c r="BL590" s="710" t="str">
        <f ca="1">_xlfn.FORMULATEXT(BE590)</f>
        <v>=J480</v>
      </c>
      <c r="BM590" s="710"/>
      <c r="BN590" s="710"/>
      <c r="BO590" s="710"/>
      <c r="BP590" s="710"/>
      <c r="BQ590" s="710"/>
      <c r="BR590" s="710"/>
      <c r="BS590" s="710"/>
      <c r="BT590" s="710"/>
      <c r="BU590" s="710"/>
      <c r="BV590" s="710"/>
      <c r="BW590" s="710"/>
      <c r="BX590" s="710"/>
      <c r="BY590" s="710"/>
      <c r="BZ590" s="710"/>
      <c r="CA590" s="710"/>
      <c r="CB590" s="710"/>
      <c r="CC590" s="710"/>
    </row>
    <row r="591" spans="1:81" s="710" customFormat="1" ht="14.5" hidden="1">
      <c r="A591" s="753" t="s">
        <v>673</v>
      </c>
      <c r="B591" s="663"/>
      <c r="C591" s="662"/>
      <c r="D591" s="662"/>
      <c r="E591" s="664"/>
      <c r="F591" s="753"/>
      <c r="G591" s="753"/>
      <c r="H591" s="753"/>
      <c r="I591" s="753"/>
      <c r="J591" s="753"/>
      <c r="K591" s="753"/>
      <c r="L591" s="753"/>
      <c r="M591" s="753"/>
      <c r="N591" s="753"/>
      <c r="O591" s="753"/>
      <c r="P591" s="753"/>
      <c r="Q591" s="710"/>
      <c r="R591" s="710"/>
      <c r="S591" s="710"/>
      <c r="T591" s="710"/>
      <c r="U591" s="710"/>
      <c r="V591" s="710"/>
      <c r="W591" s="710"/>
      <c r="X591" s="710"/>
      <c r="Y591" s="710"/>
      <c r="Z591" s="710"/>
      <c r="AA591" s="710"/>
      <c r="AB591" s="710"/>
      <c r="AC591" s="710"/>
      <c r="AD591" s="22">
        <f>ROW()</f>
        <v>591</v>
      </c>
      <c r="AE591" s="22"/>
      <c r="AF591" s="22"/>
      <c r="AG591" s="22"/>
      <c r="AH591" s="22"/>
      <c r="AI591" s="22"/>
      <c r="AJ591" s="22"/>
      <c r="AK591" s="22"/>
      <c r="AL591" s="22"/>
      <c r="AM591" s="22"/>
      <c r="AN591" s="22"/>
      <c r="AO591" s="22"/>
      <c r="AP591" s="22"/>
      <c r="AQ591" s="710"/>
      <c r="AR591" s="710"/>
      <c r="AS591" s="710"/>
      <c r="AT591" s="710"/>
      <c r="AU591" s="710"/>
      <c r="AV591" s="710"/>
      <c r="AW591" s="710"/>
      <c r="AX591" s="710"/>
      <c r="AY591" s="710"/>
      <c r="AZ591" s="710"/>
      <c r="BA591" s="710"/>
      <c r="BB591" s="710" t="s">
        <v>1348</v>
      </c>
      <c r="BC591" s="710" t="s">
        <v>127</v>
      </c>
      <c r="BD591" s="710" t="b">
        <v>0</v>
      </c>
      <c r="BE591" s="710">
        <f>M480</f>
        <v>0</v>
      </c>
      <c r="BF591" s="710" t="str">
        <f>""&amp;M480</f>
        <v/>
      </c>
      <c r="BG591" s="710" t="b">
        <v>1</v>
      </c>
      <c r="BH591" s="710" t="b">
        <v>0</v>
      </c>
      <c r="BI591" s="710" t="str">
        <f>BE590</f>
        <v>0</v>
      </c>
      <c r="BJ591" s="710"/>
      <c r="BK591" s="710" t="str">
        <f ca="1">_xlfn.FORMULATEXT(BE591)</f>
        <v>=M480</v>
      </c>
      <c r="BL591" s="710" t="str">
        <f ca="1">_xlfn.FORMULATEXT(BE591)</f>
        <v>=M480</v>
      </c>
      <c r="BM591" s="710"/>
      <c r="BN591" s="710"/>
      <c r="BO591" s="710"/>
      <c r="BP591" s="710"/>
      <c r="BQ591" s="710"/>
      <c r="BR591" s="710"/>
      <c r="BS591" s="710"/>
      <c r="BT591" s="710"/>
      <c r="BU591" s="710"/>
      <c r="BV591" s="710"/>
      <c r="BW591" s="710"/>
      <c r="BX591" s="710"/>
      <c r="BY591" s="710"/>
      <c r="BZ591" s="710"/>
      <c r="CA591" s="710"/>
      <c r="CB591" s="710"/>
      <c r="CC591" s="710"/>
    </row>
    <row r="592" spans="1:81" s="710" customFormat="1" ht="14.5" hidden="1">
      <c r="A592" s="753" t="s">
        <v>673</v>
      </c>
      <c r="B592" s="753"/>
      <c r="C592" s="753"/>
      <c r="D592" s="753"/>
      <c r="E592" s="753"/>
      <c r="F592" s="753"/>
      <c r="G592" s="753"/>
      <c r="H592" s="753"/>
      <c r="I592" s="753"/>
      <c r="J592" s="753"/>
      <c r="K592" s="753"/>
      <c r="L592" s="753"/>
      <c r="M592" s="753"/>
      <c r="N592" s="753"/>
      <c r="O592" s="753"/>
      <c r="P592" s="753"/>
      <c r="Q592" s="710"/>
      <c r="R592" s="710"/>
      <c r="S592" s="710"/>
      <c r="T592" s="710"/>
      <c r="U592" s="710"/>
      <c r="V592" s="710"/>
      <c r="W592" s="710"/>
      <c r="X592" s="710"/>
      <c r="Y592" s="710"/>
      <c r="Z592" s="710"/>
      <c r="AA592" s="710"/>
      <c r="AB592" s="710"/>
      <c r="AC592" s="710"/>
      <c r="AD592" s="22">
        <f>ROW()</f>
        <v>592</v>
      </c>
      <c r="AE592" s="22"/>
      <c r="AF592" s="22"/>
      <c r="AG592" s="22"/>
      <c r="AH592" s="22"/>
      <c r="AI592" s="22"/>
      <c r="AJ592" s="22"/>
      <c r="AK592" s="22"/>
      <c r="AL592" s="22"/>
      <c r="AM592" s="22"/>
      <c r="AN592" s="22"/>
      <c r="AO592" s="22"/>
      <c r="AP592" s="22"/>
      <c r="AQ592" s="710"/>
      <c r="AR592" s="710"/>
      <c r="AS592" s="710"/>
      <c r="AT592" s="710"/>
      <c r="AU592" s="710"/>
      <c r="AV592" s="710"/>
      <c r="AW592" s="710"/>
      <c r="AX592" s="710"/>
      <c r="AY592" s="710"/>
      <c r="AZ592" s="710"/>
      <c r="BA592" s="710"/>
      <c r="BB592" s="710" t="s">
        <v>1349</v>
      </c>
      <c r="BC592" s="710" t="s">
        <v>127</v>
      </c>
      <c r="BD592" s="710" t="b">
        <v>1</v>
      </c>
      <c r="BE592" s="710" t="str">
        <f>G481</f>
        <v>0.00</v>
      </c>
      <c r="BF592" s="710" t="str">
        <f>""&amp;G481</f>
        <v>0.00</v>
      </c>
      <c r="BG592" s="710" t="b">
        <v>0</v>
      </c>
      <c r="BH592" s="710" t="b">
        <v>0</v>
      </c>
      <c r="BI592" s="710"/>
      <c r="BJ592" s="710"/>
      <c r="BK592" s="710" t="str">
        <f ca="1">_xlfn.FORMULATEXT(BE592)</f>
        <v>=G481</v>
      </c>
      <c r="BL592" s="710" t="str">
        <f ca="1">_xlfn.FORMULATEXT(BE592)</f>
        <v>=G481</v>
      </c>
      <c r="BM592" s="710"/>
      <c r="BN592" s="710"/>
      <c r="BO592" s="710"/>
      <c r="BP592" s="710"/>
      <c r="BQ592" s="710"/>
      <c r="BR592" s="710"/>
      <c r="BS592" s="710"/>
      <c r="BT592" s="710"/>
      <c r="BU592" s="710"/>
      <c r="BV592" s="710"/>
      <c r="BW592" s="710"/>
      <c r="BX592" s="710"/>
      <c r="BY592" s="710"/>
      <c r="BZ592" s="710"/>
      <c r="CA592" s="710"/>
      <c r="CB592" s="710"/>
      <c r="CC592" s="710"/>
    </row>
    <row r="593" spans="1:81" s="710" customFormat="1" ht="14.5" hidden="1">
      <c r="A593" s="753" t="s">
        <v>673</v>
      </c>
      <c r="B593" s="723" t="s">
        <v>1350</v>
      </c>
      <c r="C593" s="723"/>
      <c r="D593" s="723"/>
      <c r="E593" s="723"/>
      <c r="F593" s="723"/>
      <c r="G593" s="723"/>
      <c r="H593" s="723"/>
      <c r="I593" s="723"/>
      <c r="J593" s="723"/>
      <c r="K593" s="723"/>
      <c r="L593" s="723"/>
      <c r="M593" s="723"/>
      <c r="N593" s="723"/>
      <c r="O593" s="723"/>
      <c r="P593" s="753"/>
      <c r="Q593" s="710"/>
      <c r="R593" s="710"/>
      <c r="S593" s="710"/>
      <c r="T593" s="710"/>
      <c r="U593" s="710"/>
      <c r="V593" s="710"/>
      <c r="W593" s="710"/>
      <c r="X593" s="710"/>
      <c r="Y593" s="710"/>
      <c r="Z593" s="710"/>
      <c r="AA593" s="710"/>
      <c r="AB593" s="710"/>
      <c r="AC593" s="710"/>
      <c r="AD593" s="22">
        <f>ROW()</f>
        <v>593</v>
      </c>
      <c r="AE593" s="22"/>
      <c r="AF593" s="22"/>
      <c r="AG593" s="22"/>
      <c r="AH593" s="22"/>
      <c r="AI593" s="22"/>
      <c r="AJ593" s="22"/>
      <c r="AK593" s="22"/>
      <c r="AL593" s="22"/>
      <c r="AM593" s="22"/>
      <c r="AN593" s="22"/>
      <c r="AO593" s="22"/>
      <c r="AP593" s="22"/>
      <c r="AQ593" s="710"/>
      <c r="AR593" s="710"/>
      <c r="AS593" s="710"/>
      <c r="AT593" s="710"/>
      <c r="AU593" s="710"/>
      <c r="AV593" s="710"/>
      <c r="AW593" s="710"/>
      <c r="AX593" s="710"/>
      <c r="AY593" s="710"/>
      <c r="AZ593" s="710"/>
      <c r="BA593" s="710"/>
      <c r="BB593" s="710" t="s">
        <v>1351</v>
      </c>
      <c r="BC593" s="710" t="s">
        <v>127</v>
      </c>
      <c r="BD593" s="710" t="b">
        <v>1</v>
      </c>
      <c r="BE593" s="710" t="str">
        <f>J481</f>
        <v>-28250.00</v>
      </c>
      <c r="BF593" s="710" t="str">
        <f>""&amp;J481</f>
        <v>-28250.00</v>
      </c>
      <c r="BG593" s="710" t="b">
        <v>0</v>
      </c>
      <c r="BH593" s="710" t="b">
        <v>0</v>
      </c>
      <c r="BI593" s="710" t="str">
        <f>BE593</f>
        <v>-28250.00</v>
      </c>
      <c r="BJ593" s="710"/>
      <c r="BK593" s="710" t="str">
        <f ca="1">_xlfn.FORMULATEXT(BE593)</f>
        <v>=J481</v>
      </c>
      <c r="BL593" s="710" t="str">
        <f ca="1">_xlfn.FORMULATEXT(BE593)</f>
        <v>=J481</v>
      </c>
      <c r="BM593" s="710"/>
      <c r="BN593" s="710"/>
      <c r="BO593" s="710"/>
      <c r="BP593" s="710"/>
      <c r="BQ593" s="710"/>
      <c r="BR593" s="710"/>
      <c r="BS593" s="710"/>
      <c r="BT593" s="710"/>
      <c r="BU593" s="710"/>
      <c r="BV593" s="710"/>
      <c r="BW593" s="710"/>
      <c r="BX593" s="710"/>
      <c r="BY593" s="710"/>
      <c r="BZ593" s="710"/>
      <c r="CA593" s="710"/>
      <c r="CB593" s="710"/>
      <c r="CC593" s="710"/>
    </row>
    <row r="594" spans="1:81" s="710" customFormat="1" ht="28.25" customHeight="1" hidden="1">
      <c r="A594" s="753" t="s">
        <v>673</v>
      </c>
      <c r="B594" s="782"/>
      <c r="C594" s="783"/>
      <c r="D594" s="783"/>
      <c r="E594" s="783"/>
      <c r="F594" s="783"/>
      <c r="G594" s="783"/>
      <c r="H594" s="783"/>
      <c r="I594" s="783"/>
      <c r="J594" s="783"/>
      <c r="K594" s="783"/>
      <c r="L594" s="783"/>
      <c r="M594" s="783"/>
      <c r="N594" s="783"/>
      <c r="O594" s="776"/>
      <c r="P594" s="753"/>
      <c r="Q594" s="710"/>
      <c r="R594" s="710"/>
      <c r="S594" s="710"/>
      <c r="T594" s="710"/>
      <c r="U594" s="710"/>
      <c r="V594" s="710"/>
      <c r="W594" s="710"/>
      <c r="X594" s="710"/>
      <c r="Y594" s="710"/>
      <c r="Z594" s="710"/>
      <c r="AA594" s="710"/>
      <c r="AB594" s="710"/>
      <c r="AC594" s="710"/>
      <c r="AD594" s="22">
        <f>ROW()</f>
        <v>594</v>
      </c>
      <c r="AE594" s="22"/>
      <c r="AF594" s="22"/>
      <c r="AG594" s="22"/>
      <c r="AH594" s="22"/>
      <c r="AI594" s="22"/>
      <c r="AJ594" s="22"/>
      <c r="AK594" s="22"/>
      <c r="AL594" s="22"/>
      <c r="AM594" s="22"/>
      <c r="AN594" s="22"/>
      <c r="AO594" s="22"/>
      <c r="AP594" s="22"/>
      <c r="AQ594" s="710"/>
      <c r="AR594" s="710"/>
      <c r="AS594" s="710"/>
      <c r="AT594" s="710"/>
      <c r="AU594" s="710"/>
      <c r="AV594" s="710"/>
      <c r="AW594" s="710"/>
      <c r="AX594" s="710"/>
      <c r="AY594" s="710"/>
      <c r="AZ594" s="710"/>
      <c r="BA594" s="710"/>
      <c r="BB594" s="710" t="s">
        <v>1352</v>
      </c>
      <c r="BC594" s="710" t="s">
        <v>127</v>
      </c>
      <c r="BD594" s="710" t="b">
        <v>0</v>
      </c>
      <c r="BE594" s="710">
        <f>M481</f>
        <v>0</v>
      </c>
      <c r="BF594" s="710" t="str">
        <f>""&amp;M481</f>
        <v/>
      </c>
      <c r="BG594" s="710" t="b">
        <v>1</v>
      </c>
      <c r="BH594" s="710" t="b">
        <v>0</v>
      </c>
      <c r="BI594" s="710" t="str">
        <f>BE593</f>
        <v>-28250.00</v>
      </c>
      <c r="BJ594" s="710"/>
      <c r="BK594" s="710" t="str">
        <f ca="1">_xlfn.FORMULATEXT(BE594)</f>
        <v>=M481</v>
      </c>
      <c r="BL594" s="710" t="str">
        <f ca="1">_xlfn.FORMULATEXT(BE594)</f>
        <v>=M481</v>
      </c>
      <c r="BM594" s="710"/>
      <c r="BN594" s="710"/>
      <c r="BO594" s="710"/>
      <c r="BP594" s="710"/>
      <c r="BQ594" s="710"/>
      <c r="BR594" s="710"/>
      <c r="BS594" s="710"/>
      <c r="BT594" s="710"/>
      <c r="BU594" s="710"/>
      <c r="BV594" s="710"/>
      <c r="BW594" s="710"/>
      <c r="BX594" s="710"/>
      <c r="BY594" s="710"/>
      <c r="BZ594" s="710"/>
      <c r="CA594" s="710"/>
      <c r="CB594" s="710"/>
      <c r="CC594" s="710"/>
    </row>
    <row r="595" spans="1:81" s="710" customFormat="1" ht="14.5" hidden="1">
      <c r="A595" s="753" t="s">
        <v>673</v>
      </c>
      <c r="B595" s="753"/>
      <c r="C595" s="753"/>
      <c r="D595" s="753"/>
      <c r="E595" s="753"/>
      <c r="F595" s="753"/>
      <c r="G595" s="753"/>
      <c r="H595" s="753"/>
      <c r="I595" s="753"/>
      <c r="J595" s="753"/>
      <c r="K595" s="753"/>
      <c r="L595" s="753"/>
      <c r="M595" s="753"/>
      <c r="N595" s="753"/>
      <c r="O595" s="753"/>
      <c r="P595" s="753"/>
      <c r="Q595" s="710"/>
      <c r="R595" s="710"/>
      <c r="S595" s="710"/>
      <c r="T595" s="710"/>
      <c r="U595" s="710"/>
      <c r="V595" s="710"/>
      <c r="W595" s="710"/>
      <c r="X595" s="710"/>
      <c r="Y595" s="710"/>
      <c r="Z595" s="710"/>
      <c r="AA595" s="710"/>
      <c r="AB595" s="710"/>
      <c r="AC595" s="710"/>
      <c r="AD595" s="22">
        <f>ROW()</f>
        <v>595</v>
      </c>
      <c r="AE595" s="22"/>
      <c r="AF595" s="22"/>
      <c r="AG595" s="22"/>
      <c r="AH595" s="22"/>
      <c r="AI595" s="22"/>
      <c r="AJ595" s="22"/>
      <c r="AK595" s="22"/>
      <c r="AL595" s="22"/>
      <c r="AM595" s="22"/>
      <c r="AN595" s="22"/>
      <c r="AO595" s="22"/>
      <c r="AP595" s="22"/>
      <c r="AQ595" s="710"/>
      <c r="AR595" s="710"/>
      <c r="AS595" s="710"/>
      <c r="AT595" s="710"/>
      <c r="AU595" s="710"/>
      <c r="AV595" s="710"/>
      <c r="AW595" s="710"/>
      <c r="AX595" s="710"/>
      <c r="AY595" s="710"/>
      <c r="AZ595" s="710"/>
      <c r="BA595" s="710"/>
      <c r="BB595" s="710" t="s">
        <v>1353</v>
      </c>
      <c r="BC595" s="710" t="s">
        <v>127</v>
      </c>
      <c r="BD595" s="710" t="b">
        <v>1</v>
      </c>
      <c r="BE595" s="710">
        <f>G483</f>
        <v>0</v>
      </c>
      <c r="BF595" s="710" t="str">
        <f>""&amp;G483</f>
        <v/>
      </c>
      <c r="BG595" s="710" t="b">
        <v>1</v>
      </c>
      <c r="BH595" s="710" t="b">
        <v>0</v>
      </c>
      <c r="BI595" s="710"/>
      <c r="BJ595" s="710"/>
      <c r="BK595" s="710" t="str">
        <f ca="1">_xlfn.FORMULATEXT(BE595)</f>
        <v>=G483</v>
      </c>
      <c r="BL595" s="710" t="str">
        <f ca="1">_xlfn.FORMULATEXT(BE595)</f>
        <v>=G483</v>
      </c>
      <c r="BM595" s="710"/>
      <c r="BN595" s="710"/>
      <c r="BO595" s="710"/>
      <c r="BP595" s="710"/>
      <c r="BQ595" s="710"/>
      <c r="BR595" s="710"/>
      <c r="BS595" s="710"/>
      <c r="BT595" s="710"/>
      <c r="BU595" s="710"/>
      <c r="BV595" s="710"/>
      <c r="BW595" s="710"/>
      <c r="BX595" s="710"/>
      <c r="BY595" s="710"/>
      <c r="BZ595" s="710"/>
      <c r="CA595" s="710"/>
      <c r="CB595" s="710"/>
      <c r="CC595" s="710"/>
    </row>
    <row r="596" spans="1:81" s="710" customFormat="1" ht="14.5" hidden="1">
      <c r="A596" s="753" t="s">
        <v>673</v>
      </c>
      <c r="B596" s="365" t="s">
        <v>1354</v>
      </c>
      <c r="C596" s="365"/>
      <c r="D596" s="365"/>
      <c r="E596" s="365"/>
      <c r="F596" s="365"/>
      <c r="G596" s="365"/>
      <c r="H596" s="365"/>
      <c r="I596" s="365"/>
      <c r="J596" s="365"/>
      <c r="K596" s="753"/>
      <c r="L596" s="753"/>
      <c r="M596" s="753"/>
      <c r="N596" s="753"/>
      <c r="O596" s="753"/>
      <c r="P596" s="753"/>
      <c r="Q596" s="743"/>
      <c r="R596" s="710"/>
      <c r="S596" s="710"/>
      <c r="T596" s="710"/>
      <c r="U596" s="710"/>
      <c r="V596" s="710"/>
      <c r="W596" s="710"/>
      <c r="X596" s="710"/>
      <c r="Y596" s="710"/>
      <c r="Z596" s="710"/>
      <c r="AA596" s="710"/>
      <c r="AB596" s="710"/>
      <c r="AC596" s="710"/>
      <c r="AD596" s="22">
        <f>ROW()</f>
        <v>596</v>
      </c>
      <c r="AE596" s="22"/>
      <c r="AF596" s="22"/>
      <c r="AG596" s="22"/>
      <c r="AH596" s="22"/>
      <c r="AI596" s="22"/>
      <c r="AJ596" s="22"/>
      <c r="AK596" s="22"/>
      <c r="AL596" s="22"/>
      <c r="AM596" s="22"/>
      <c r="AN596" s="22"/>
      <c r="AO596" s="22"/>
      <c r="AP596" s="22"/>
      <c r="AQ596" s="710"/>
      <c r="AR596" s="710"/>
      <c r="AS596" s="710"/>
      <c r="AT596" s="710"/>
      <c r="AU596" s="710"/>
      <c r="AV596" s="710"/>
      <c r="AW596" s="710"/>
      <c r="AX596" s="710"/>
      <c r="AY596" s="710"/>
      <c r="AZ596" s="710"/>
      <c r="BA596" s="710"/>
      <c r="BB596" s="710" t="s">
        <v>1355</v>
      </c>
      <c r="BC596" s="710" t="s">
        <v>127</v>
      </c>
      <c r="BD596" s="710" t="b">
        <v>1</v>
      </c>
      <c r="BE596" s="710" t="str">
        <f>J483</f>
        <v>0</v>
      </c>
      <c r="BF596" s="710" t="str">
        <f>""&amp;J483</f>
        <v>0</v>
      </c>
      <c r="BG596" s="710" t="b">
        <v>1</v>
      </c>
      <c r="BH596" s="710" t="b">
        <v>0</v>
      </c>
      <c r="BI596" s="710" t="str">
        <f>BE596</f>
        <v>0</v>
      </c>
      <c r="BJ596" s="710"/>
      <c r="BK596" s="710" t="str">
        <f ca="1">_xlfn.FORMULATEXT(BE596)</f>
        <v>=J483</v>
      </c>
      <c r="BL596" s="710" t="str">
        <f ca="1">_xlfn.FORMULATEXT(BE596)</f>
        <v>=J483</v>
      </c>
      <c r="BM596" s="710"/>
      <c r="BN596" s="710"/>
      <c r="BO596" s="710"/>
      <c r="BP596" s="710"/>
      <c r="BQ596" s="710"/>
      <c r="BR596" s="710"/>
      <c r="BS596" s="710"/>
      <c r="BT596" s="710"/>
      <c r="BU596" s="710"/>
      <c r="BV596" s="710"/>
      <c r="BW596" s="710"/>
      <c r="BX596" s="710"/>
      <c r="BY596" s="710"/>
      <c r="BZ596" s="710"/>
      <c r="CA596" s="710"/>
      <c r="CB596" s="710"/>
      <c r="CC596" s="710"/>
    </row>
    <row r="597" spans="1:81" s="710" customFormat="1" ht="29" customHeight="1" hidden="1">
      <c r="A597" s="753" t="s">
        <v>673</v>
      </c>
      <c r="B597" s="719" t="s">
        <v>1356</v>
      </c>
      <c r="C597" s="719"/>
      <c r="D597" s="719"/>
      <c r="E597" s="719"/>
      <c r="F597" s="761"/>
      <c r="G597" s="719" t="s">
        <v>1357</v>
      </c>
      <c r="H597" s="719"/>
      <c r="I597" s="719"/>
      <c r="J597" s="719"/>
      <c r="K597" s="753"/>
      <c r="L597" s="784" t="s">
        <v>1358</v>
      </c>
      <c r="M597" s="784"/>
      <c r="N597" s="784"/>
      <c r="O597" s="784"/>
      <c r="P597" s="753"/>
      <c r="Q597" s="710"/>
      <c r="R597" s="710"/>
      <c r="S597" s="710"/>
      <c r="T597" s="710"/>
      <c r="U597" s="710"/>
      <c r="V597" s="710"/>
      <c r="W597" s="710"/>
      <c r="X597" s="710"/>
      <c r="Y597" s="710"/>
      <c r="Z597" s="710"/>
      <c r="AA597" s="710"/>
      <c r="AB597" s="710"/>
      <c r="AC597" s="710"/>
      <c r="AD597" s="22">
        <f>ROW()</f>
        <v>597</v>
      </c>
      <c r="AE597" s="22"/>
      <c r="AF597" s="22"/>
      <c r="AG597" s="22"/>
      <c r="AH597" s="22"/>
      <c r="AI597" s="22"/>
      <c r="AJ597" s="22"/>
      <c r="AK597" s="22"/>
      <c r="AL597" s="22"/>
      <c r="AM597" s="22"/>
      <c r="AN597" s="22"/>
      <c r="AO597" s="22"/>
      <c r="AP597" s="22"/>
      <c r="AQ597" s="710"/>
      <c r="AR597" s="710"/>
      <c r="AS597" s="710"/>
      <c r="AT597" s="710"/>
      <c r="AU597" s="710"/>
      <c r="AV597" s="710"/>
      <c r="AW597" s="710"/>
      <c r="AX597" s="710"/>
      <c r="AY597" s="710"/>
      <c r="AZ597" s="710"/>
      <c r="BA597" s="710"/>
      <c r="BB597" s="710" t="s">
        <v>1359</v>
      </c>
      <c r="BC597" s="710" t="s">
        <v>127</v>
      </c>
      <c r="BD597" s="710" t="b">
        <v>0</v>
      </c>
      <c r="BE597" s="710">
        <f>M483</f>
        <v>0</v>
      </c>
      <c r="BF597" s="710" t="str">
        <f>""&amp;M483</f>
        <v/>
      </c>
      <c r="BG597" s="710" t="b">
        <v>1</v>
      </c>
      <c r="BH597" s="710" t="b">
        <v>0</v>
      </c>
      <c r="BI597" s="710" t="str">
        <f>BE596</f>
        <v>0</v>
      </c>
      <c r="BJ597" s="710"/>
      <c r="BK597" s="710" t="str">
        <f ca="1">_xlfn.FORMULATEXT(BE597)</f>
        <v>=M483</v>
      </c>
      <c r="BL597" s="710" t="str">
        <f ca="1">_xlfn.FORMULATEXT(BE597)</f>
        <v>=M483</v>
      </c>
      <c r="BM597" s="710"/>
      <c r="BN597" s="710"/>
      <c r="BO597" s="710"/>
      <c r="BP597" s="710"/>
      <c r="BQ597" s="710"/>
      <c r="BR597" s="710"/>
      <c r="BS597" s="710"/>
      <c r="BT597" s="710"/>
      <c r="BU597" s="710"/>
      <c r="BV597" s="710"/>
      <c r="BW597" s="710"/>
      <c r="BX597" s="710"/>
      <c r="BY597" s="710"/>
      <c r="BZ597" s="710"/>
      <c r="CA597" s="710"/>
      <c r="CB597" s="710"/>
      <c r="CC597" s="710"/>
    </row>
    <row r="598" spans="1:81" s="710" customFormat="1" ht="14.5" hidden="1">
      <c r="A598" s="753" t="s">
        <v>673</v>
      </c>
      <c r="B598" s="785"/>
      <c r="C598" s="786"/>
      <c r="D598" s="786"/>
      <c r="E598" s="787"/>
      <c r="F598" s="753"/>
      <c r="G598" s="785"/>
      <c r="H598" s="786"/>
      <c r="I598" s="786"/>
      <c r="J598" s="787"/>
      <c r="K598" s="753"/>
      <c r="L598" s="785"/>
      <c r="M598" s="786"/>
      <c r="N598" s="786"/>
      <c r="O598" s="787"/>
      <c r="P598" s="753"/>
      <c r="Q598" s="710"/>
      <c r="R598" s="788"/>
      <c r="S598" s="710"/>
      <c r="T598" s="710"/>
      <c r="U598" s="710"/>
      <c r="V598" s="710"/>
      <c r="W598" s="710"/>
      <c r="X598" s="757"/>
      <c r="Y598" s="710"/>
      <c r="Z598" s="710"/>
      <c r="AA598" s="710"/>
      <c r="AB598" s="710"/>
      <c r="AC598" s="710"/>
      <c r="AD598" s="22">
        <f>ROW()</f>
        <v>598</v>
      </c>
      <c r="AE598" s="22"/>
      <c r="AF598" s="22"/>
      <c r="AG598" s="22"/>
      <c r="AH598" s="22"/>
      <c r="AI598" s="22"/>
      <c r="AJ598" s="22"/>
      <c r="AK598" s="22"/>
      <c r="AL598" s="22"/>
      <c r="AM598" s="22"/>
      <c r="AN598" s="22"/>
      <c r="AO598" s="22"/>
      <c r="AP598" s="22"/>
      <c r="AQ598" s="710"/>
      <c r="AR598" s="710"/>
      <c r="AS598" s="710"/>
      <c r="AT598" s="710"/>
      <c r="AU598" s="710"/>
      <c r="AV598" s="710"/>
      <c r="AW598" s="710"/>
      <c r="AX598" s="710"/>
      <c r="AY598" s="710"/>
      <c r="AZ598" s="710"/>
      <c r="BA598" s="710"/>
      <c r="BB598" s="710" t="s">
        <v>1360</v>
      </c>
      <c r="BC598" s="710" t="s">
        <v>127</v>
      </c>
      <c r="BD598" s="710" t="b">
        <v>1</v>
      </c>
      <c r="BE598" s="710">
        <f>G484</f>
        <v>0</v>
      </c>
      <c r="BF598" s="710" t="str">
        <f>""&amp;G484</f>
        <v/>
      </c>
      <c r="BG598" s="710" t="b">
        <v>1</v>
      </c>
      <c r="BH598" s="710" t="b">
        <v>0</v>
      </c>
      <c r="BI598" s="710"/>
      <c r="BJ598" s="710"/>
      <c r="BK598" s="710" t="str">
        <f ca="1">_xlfn.FORMULATEXT(BE598)</f>
        <v>=G484</v>
      </c>
      <c r="BL598" s="710" t="str">
        <f ca="1">_xlfn.FORMULATEXT(BE598)</f>
        <v>=G484</v>
      </c>
      <c r="BM598" s="710"/>
      <c r="BN598" s="710"/>
      <c r="BO598" s="710"/>
      <c r="BP598" s="710"/>
      <c r="BQ598" s="710"/>
      <c r="BR598" s="710"/>
      <c r="BS598" s="710"/>
      <c r="BT598" s="710"/>
      <c r="BU598" s="710"/>
      <c r="BV598" s="710"/>
      <c r="BW598" s="710"/>
      <c r="BX598" s="710"/>
      <c r="BY598" s="710"/>
      <c r="BZ598" s="710"/>
      <c r="CA598" s="710"/>
      <c r="CB598" s="710"/>
      <c r="CC598" s="710"/>
    </row>
    <row r="599" spans="1:81" s="710" customFormat="1" ht="14.5" hidden="1">
      <c r="A599" s="753" t="s">
        <v>673</v>
      </c>
      <c r="B599" s="753"/>
      <c r="C599" s="753"/>
      <c r="D599" s="753"/>
      <c r="E599" s="753"/>
      <c r="F599" s="753"/>
      <c r="G599" s="753"/>
      <c r="H599" s="753"/>
      <c r="I599" s="753"/>
      <c r="J599" s="753"/>
      <c r="K599" s="753"/>
      <c r="L599" s="753"/>
      <c r="M599" s="753"/>
      <c r="N599" s="753"/>
      <c r="O599" s="753"/>
      <c r="P599" s="753"/>
      <c r="Q599" s="752"/>
      <c r="R599" s="712"/>
      <c r="S599" s="710"/>
      <c r="T599" s="710"/>
      <c r="U599" s="710"/>
      <c r="V599" s="710"/>
      <c r="W599" s="710"/>
      <c r="X599" s="710"/>
      <c r="Y599" s="710"/>
      <c r="Z599" s="710"/>
      <c r="AA599" s="710"/>
      <c r="AB599" s="710"/>
      <c r="AC599" s="710"/>
      <c r="AD599" s="22">
        <f>ROW()</f>
        <v>599</v>
      </c>
      <c r="AE599" s="22"/>
      <c r="AF599" s="22"/>
      <c r="AG599" s="22"/>
      <c r="AH599" s="22"/>
      <c r="AI599" s="22"/>
      <c r="AJ599" s="22"/>
      <c r="AK599" s="22"/>
      <c r="AL599" s="22"/>
      <c r="AM599" s="22"/>
      <c r="AN599" s="22"/>
      <c r="AO599" s="22"/>
      <c r="AP599" s="22"/>
      <c r="AQ599" s="710"/>
      <c r="AR599" s="710"/>
      <c r="AS599" s="710"/>
      <c r="AT599" s="710"/>
      <c r="AU599" s="710"/>
      <c r="AV599" s="710"/>
      <c r="AW599" s="710"/>
      <c r="AX599" s="710"/>
      <c r="AY599" s="710"/>
      <c r="AZ599" s="710"/>
      <c r="BA599" s="710"/>
      <c r="BB599" s="710" t="s">
        <v>1361</v>
      </c>
      <c r="BC599" s="710" t="s">
        <v>127</v>
      </c>
      <c r="BD599" s="710" t="b">
        <v>1</v>
      </c>
      <c r="BE599" s="710" t="str">
        <f>J484</f>
        <v>-3926</v>
      </c>
      <c r="BF599" s="710" t="str">
        <f>""&amp;J484</f>
        <v>-3926</v>
      </c>
      <c r="BG599" s="710" t="b">
        <v>1</v>
      </c>
      <c r="BH599" s="710" t="b">
        <v>0</v>
      </c>
      <c r="BI599" s="710" t="str">
        <f>BE599</f>
        <v>-3926</v>
      </c>
      <c r="BJ599" s="710"/>
      <c r="BK599" s="710" t="str">
        <f ca="1">_xlfn.FORMULATEXT(BE599)</f>
        <v>=J484</v>
      </c>
      <c r="BL599" s="710" t="str">
        <f ca="1">_xlfn.FORMULATEXT(BE599)</f>
        <v>=J484</v>
      </c>
      <c r="BM599" s="710"/>
      <c r="BN599" s="710"/>
      <c r="BO599" s="710"/>
      <c r="BP599" s="710"/>
      <c r="BQ599" s="710"/>
      <c r="BR599" s="710"/>
      <c r="BS599" s="710"/>
      <c r="BT599" s="710"/>
      <c r="BU599" s="710"/>
      <c r="BV599" s="710"/>
      <c r="BW599" s="710"/>
      <c r="BX599" s="710"/>
      <c r="BY599" s="710"/>
      <c r="BZ599" s="710"/>
      <c r="CA599" s="710"/>
      <c r="CB599" s="710"/>
      <c r="CC599" s="710"/>
    </row>
    <row r="600" spans="1:81" s="710" customFormat="1" ht="27.65" customHeight="1" hidden="1">
      <c r="A600" s="753" t="s">
        <v>673</v>
      </c>
      <c r="B600" s="784" t="s">
        <v>1362</v>
      </c>
      <c r="C600" s="784"/>
      <c r="D600" s="784"/>
      <c r="E600" s="784"/>
      <c r="F600" s="761"/>
      <c r="G600" s="784" t="s">
        <v>1363</v>
      </c>
      <c r="H600" s="784"/>
      <c r="I600" s="784"/>
      <c r="J600" s="784"/>
      <c r="K600" s="753"/>
      <c r="L600" s="784" t="s">
        <v>1364</v>
      </c>
      <c r="M600" s="784"/>
      <c r="N600" s="784"/>
      <c r="O600" s="784"/>
      <c r="P600" s="753"/>
      <c r="Q600" s="710"/>
      <c r="R600" s="710"/>
      <c r="S600" s="710"/>
      <c r="T600" s="710"/>
      <c r="U600" s="710"/>
      <c r="V600" s="710"/>
      <c r="W600" s="710"/>
      <c r="X600" s="710"/>
      <c r="Y600" s="710"/>
      <c r="Z600" s="710"/>
      <c r="AA600" s="710"/>
      <c r="AB600" s="710"/>
      <c r="AC600" s="710"/>
      <c r="AD600" s="22">
        <f>ROW()</f>
        <v>600</v>
      </c>
      <c r="AE600" s="22"/>
      <c r="AF600" s="22"/>
      <c r="AG600" s="22"/>
      <c r="AH600" s="22"/>
      <c r="AI600" s="22"/>
      <c r="AJ600" s="22"/>
      <c r="AK600" s="22"/>
      <c r="AL600" s="22"/>
      <c r="AM600" s="22"/>
      <c r="AN600" s="22"/>
      <c r="AO600" s="22"/>
      <c r="AP600" s="22"/>
      <c r="AQ600" s="710"/>
      <c r="AR600" s="710"/>
      <c r="AS600" s="710"/>
      <c r="AT600" s="710"/>
      <c r="AU600" s="710"/>
      <c r="AV600" s="710"/>
      <c r="AW600" s="710"/>
      <c r="AX600" s="710"/>
      <c r="AY600" s="710"/>
      <c r="AZ600" s="710"/>
      <c r="BA600" s="710"/>
      <c r="BB600" s="710" t="s">
        <v>1365</v>
      </c>
      <c r="BC600" s="710" t="s">
        <v>127</v>
      </c>
      <c r="BD600" s="710" t="b">
        <v>0</v>
      </c>
      <c r="BE600" s="710">
        <f>M484</f>
        <v>0</v>
      </c>
      <c r="BF600" s="710" t="str">
        <f>""&amp;M484</f>
        <v/>
      </c>
      <c r="BG600" s="710" t="b">
        <v>1</v>
      </c>
      <c r="BH600" s="710" t="b">
        <v>0</v>
      </c>
      <c r="BI600" s="710" t="str">
        <f>BE599</f>
        <v>-3926</v>
      </c>
      <c r="BJ600" s="710"/>
      <c r="BK600" s="710" t="str">
        <f ca="1">_xlfn.FORMULATEXT(BE600)</f>
        <v>=M484</v>
      </c>
      <c r="BL600" s="710" t="str">
        <f ca="1">_xlfn.FORMULATEXT(BE600)</f>
        <v>=M484</v>
      </c>
      <c r="BM600" s="710"/>
      <c r="BN600" s="710"/>
      <c r="BO600" s="710"/>
      <c r="BP600" s="710"/>
      <c r="BQ600" s="710"/>
      <c r="BR600" s="710"/>
      <c r="BS600" s="710"/>
      <c r="BT600" s="710"/>
      <c r="BU600" s="710"/>
      <c r="BV600" s="710"/>
      <c r="BW600" s="710"/>
      <c r="BX600" s="710"/>
      <c r="BY600" s="710"/>
      <c r="BZ600" s="710"/>
      <c r="CA600" s="710"/>
      <c r="CB600" s="710"/>
      <c r="CC600" s="710"/>
    </row>
    <row r="601" spans="1:81" s="710" customFormat="1" ht="14.5" hidden="1">
      <c r="A601" s="753" t="s">
        <v>673</v>
      </c>
      <c r="B601" s="785"/>
      <c r="C601" s="786"/>
      <c r="D601" s="786"/>
      <c r="E601" s="787"/>
      <c r="F601" s="753"/>
      <c r="G601" s="785"/>
      <c r="H601" s="786"/>
      <c r="I601" s="786"/>
      <c r="J601" s="787"/>
      <c r="K601" s="753"/>
      <c r="L601" s="785"/>
      <c r="M601" s="786"/>
      <c r="N601" s="786"/>
      <c r="O601" s="787"/>
      <c r="P601" s="753"/>
      <c r="Q601" s="710"/>
      <c r="R601" s="743"/>
      <c r="S601" s="710"/>
      <c r="T601" s="710"/>
      <c r="U601" s="710"/>
      <c r="V601" s="710"/>
      <c r="W601" s="710"/>
      <c r="X601" s="710"/>
      <c r="Y601" s="710"/>
      <c r="Z601" s="710"/>
      <c r="AA601" s="710"/>
      <c r="AB601" s="710"/>
      <c r="AC601" s="710"/>
      <c r="AD601" s="22">
        <f>ROW()</f>
        <v>601</v>
      </c>
      <c r="AE601" s="22"/>
      <c r="AF601" s="22"/>
      <c r="AG601" s="22"/>
      <c r="AH601" s="22"/>
      <c r="AI601" s="22"/>
      <c r="AJ601" s="22"/>
      <c r="AK601" s="22"/>
      <c r="AL601" s="22"/>
      <c r="AM601" s="22"/>
      <c r="AN601" s="22"/>
      <c r="AO601" s="22"/>
      <c r="AP601" s="22"/>
      <c r="AQ601" s="710"/>
      <c r="AR601" s="710"/>
      <c r="AS601" s="710"/>
      <c r="AT601" s="710"/>
      <c r="AU601" s="710"/>
      <c r="AV601" s="710"/>
      <c r="AW601" s="710"/>
      <c r="AX601" s="710"/>
      <c r="AY601" s="710"/>
      <c r="AZ601" s="710"/>
      <c r="BA601" s="710"/>
      <c r="BB601" s="710" t="s">
        <v>1366</v>
      </c>
      <c r="BC601" s="710" t="s">
        <v>127</v>
      </c>
      <c r="BD601" s="710" t="b">
        <v>1</v>
      </c>
      <c r="BE601" s="710" t="str">
        <f>G485</f>
        <v>0.00</v>
      </c>
      <c r="BF601" s="710" t="str">
        <f>""&amp;G485</f>
        <v>0.00</v>
      </c>
      <c r="BG601" s="710" t="b">
        <v>0</v>
      </c>
      <c r="BH601" s="710" t="b">
        <v>0</v>
      </c>
      <c r="BI601" s="710"/>
      <c r="BJ601" s="710"/>
      <c r="BK601" s="710" t="str">
        <f ca="1">_xlfn.FORMULATEXT(BE601)</f>
        <v>=G485</v>
      </c>
      <c r="BL601" s="710" t="str">
        <f ca="1">_xlfn.FORMULATEXT(BE601)</f>
        <v>=G485</v>
      </c>
      <c r="BM601" s="710"/>
      <c r="BN601" s="710"/>
      <c r="BO601" s="710"/>
      <c r="BP601" s="710"/>
      <c r="BQ601" s="710"/>
      <c r="BR601" s="710"/>
      <c r="BS601" s="710"/>
      <c r="BT601" s="710"/>
      <c r="BU601" s="710"/>
      <c r="BV601" s="710"/>
      <c r="BW601" s="710"/>
      <c r="BX601" s="710"/>
      <c r="BY601" s="710"/>
      <c r="BZ601" s="710"/>
      <c r="CA601" s="710"/>
      <c r="CB601" s="710"/>
      <c r="CC601" s="710"/>
    </row>
    <row r="602" spans="1:81" s="710" customFormat="1" ht="14.5" hidden="1">
      <c r="A602" s="753" t="s">
        <v>673</v>
      </c>
      <c r="B602" s="753"/>
      <c r="C602" s="753"/>
      <c r="D602" s="753"/>
      <c r="E602" s="753"/>
      <c r="F602" s="753"/>
      <c r="G602" s="753"/>
      <c r="H602" s="753"/>
      <c r="I602" s="753"/>
      <c r="J602" s="753"/>
      <c r="K602" s="753"/>
      <c r="L602" s="753"/>
      <c r="M602" s="753"/>
      <c r="N602" s="753"/>
      <c r="O602" s="753"/>
      <c r="P602" s="753"/>
      <c r="Q602" s="710"/>
      <c r="R602" s="710"/>
      <c r="S602" s="710"/>
      <c r="T602" s="710"/>
      <c r="U602" s="710"/>
      <c r="V602" s="710"/>
      <c r="W602" s="710"/>
      <c r="X602" s="710"/>
      <c r="Y602" s="710"/>
      <c r="Z602" s="710"/>
      <c r="AA602" s="710"/>
      <c r="AB602" s="710"/>
      <c r="AC602" s="710"/>
      <c r="AD602" s="22">
        <f>ROW()</f>
        <v>602</v>
      </c>
      <c r="AE602" s="22"/>
      <c r="AF602" s="22"/>
      <c r="AG602" s="22"/>
      <c r="AH602" s="22"/>
      <c r="AI602" s="22"/>
      <c r="AJ602" s="22"/>
      <c r="AK602" s="22"/>
      <c r="AL602" s="22"/>
      <c r="AM602" s="22"/>
      <c r="AN602" s="22"/>
      <c r="AO602" s="22"/>
      <c r="AP602" s="22"/>
      <c r="AQ602" s="710"/>
      <c r="AR602" s="710"/>
      <c r="AS602" s="710"/>
      <c r="AT602" s="710"/>
      <c r="AU602" s="710"/>
      <c r="AV602" s="710"/>
      <c r="AW602" s="710"/>
      <c r="AX602" s="710"/>
      <c r="AY602" s="710"/>
      <c r="AZ602" s="710"/>
      <c r="BA602" s="710"/>
      <c r="BB602" s="710" t="s">
        <v>1367</v>
      </c>
      <c r="BC602" s="710" t="s">
        <v>127</v>
      </c>
      <c r="BD602" s="710" t="b">
        <v>1</v>
      </c>
      <c r="BE602" s="710" t="str">
        <f>J485</f>
        <v>-24324.00</v>
      </c>
      <c r="BF602" s="710" t="str">
        <f>""&amp;J485</f>
        <v>-24324.00</v>
      </c>
      <c r="BG602" s="710" t="b">
        <v>0</v>
      </c>
      <c r="BH602" s="710" t="b">
        <v>0</v>
      </c>
      <c r="BI602" s="710" t="str">
        <f>BE602</f>
        <v>-24324.00</v>
      </c>
      <c r="BJ602" s="757"/>
      <c r="BK602" s="710" t="str">
        <f ca="1">_xlfn.FORMULATEXT(BE602)</f>
        <v>=J485</v>
      </c>
      <c r="BL602" s="710" t="str">
        <f ca="1">_xlfn.FORMULATEXT(BE602)</f>
        <v>=J485</v>
      </c>
      <c r="BM602" s="710"/>
      <c r="BN602" s="710"/>
      <c r="BO602" s="710"/>
      <c r="BP602" s="710"/>
      <c r="BQ602" s="710"/>
      <c r="BR602" s="710"/>
      <c r="BS602" s="710"/>
      <c r="BT602" s="710"/>
      <c r="BU602" s="710"/>
      <c r="BV602" s="710"/>
      <c r="BW602" s="710"/>
      <c r="BX602" s="710"/>
      <c r="BY602" s="710"/>
      <c r="BZ602" s="710"/>
      <c r="CA602" s="710"/>
      <c r="CB602" s="710"/>
      <c r="CC602" s="710"/>
    </row>
    <row r="603" spans="1:81" s="710" customFormat="1" ht="29" customHeight="1" hidden="1">
      <c r="A603" s="753" t="s">
        <v>673</v>
      </c>
      <c r="B603" s="784" t="s">
        <v>1368</v>
      </c>
      <c r="C603" s="784"/>
      <c r="D603" s="784"/>
      <c r="E603" s="784"/>
      <c r="F603" s="761"/>
      <c r="G603" s="784" t="s">
        <v>1369</v>
      </c>
      <c r="H603" s="784"/>
      <c r="I603" s="784"/>
      <c r="J603" s="784"/>
      <c r="K603" s="753"/>
      <c r="L603" s="753"/>
      <c r="M603" s="753"/>
      <c r="N603" s="753"/>
      <c r="O603" s="753"/>
      <c r="P603" s="753"/>
      <c r="Q603" s="710"/>
      <c r="R603" s="710"/>
      <c r="S603" s="710"/>
      <c r="T603" s="710"/>
      <c r="U603" s="710"/>
      <c r="V603" s="710"/>
      <c r="W603" s="710"/>
      <c r="X603" s="710"/>
      <c r="Y603" s="710"/>
      <c r="Z603" s="710"/>
      <c r="AA603" s="710"/>
      <c r="AB603" s="710"/>
      <c r="AC603" s="710"/>
      <c r="AD603" s="22">
        <f>ROW()</f>
        <v>603</v>
      </c>
      <c r="AE603" s="22"/>
      <c r="AF603" s="22"/>
      <c r="AG603" s="22"/>
      <c r="AH603" s="22"/>
      <c r="AI603" s="22"/>
      <c r="AJ603" s="22"/>
      <c r="AK603" s="22"/>
      <c r="AL603" s="22"/>
      <c r="AM603" s="22"/>
      <c r="AN603" s="22"/>
      <c r="AO603" s="22"/>
      <c r="AP603" s="22"/>
      <c r="AQ603" s="710"/>
      <c r="AR603" s="710"/>
      <c r="AS603" s="710"/>
      <c r="AT603" s="710"/>
      <c r="AU603" s="710"/>
      <c r="AV603" s="710"/>
      <c r="AW603" s="710"/>
      <c r="AX603" s="710"/>
      <c r="AY603" s="710"/>
      <c r="AZ603" s="710"/>
      <c r="BA603" s="710"/>
      <c r="BB603" s="710" t="s">
        <v>1370</v>
      </c>
      <c r="BC603" s="710" t="s">
        <v>127</v>
      </c>
      <c r="BD603" s="710" t="b">
        <v>0</v>
      </c>
      <c r="BE603" s="710">
        <f>M485</f>
        <v>0</v>
      </c>
      <c r="BF603" s="710" t="str">
        <f>""&amp;M485</f>
        <v/>
      </c>
      <c r="BG603" s="710" t="b">
        <v>1</v>
      </c>
      <c r="BH603" s="710" t="b">
        <v>0</v>
      </c>
      <c r="BI603" s="710" t="str">
        <f>BE602</f>
        <v>-24324.00</v>
      </c>
      <c r="BJ603" s="710"/>
      <c r="BK603" s="710" t="str">
        <f ca="1">_xlfn.FORMULATEXT(BE603)</f>
        <v>=M485</v>
      </c>
      <c r="BL603" s="710" t="str">
        <f ca="1">_xlfn.FORMULATEXT(BE603)</f>
        <v>=M485</v>
      </c>
      <c r="BM603" s="710"/>
      <c r="BN603" s="710"/>
      <c r="BO603" s="710"/>
      <c r="BP603" s="710"/>
      <c r="BQ603" s="710"/>
      <c r="BR603" s="710"/>
      <c r="BS603" s="710"/>
      <c r="BT603" s="710"/>
      <c r="BU603" s="710"/>
      <c r="BV603" s="710"/>
      <c r="BW603" s="710"/>
      <c r="BX603" s="710"/>
      <c r="BY603" s="710"/>
      <c r="BZ603" s="710"/>
      <c r="CA603" s="710"/>
      <c r="CB603" s="710"/>
      <c r="CC603" s="710"/>
    </row>
    <row r="604" spans="1:81" s="710" customFormat="1" ht="14.5" hidden="1">
      <c r="A604" s="753" t="s">
        <v>673</v>
      </c>
      <c r="B604" s="785"/>
      <c r="C604" s="786"/>
      <c r="D604" s="786"/>
      <c r="E604" s="787"/>
      <c r="F604" s="753"/>
      <c r="G604" s="785"/>
      <c r="H604" s="786"/>
      <c r="I604" s="786"/>
      <c r="J604" s="787"/>
      <c r="K604" s="753"/>
      <c r="L604" s="753"/>
      <c r="M604" s="753"/>
      <c r="N604" s="753"/>
      <c r="O604" s="753"/>
      <c r="P604" s="753"/>
      <c r="Q604" s="710"/>
      <c r="R604" s="710"/>
      <c r="S604" s="710"/>
      <c r="T604" s="710"/>
      <c r="U604" s="710"/>
      <c r="V604" s="710"/>
      <c r="W604" s="710"/>
      <c r="X604" s="710"/>
      <c r="Y604" s="710"/>
      <c r="Z604" s="710"/>
      <c r="AA604" s="710"/>
      <c r="AB604" s="710"/>
      <c r="AC604" s="710"/>
      <c r="AD604" s="22">
        <f>ROW()</f>
        <v>604</v>
      </c>
      <c r="AE604" s="22"/>
      <c r="AF604" s="22"/>
      <c r="AG604" s="22"/>
      <c r="AH604" s="22"/>
      <c r="AI604" s="22"/>
      <c r="AJ604" s="22"/>
      <c r="AK604" s="22"/>
      <c r="AL604" s="22"/>
      <c r="AM604" s="22"/>
      <c r="AN604" s="22"/>
      <c r="AO604" s="22"/>
      <c r="AP604" s="22"/>
      <c r="AQ604" s="710"/>
      <c r="AR604" s="710"/>
      <c r="AS604" s="710"/>
      <c r="AT604" s="710"/>
      <c r="AU604" s="710"/>
      <c r="AV604" s="710"/>
      <c r="AW604" s="710"/>
      <c r="AX604" s="710"/>
      <c r="AY604" s="710"/>
      <c r="AZ604" s="710"/>
      <c r="BA604" s="710"/>
      <c r="BB604" s="710" t="s">
        <v>1371</v>
      </c>
      <c r="BC604" s="710" t="s">
        <v>127</v>
      </c>
      <c r="BD604" s="710" t="b">
        <v>1</v>
      </c>
      <c r="BE604" s="710">
        <f>G486</f>
        <v>0</v>
      </c>
      <c r="BF604" s="710" t="str">
        <f>""&amp;G486</f>
        <v/>
      </c>
      <c r="BG604" s="710" t="b">
        <v>1</v>
      </c>
      <c r="BH604" s="710" t="b">
        <v>0</v>
      </c>
      <c r="BI604" s="710"/>
      <c r="BJ604" s="710"/>
      <c r="BK604" s="710" t="str">
        <f ca="1">_xlfn.FORMULATEXT(BE604)</f>
        <v>=G486</v>
      </c>
      <c r="BL604" s="710" t="str">
        <f ca="1">_xlfn.FORMULATEXT(BE604)</f>
        <v>=G486</v>
      </c>
      <c r="BM604" s="710"/>
      <c r="BN604" s="710"/>
      <c r="BO604" s="710"/>
      <c r="BP604" s="710"/>
      <c r="BQ604" s="710"/>
      <c r="BR604" s="710"/>
      <c r="BS604" s="710"/>
      <c r="BT604" s="710"/>
      <c r="BU604" s="710"/>
      <c r="BV604" s="710"/>
      <c r="BW604" s="710"/>
      <c r="BX604" s="710"/>
      <c r="BY604" s="710"/>
      <c r="BZ604" s="710"/>
      <c r="CA604" s="710"/>
      <c r="CB604" s="710"/>
      <c r="CC604" s="710"/>
    </row>
    <row r="605" spans="1:81" s="710" customFormat="1" ht="14.5" hidden="1">
      <c r="A605" s="753" t="s">
        <v>673</v>
      </c>
      <c r="B605" s="753"/>
      <c r="C605" s="753"/>
      <c r="D605" s="753"/>
      <c r="E605" s="753"/>
      <c r="F605" s="753"/>
      <c r="G605" s="753"/>
      <c r="H605" s="753"/>
      <c r="I605" s="753"/>
      <c r="J605" s="753"/>
      <c r="K605" s="753"/>
      <c r="L605" s="753"/>
      <c r="M605" s="753"/>
      <c r="N605" s="753"/>
      <c r="O605" s="753"/>
      <c r="P605" s="778"/>
      <c r="Q605" s="710"/>
      <c r="R605" s="710"/>
      <c r="S605" s="710"/>
      <c r="T605" s="710"/>
      <c r="U605" s="710"/>
      <c r="V605" s="710"/>
      <c r="W605" s="710"/>
      <c r="X605" s="710"/>
      <c r="Y605" s="710"/>
      <c r="Z605" s="710"/>
      <c r="AA605" s="710"/>
      <c r="AB605" s="710"/>
      <c r="AC605" s="710"/>
      <c r="AD605" s="22">
        <f>ROW()</f>
        <v>605</v>
      </c>
      <c r="AE605" s="22"/>
      <c r="AF605" s="22"/>
      <c r="AG605" s="22"/>
      <c r="AH605" s="22"/>
      <c r="AI605" s="22"/>
      <c r="AJ605" s="22"/>
      <c r="AK605" s="22"/>
      <c r="AL605" s="22"/>
      <c r="AM605" s="22"/>
      <c r="AN605" s="22"/>
      <c r="AO605" s="22"/>
      <c r="AP605" s="22"/>
      <c r="AQ605" s="710"/>
      <c r="AR605" s="710"/>
      <c r="AS605" s="710"/>
      <c r="AT605" s="710"/>
      <c r="AU605" s="710"/>
      <c r="AV605" s="710"/>
      <c r="AW605" s="710"/>
      <c r="AX605" s="710"/>
      <c r="AY605" s="710"/>
      <c r="AZ605" s="710"/>
      <c r="BA605" s="710"/>
      <c r="BB605" s="710" t="s">
        <v>1372</v>
      </c>
      <c r="BC605" s="710" t="s">
        <v>127</v>
      </c>
      <c r="BD605" s="710" t="b">
        <v>1</v>
      </c>
      <c r="BE605" s="757" t="str">
        <f>J486</f>
        <v>0</v>
      </c>
      <c r="BF605" s="710" t="str">
        <f>""&amp;J486</f>
        <v>0</v>
      </c>
      <c r="BG605" s="710" t="b">
        <v>1</v>
      </c>
      <c r="BH605" s="710" t="b">
        <v>0</v>
      </c>
      <c r="BI605" s="710" t="str">
        <f>BE605</f>
        <v>0</v>
      </c>
      <c r="BJ605" s="710"/>
      <c r="BK605" s="710" t="str">
        <f ca="1">_xlfn.FORMULATEXT(BE605)</f>
        <v>=J486</v>
      </c>
      <c r="BL605" s="710" t="str">
        <f ca="1">_xlfn.FORMULATEXT(BE605)</f>
        <v>=J486</v>
      </c>
      <c r="BM605" s="710"/>
      <c r="BN605" s="710"/>
      <c r="BO605" s="710"/>
      <c r="BP605" s="710"/>
      <c r="BQ605" s="710"/>
      <c r="BR605" s="710"/>
      <c r="BS605" s="710"/>
      <c r="BT605" s="710"/>
      <c r="BU605" s="710"/>
      <c r="BV605" s="710"/>
      <c r="BW605" s="710"/>
      <c r="BX605" s="710"/>
      <c r="BY605" s="710"/>
      <c r="BZ605" s="710"/>
      <c r="CA605" s="710"/>
      <c r="CB605" s="710"/>
      <c r="CC605" s="710"/>
    </row>
    <row r="606" spans="1:64" ht="14.5">
      <c r="A606" s="64"/>
      <c r="B606" s="64"/>
      <c r="C606" s="64"/>
      <c r="D606" s="64"/>
      <c r="E606" s="64"/>
      <c r="F606" s="64"/>
      <c r="G606" s="64"/>
      <c r="H606" s="64"/>
      <c r="I606" s="64"/>
      <c r="J606" s="64"/>
      <c r="K606" s="64"/>
      <c r="L606" s="64"/>
      <c r="M606" s="64"/>
      <c r="N606" s="64"/>
      <c r="O606" s="64"/>
      <c r="P606" s="64"/>
      <c r="AD606" s="22">
        <f>ROW()</f>
        <v>606</v>
      </c>
      <c r="AE606" s="22"/>
      <c r="AF606" s="22"/>
      <c r="AG606" s="22"/>
      <c r="AH606" s="22"/>
      <c r="AI606" s="22"/>
      <c r="AJ606" s="22"/>
      <c r="AK606" s="22"/>
      <c r="AL606" s="22"/>
      <c r="AM606" s="22"/>
      <c r="AN606" s="22"/>
      <c r="AO606" s="22"/>
      <c r="AP606" s="22"/>
      <c r="BB606" s="21" t="s">
        <v>1373</v>
      </c>
      <c r="BC606" s="21" t="s">
        <v>127</v>
      </c>
      <c r="BD606" s="21" t="b">
        <v>0</v>
      </c>
      <c r="BE606" s="21">
        <f>M486</f>
        <v>0</v>
      </c>
      <c r="BF606" s="21" t="str">
        <f>""&amp;M486</f>
        <v/>
      </c>
      <c r="BG606" s="21" t="b">
        <v>1</v>
      </c>
      <c r="BH606" s="21" t="b">
        <v>0</v>
      </c>
      <c r="BI606" s="21" t="str">
        <f>BE605</f>
        <v>0</v>
      </c>
      <c r="BK606" s="21" t="str">
        <f ca="1">_xlfn.FORMULATEXT(BE606)</f>
        <v>=M486</v>
      </c>
      <c r="BL606" s="21" t="str">
        <f ca="1">_xlfn.FORMULATEXT(BE606)</f>
        <v>=M486</v>
      </c>
    </row>
    <row r="607" spans="1:64" ht="14.5">
      <c r="A607" s="64"/>
      <c r="B607" s="367" t="s">
        <v>1374</v>
      </c>
      <c r="C607" s="64"/>
      <c r="D607" s="64"/>
      <c r="E607" s="64"/>
      <c r="F607" s="64"/>
      <c r="G607" s="64"/>
      <c r="H607" s="64"/>
      <c r="I607" s="64"/>
      <c r="J607" s="64"/>
      <c r="K607" s="64"/>
      <c r="L607" s="64"/>
      <c r="M607" s="64"/>
      <c r="N607" s="64"/>
      <c r="O607" s="64"/>
      <c r="P607" s="64"/>
      <c r="AA607" s="29"/>
      <c r="AD607" s="22">
        <f>ROW()</f>
        <v>607</v>
      </c>
      <c r="AE607" s="22"/>
      <c r="AF607" s="22"/>
      <c r="AG607" s="22"/>
      <c r="AH607" s="22"/>
      <c r="AI607" s="22"/>
      <c r="AJ607" s="22"/>
      <c r="AK607" s="22"/>
      <c r="AL607" s="22"/>
      <c r="AM607" s="22"/>
      <c r="AN607" s="22"/>
      <c r="AO607" s="22"/>
      <c r="AP607" s="22"/>
      <c r="BB607" s="21" t="s">
        <v>1375</v>
      </c>
      <c r="BC607" s="21" t="s">
        <v>127</v>
      </c>
      <c r="BD607" s="21" t="b">
        <v>1</v>
      </c>
      <c r="BE607" s="21">
        <f>G487</f>
        <v>0</v>
      </c>
      <c r="BF607" s="21" t="str">
        <f>""&amp;G487</f>
        <v/>
      </c>
      <c r="BG607" s="21" t="b">
        <v>1</v>
      </c>
      <c r="BH607" s="21" t="b">
        <v>0</v>
      </c>
      <c r="BK607" s="21" t="str">
        <f ca="1">_xlfn.FORMULATEXT(BE607)</f>
        <v>=G487</v>
      </c>
      <c r="BL607" s="21" t="str">
        <f ca="1">_xlfn.FORMULATEXT(BE607)</f>
        <v>=G487</v>
      </c>
    </row>
    <row r="608" spans="1:64" ht="14.5">
      <c r="A608" s="64"/>
      <c r="B608" s="64"/>
      <c r="C608" s="64"/>
      <c r="D608" s="64"/>
      <c r="E608" s="64"/>
      <c r="F608" s="64"/>
      <c r="G608" s="64"/>
      <c r="H608" s="64"/>
      <c r="I608" s="64"/>
      <c r="J608" s="467"/>
      <c r="K608" s="467"/>
      <c r="L608" s="467"/>
      <c r="M608" s="64"/>
      <c r="N608" s="64"/>
      <c r="O608" s="64"/>
      <c r="P608" s="64"/>
      <c r="R608" s="29"/>
      <c r="AD608" s="22">
        <f>ROW()</f>
        <v>608</v>
      </c>
      <c r="AE608" s="22"/>
      <c r="AF608" s="22"/>
      <c r="AG608" s="22"/>
      <c r="AH608" s="22"/>
      <c r="AI608" s="22"/>
      <c r="AJ608" s="22"/>
      <c r="AK608" s="22"/>
      <c r="AL608" s="22"/>
      <c r="AM608" s="22"/>
      <c r="AN608" s="22"/>
      <c r="AO608" s="22"/>
      <c r="AP608" s="22"/>
      <c r="BB608" s="21" t="s">
        <v>1376</v>
      </c>
      <c r="BC608" s="21" t="s">
        <v>127</v>
      </c>
      <c r="BD608" s="21" t="b">
        <v>1</v>
      </c>
      <c r="BE608" s="21" t="str">
        <f>J487</f>
        <v>0</v>
      </c>
      <c r="BF608" s="21" t="str">
        <f>""&amp;J487</f>
        <v>0</v>
      </c>
      <c r="BG608" s="21" t="b">
        <v>1</v>
      </c>
      <c r="BH608" s="21" t="b">
        <v>0</v>
      </c>
      <c r="BI608" s="21" t="str">
        <f>BE608</f>
        <v>0</v>
      </c>
      <c r="BK608" s="21" t="str">
        <f ca="1">_xlfn.FORMULATEXT(BE608)</f>
        <v>=J487</v>
      </c>
      <c r="BL608" s="21" t="str">
        <f ca="1">_xlfn.FORMULATEXT(BE608)</f>
        <v>=J487</v>
      </c>
    </row>
    <row r="609" spans="1:64" ht="14.5">
      <c r="A609" s="64"/>
      <c r="B609" s="368" t="s">
        <v>1377</v>
      </c>
      <c r="C609" s="467"/>
      <c r="D609" s="467"/>
      <c r="E609" s="467"/>
      <c r="F609" s="64"/>
      <c r="G609" s="64"/>
      <c r="H609" s="64"/>
      <c r="I609" s="64"/>
      <c r="J609" s="502"/>
      <c r="K609" s="501"/>
      <c r="L609" s="503"/>
      <c r="M609" s="64"/>
      <c r="N609" s="64"/>
      <c r="O609" s="64"/>
      <c r="P609" s="64"/>
      <c r="AD609" s="22">
        <f>ROW()</f>
        <v>609</v>
      </c>
      <c r="AE609" s="22"/>
      <c r="AF609" s="22"/>
      <c r="AG609" s="22"/>
      <c r="AH609" s="22"/>
      <c r="AI609" s="22"/>
      <c r="AJ609" s="22"/>
      <c r="AK609" s="22"/>
      <c r="AL609" s="22"/>
      <c r="AM609" s="22"/>
      <c r="AN609" s="22"/>
      <c r="AO609" s="22"/>
      <c r="AP609" s="22"/>
      <c r="BB609" s="21" t="s">
        <v>1378</v>
      </c>
      <c r="BC609" s="21" t="s">
        <v>127</v>
      </c>
      <c r="BD609" s="21" t="b">
        <v>0</v>
      </c>
      <c r="BE609" s="21">
        <f>M487</f>
        <v>0</v>
      </c>
      <c r="BF609" s="21" t="str">
        <f>""&amp;M487</f>
        <v/>
      </c>
      <c r="BG609" s="21" t="b">
        <v>1</v>
      </c>
      <c r="BH609" s="21" t="b">
        <v>0</v>
      </c>
      <c r="BI609" s="21" t="str">
        <f>BE608</f>
        <v>0</v>
      </c>
      <c r="BK609" s="21" t="str">
        <f ca="1">_xlfn.FORMULATEXT(BE609)</f>
        <v>=M487</v>
      </c>
      <c r="BL609" s="21" t="str">
        <f ca="1">_xlfn.FORMULATEXT(BE609)</f>
        <v>=M487</v>
      </c>
    </row>
    <row r="610" spans="1:64" ht="14.5">
      <c r="A610" s="64"/>
      <c r="B610" s="369" t="s">
        <v>1379</v>
      </c>
      <c r="C610" s="538"/>
      <c r="D610" s="537"/>
      <c r="E610" s="490"/>
      <c r="F610" s="368" t="s">
        <v>1380</v>
      </c>
      <c r="G610" s="64"/>
      <c r="H610" s="64"/>
      <c r="I610" s="64"/>
      <c r="J610" s="64"/>
      <c r="K610" s="64"/>
      <c r="L610" s="64"/>
      <c r="M610" s="64"/>
      <c r="N610" s="64"/>
      <c r="O610" s="64"/>
      <c r="P610" s="64"/>
      <c r="AD610" s="22">
        <f>ROW()</f>
        <v>610</v>
      </c>
      <c r="AE610" s="22"/>
      <c r="AF610" s="22"/>
      <c r="AG610" s="22"/>
      <c r="AH610" s="22"/>
      <c r="AI610" s="22"/>
      <c r="AJ610" s="22"/>
      <c r="AK610" s="22"/>
      <c r="AL610" s="22"/>
      <c r="AM610" s="22"/>
      <c r="AN610" s="22"/>
      <c r="AO610" s="22"/>
      <c r="AP610" s="22"/>
      <c r="BA610" s="261"/>
      <c r="BB610" s="21" t="s">
        <v>1381</v>
      </c>
      <c r="BC610" s="21" t="s">
        <v>127</v>
      </c>
      <c r="BD610" s="21" t="b">
        <v>1</v>
      </c>
      <c r="BE610" s="21" t="str">
        <f>G488</f>
        <v>0.00</v>
      </c>
      <c r="BF610" s="21" t="str">
        <f>""&amp;G488</f>
        <v>0.00</v>
      </c>
      <c r="BG610" s="21" t="b">
        <v>0</v>
      </c>
      <c r="BH610" s="21" t="b">
        <v>0</v>
      </c>
      <c r="BK610" s="21" t="str">
        <f ca="1">_xlfn.FORMULATEXT(BE610)</f>
        <v>=G488</v>
      </c>
      <c r="BL610" s="21" t="str">
        <f ca="1">_xlfn.FORMULATEXT(BE610)</f>
        <v>=G488</v>
      </c>
    </row>
    <row r="611" spans="1:64" ht="14.5">
      <c r="A611" s="64"/>
      <c r="B611" s="368" t="s">
        <v>1382</v>
      </c>
      <c r="C611" s="64"/>
      <c r="D611" s="64"/>
      <c r="E611" s="64"/>
      <c r="F611" s="64"/>
      <c r="G611" s="64"/>
      <c r="H611" s="64"/>
      <c r="I611" s="64"/>
      <c r="J611" s="64"/>
      <c r="K611" s="64"/>
      <c r="L611" s="64"/>
      <c r="M611" s="64"/>
      <c r="N611" s="64"/>
      <c r="O611" s="64"/>
      <c r="P611" s="64"/>
      <c r="R611" s="102"/>
      <c r="AD611" s="22">
        <f>ROW()</f>
        <v>611</v>
      </c>
      <c r="AE611" s="22"/>
      <c r="AF611" s="22"/>
      <c r="AG611" s="22"/>
      <c r="AH611" s="22"/>
      <c r="AI611" s="22"/>
      <c r="AJ611" s="22"/>
      <c r="AK611" s="22"/>
      <c r="AL611" s="22"/>
      <c r="AM611" s="22"/>
      <c r="AN611" s="22"/>
      <c r="AO611" s="22"/>
      <c r="AP611" s="22"/>
      <c r="BB611" s="21" t="s">
        <v>1383</v>
      </c>
      <c r="BC611" s="21" t="s">
        <v>127</v>
      </c>
      <c r="BD611" s="21" t="b">
        <v>1</v>
      </c>
      <c r="BE611" s="21" t="str">
        <f>J488</f>
        <v>0.00</v>
      </c>
      <c r="BF611" s="21" t="str">
        <f>""&amp;J488</f>
        <v>0.00</v>
      </c>
      <c r="BG611" s="21" t="b">
        <v>0</v>
      </c>
      <c r="BH611" s="21" t="b">
        <v>0</v>
      </c>
      <c r="BI611" s="21" t="str">
        <f>BE611</f>
        <v>0.00</v>
      </c>
      <c r="BK611" s="21" t="str">
        <f ca="1">_xlfn.FORMULATEXT(BE611)</f>
        <v>=J488</v>
      </c>
      <c r="BL611" s="21" t="str">
        <f ca="1">_xlfn.FORMULATEXT(BE611)</f>
        <v>=J488</v>
      </c>
    </row>
    <row r="612" spans="1:64" ht="14.5">
      <c r="A612" s="64"/>
      <c r="B612" s="368" t="s">
        <v>1384</v>
      </c>
      <c r="C612" s="64"/>
      <c r="D612" s="64"/>
      <c r="E612" s="64"/>
      <c r="F612" s="64"/>
      <c r="G612" s="64"/>
      <c r="H612" s="64"/>
      <c r="I612" s="64"/>
      <c r="J612" s="64"/>
      <c r="K612" s="64"/>
      <c r="L612" s="64"/>
      <c r="M612" s="64"/>
      <c r="N612" s="64"/>
      <c r="O612" s="64"/>
      <c r="P612" s="293"/>
      <c r="AD612" s="22">
        <f>ROW()</f>
        <v>612</v>
      </c>
      <c r="AE612" s="22"/>
      <c r="AF612" s="22"/>
      <c r="AG612" s="22"/>
      <c r="AH612" s="22"/>
      <c r="AI612" s="22"/>
      <c r="AJ612" s="22"/>
      <c r="AK612" s="22"/>
      <c r="AL612" s="22"/>
      <c r="AM612" s="22"/>
      <c r="AN612" s="22"/>
      <c r="AO612" s="22"/>
      <c r="AP612" s="22"/>
      <c r="BB612" s="21" t="s">
        <v>1385</v>
      </c>
      <c r="BC612" s="21" t="s">
        <v>127</v>
      </c>
      <c r="BD612" s="21" t="b">
        <v>0</v>
      </c>
      <c r="BE612" s="21">
        <f>M488</f>
        <v>0</v>
      </c>
      <c r="BF612" s="21" t="str">
        <f>""&amp;M488</f>
        <v/>
      </c>
      <c r="BG612" s="21" t="b">
        <v>1</v>
      </c>
      <c r="BH612" s="21" t="b">
        <v>0</v>
      </c>
      <c r="BI612" s="21" t="str">
        <f>BE611</f>
        <v>0.00</v>
      </c>
      <c r="BK612" s="21" t="str">
        <f ca="1">_xlfn.FORMULATEXT(BE612)</f>
        <v>=M488</v>
      </c>
      <c r="BL612" s="21" t="str">
        <f ca="1">_xlfn.FORMULATEXT(BE612)</f>
        <v>=M488</v>
      </c>
    </row>
    <row r="613" spans="1:64" ht="14.5">
      <c r="A613" s="64"/>
      <c r="B613" s="64"/>
      <c r="C613" s="64"/>
      <c r="D613" s="64"/>
      <c r="E613" s="64"/>
      <c r="F613" s="64"/>
      <c r="G613" s="64"/>
      <c r="H613" s="64"/>
      <c r="I613" s="64"/>
      <c r="J613" s="64"/>
      <c r="K613" s="64"/>
      <c r="L613" s="64"/>
      <c r="M613" s="64"/>
      <c r="N613" s="64"/>
      <c r="O613" s="64"/>
      <c r="P613" s="293"/>
      <c r="AD613" s="22">
        <f>ROW()</f>
        <v>613</v>
      </c>
      <c r="AE613" s="22"/>
      <c r="AF613" s="22"/>
      <c r="AG613" s="22"/>
      <c r="AH613" s="22"/>
      <c r="AI613" s="22"/>
      <c r="AJ613" s="22"/>
      <c r="AK613" s="22"/>
      <c r="AL613" s="22"/>
      <c r="AM613" s="22"/>
      <c r="AN613" s="22"/>
      <c r="AO613" s="22"/>
      <c r="AP613" s="22"/>
      <c r="BB613" s="21" t="s">
        <v>1386</v>
      </c>
      <c r="BC613" s="21" t="s">
        <v>127</v>
      </c>
      <c r="BD613" s="21" t="b">
        <v>1</v>
      </c>
      <c r="BE613" s="21" t="str">
        <f>G489</f>
        <v>0.00</v>
      </c>
      <c r="BF613" s="21" t="str">
        <f>""&amp;G489</f>
        <v>0.00</v>
      </c>
      <c r="BG613" s="21" t="b">
        <v>0</v>
      </c>
      <c r="BH613" s="21" t="b">
        <v>0</v>
      </c>
      <c r="BK613" s="21" t="str">
        <f ca="1">_xlfn.FORMULATEXT(BE613)</f>
        <v>=G489</v>
      </c>
      <c r="BL613" s="21" t="str">
        <f ca="1">_xlfn.FORMULATEXT(BE613)</f>
        <v>=G489</v>
      </c>
    </row>
    <row r="614" spans="1:64" ht="14.5">
      <c r="A614" s="64"/>
      <c r="B614" s="373" t="s">
        <v>1387</v>
      </c>
      <c r="C614" s="64"/>
      <c r="D614" s="64"/>
      <c r="E614" s="64"/>
      <c r="F614" s="64"/>
      <c r="G614" s="64"/>
      <c r="H614" s="64"/>
      <c r="I614" s="64"/>
      <c r="J614" s="64"/>
      <c r="K614" s="64"/>
      <c r="L614" s="64"/>
      <c r="M614" s="64"/>
      <c r="N614" s="64"/>
      <c r="O614" s="64"/>
      <c r="P614" s="64"/>
      <c r="AD614" s="22">
        <f>ROW()</f>
        <v>614</v>
      </c>
      <c r="AE614" s="22"/>
      <c r="AF614" s="22"/>
      <c r="AG614" s="22"/>
      <c r="AH614" s="22"/>
      <c r="AI614" s="22"/>
      <c r="AJ614" s="22"/>
      <c r="AK614" s="22"/>
      <c r="AL614" s="22"/>
      <c r="AM614" s="22"/>
      <c r="AN614" s="22"/>
      <c r="AO614" s="22"/>
      <c r="AP614" s="22"/>
      <c r="BB614" s="21" t="s">
        <v>1388</v>
      </c>
      <c r="BC614" s="21" t="s">
        <v>127</v>
      </c>
      <c r="BD614" s="21" t="b">
        <v>1</v>
      </c>
      <c r="BE614" s="21" t="str">
        <f>J489</f>
        <v>-24324.00</v>
      </c>
      <c r="BF614" s="21" t="str">
        <f>""&amp;J489</f>
        <v>-24324.00</v>
      </c>
      <c r="BG614" s="21" t="b">
        <v>0</v>
      </c>
      <c r="BH614" s="21" t="b">
        <v>0</v>
      </c>
      <c r="BI614" s="21" t="str">
        <f>BE614</f>
        <v>-24324.00</v>
      </c>
      <c r="BK614" s="21" t="str">
        <f ca="1">_xlfn.FORMULATEXT(BE614)</f>
        <v>=J489</v>
      </c>
      <c r="BL614" s="21" t="str">
        <f ca="1">_xlfn.FORMULATEXT(BE614)</f>
        <v>=J489</v>
      </c>
    </row>
    <row r="615" spans="1:64" ht="14.5">
      <c r="A615" s="64"/>
      <c r="B615" s="373" t="s">
        <v>1389</v>
      </c>
      <c r="C615" s="64"/>
      <c r="D615" s="64"/>
      <c r="E615" s="64"/>
      <c r="F615" s="64"/>
      <c r="G615" s="64"/>
      <c r="H615" s="64"/>
      <c r="I615" s="64"/>
      <c r="J615" s="64"/>
      <c r="K615" s="64"/>
      <c r="L615" s="64"/>
      <c r="M615" s="64"/>
      <c r="N615" s="64"/>
      <c r="O615" s="64"/>
      <c r="P615" s="101"/>
      <c r="AD615" s="22">
        <f>ROW()</f>
        <v>615</v>
      </c>
      <c r="AE615" s="22"/>
      <c r="AF615" s="22"/>
      <c r="AG615" s="22"/>
      <c r="AH615" s="22"/>
      <c r="AI615" s="22"/>
      <c r="AJ615" s="22"/>
      <c r="AK615" s="22"/>
      <c r="AL615" s="22"/>
      <c r="AM615" s="22"/>
      <c r="AN615" s="22"/>
      <c r="AO615" s="22"/>
      <c r="AP615" s="22"/>
      <c r="BB615" s="21" t="s">
        <v>1390</v>
      </c>
      <c r="BC615" s="21" t="s">
        <v>127</v>
      </c>
      <c r="BD615" s="21" t="b">
        <v>0</v>
      </c>
      <c r="BE615" s="21">
        <f>M489</f>
        <v>0</v>
      </c>
      <c r="BF615" s="21" t="str">
        <f>""&amp;M489</f>
        <v/>
      </c>
      <c r="BG615" s="21" t="b">
        <v>1</v>
      </c>
      <c r="BH615" s="21" t="b">
        <v>0</v>
      </c>
      <c r="BI615" s="21" t="str">
        <f>BE614</f>
        <v>-24324.00</v>
      </c>
      <c r="BK615" s="21" t="str">
        <f ca="1">_xlfn.FORMULATEXT(BE615)</f>
        <v>=M489</v>
      </c>
      <c r="BL615" s="21" t="str">
        <f ca="1">_xlfn.FORMULATEXT(BE615)</f>
        <v>=M489</v>
      </c>
    </row>
    <row r="616" spans="1:64" ht="14.5">
      <c r="A616" s="64"/>
      <c r="B616" s="373" t="s">
        <v>1391</v>
      </c>
      <c r="C616" s="64"/>
      <c r="D616" s="64"/>
      <c r="E616" s="64"/>
      <c r="F616" s="64"/>
      <c r="G616" s="64"/>
      <c r="H616" s="64"/>
      <c r="I616" s="64"/>
      <c r="J616" s="64"/>
      <c r="K616" s="64"/>
      <c r="L616" s="64"/>
      <c r="M616" s="64"/>
      <c r="N616" s="64"/>
      <c r="O616" s="64"/>
      <c r="P616" s="64"/>
      <c r="AD616" s="22">
        <f>ROW()</f>
        <v>616</v>
      </c>
      <c r="AE616" s="22"/>
      <c r="AF616" s="22"/>
      <c r="AG616" s="22"/>
      <c r="AH616" s="22"/>
      <c r="AI616" s="22"/>
      <c r="AJ616" s="22"/>
      <c r="AK616" s="22"/>
      <c r="AL616" s="22"/>
      <c r="AM616" s="22"/>
      <c r="AN616" s="22"/>
      <c r="AO616" s="22"/>
      <c r="AP616" s="22"/>
      <c r="BB616" s="21" t="s">
        <v>1392</v>
      </c>
      <c r="BC616" s="21" t="s">
        <v>127</v>
      </c>
      <c r="BD616" s="21" t="b">
        <v>1</v>
      </c>
      <c r="BE616" s="21">
        <f>G491</f>
        <v>0</v>
      </c>
      <c r="BF616" s="21" t="str">
        <f>""&amp;G491</f>
        <v/>
      </c>
      <c r="BG616" s="21" t="b">
        <v>1</v>
      </c>
      <c r="BH616" s="21" t="b">
        <v>0</v>
      </c>
      <c r="BK616" s="21" t="str">
        <f ca="1">_xlfn.FORMULATEXT(BE616)</f>
        <v>=G491</v>
      </c>
      <c r="BL616" s="21" t="str">
        <f ca="1">_xlfn.FORMULATEXT(BE616)</f>
        <v>=G491</v>
      </c>
    </row>
    <row r="617" spans="1:64" ht="14.5">
      <c r="A617" s="64"/>
      <c r="B617" s="64"/>
      <c r="C617" s="64"/>
      <c r="D617" s="64"/>
      <c r="E617" s="64"/>
      <c r="F617" s="64"/>
      <c r="G617" s="64"/>
      <c r="H617" s="64"/>
      <c r="I617" s="64"/>
      <c r="J617" s="64"/>
      <c r="K617" s="64"/>
      <c r="L617" s="64"/>
      <c r="M617" s="64"/>
      <c r="N617" s="64"/>
      <c r="O617" s="64"/>
      <c r="P617" s="64"/>
      <c r="Q617" s="374"/>
      <c r="AD617" s="22">
        <f>ROW()</f>
        <v>617</v>
      </c>
      <c r="AE617" s="22"/>
      <c r="AF617" s="22"/>
      <c r="AG617" s="22"/>
      <c r="AH617" s="22"/>
      <c r="AI617" s="22"/>
      <c r="AJ617" s="22"/>
      <c r="AK617" s="22"/>
      <c r="AL617" s="22"/>
      <c r="AM617" s="22"/>
      <c r="AN617" s="22"/>
      <c r="AO617" s="22"/>
      <c r="AP617" s="22"/>
      <c r="BB617" s="21" t="s">
        <v>1393</v>
      </c>
      <c r="BC617" s="21" t="s">
        <v>127</v>
      </c>
      <c r="BD617" s="21" t="b">
        <v>1</v>
      </c>
      <c r="BE617" s="21" t="str">
        <f>J491</f>
        <v>5.53</v>
      </c>
      <c r="BF617" s="21" t="str">
        <f>""&amp;J491</f>
        <v>5.53</v>
      </c>
      <c r="BG617" s="21" t="b">
        <v>1</v>
      </c>
      <c r="BH617" s="21" t="b">
        <v>0</v>
      </c>
      <c r="BI617" s="21" t="str">
        <f>BE617</f>
        <v>5.53</v>
      </c>
      <c r="BK617" s="21" t="str">
        <f ca="1">_xlfn.FORMULATEXT(BE617)</f>
        <v>=J491</v>
      </c>
      <c r="BL617" s="21" t="str">
        <f ca="1">_xlfn.FORMULATEXT(BE617)</f>
        <v>=J491</v>
      </c>
    </row>
    <row r="618" spans="1:64" ht="14.5">
      <c r="A618" s="64"/>
      <c r="B618" s="373" t="s">
        <v>1394</v>
      </c>
      <c r="C618" s="64"/>
      <c r="D618" s="64"/>
      <c r="E618" s="64"/>
      <c r="F618" s="64"/>
      <c r="G618" s="64"/>
      <c r="H618" s="64"/>
      <c r="I618" s="64"/>
      <c r="J618" s="64"/>
      <c r="K618" s="64"/>
      <c r="L618" s="64"/>
      <c r="M618" s="64"/>
      <c r="N618" s="64"/>
      <c r="O618" s="64"/>
      <c r="P618" s="64"/>
      <c r="AD618" s="22">
        <f>ROW()</f>
        <v>618</v>
      </c>
      <c r="AE618" s="22"/>
      <c r="AF618" s="22"/>
      <c r="AG618" s="22"/>
      <c r="AH618" s="22"/>
      <c r="AI618" s="22"/>
      <c r="AJ618" s="22"/>
      <c r="AK618" s="22"/>
      <c r="AL618" s="22"/>
      <c r="AM618" s="22"/>
      <c r="AN618" s="22"/>
      <c r="AO618" s="22"/>
      <c r="AP618" s="22"/>
      <c r="BB618" s="21" t="s">
        <v>1395</v>
      </c>
      <c r="BC618" s="21" t="s">
        <v>127</v>
      </c>
      <c r="BD618" s="21" t="b">
        <v>0</v>
      </c>
      <c r="BE618" s="21">
        <f>M491</f>
        <v>0</v>
      </c>
      <c r="BF618" s="21" t="str">
        <f>""&amp;M491</f>
        <v/>
      </c>
      <c r="BG618" s="21" t="b">
        <v>1</v>
      </c>
      <c r="BH618" s="21" t="b">
        <v>0</v>
      </c>
      <c r="BI618" s="21" t="str">
        <f>BE617</f>
        <v>5.53</v>
      </c>
      <c r="BK618" s="21" t="str">
        <f ca="1">_xlfn.FORMULATEXT(BE618)</f>
        <v>=M491</v>
      </c>
      <c r="BL618" s="21" t="str">
        <f ca="1">_xlfn.FORMULATEXT(BE618)</f>
        <v>=M491</v>
      </c>
    </row>
    <row r="619" spans="1:64" ht="14.5">
      <c r="A619" s="64"/>
      <c r="B619" s="64"/>
      <c r="C619" s="64"/>
      <c r="D619" s="64"/>
      <c r="E619" s="64"/>
      <c r="F619" s="64"/>
      <c r="G619" s="64"/>
      <c r="H619" s="64"/>
      <c r="I619" s="64"/>
      <c r="J619" s="467"/>
      <c r="K619" s="467"/>
      <c r="L619" s="467"/>
      <c r="M619" s="64"/>
      <c r="N619" s="64"/>
      <c r="O619" s="64"/>
      <c r="P619" s="64"/>
      <c r="AD619" s="22">
        <f>ROW()</f>
        <v>619</v>
      </c>
      <c r="AE619" s="22"/>
      <c r="AF619" s="22"/>
      <c r="AG619" s="22"/>
      <c r="AH619" s="22"/>
      <c r="AI619" s="22"/>
      <c r="AJ619" s="22"/>
      <c r="AK619" s="22"/>
      <c r="AL619" s="22"/>
      <c r="AM619" s="22"/>
      <c r="AN619" s="22"/>
      <c r="AO619" s="22"/>
      <c r="AP619" s="22"/>
      <c r="BB619" s="21" t="s">
        <v>1396</v>
      </c>
      <c r="BC619" s="21" t="s">
        <v>127</v>
      </c>
      <c r="BD619" s="21" t="b">
        <v>1</v>
      </c>
      <c r="BE619" s="21">
        <f>G492</f>
        <v>0</v>
      </c>
      <c r="BF619" s="21" t="str">
        <f>""&amp;G492</f>
        <v/>
      </c>
      <c r="BG619" s="21" t="b">
        <v>1</v>
      </c>
      <c r="BH619" s="21" t="b">
        <v>0</v>
      </c>
      <c r="BK619" s="21" t="str">
        <f ca="1">_xlfn.FORMULATEXT(BE619)</f>
        <v>=G492</v>
      </c>
      <c r="BL619" s="21" t="str">
        <f ca="1">_xlfn.FORMULATEXT(BE619)</f>
        <v>=G492</v>
      </c>
    </row>
    <row r="620" spans="1:64" ht="14.5">
      <c r="A620" s="64"/>
      <c r="B620" s="64" t="s">
        <v>1397</v>
      </c>
      <c r="C620" s="64"/>
      <c r="D620" s="64"/>
      <c r="E620" s="64"/>
      <c r="F620" s="64"/>
      <c r="G620" s="64"/>
      <c r="H620" s="64"/>
      <c r="I620" s="64"/>
      <c r="J620" s="541" t="s">
        <v>1398</v>
      </c>
      <c r="K620" s="541"/>
      <c r="L620" s="542"/>
      <c r="M620" s="64"/>
      <c r="N620" s="64"/>
      <c r="O620" s="64"/>
      <c r="P620" s="64"/>
      <c r="AD620" s="22">
        <f>ROW()</f>
        <v>620</v>
      </c>
      <c r="AE620" s="22"/>
      <c r="AF620" s="22"/>
      <c r="AG620" s="22"/>
      <c r="AH620" s="22"/>
      <c r="AI620" s="22"/>
      <c r="AJ620" s="22"/>
      <c r="AK620" s="22"/>
      <c r="AL620" s="22"/>
      <c r="AM620" s="22"/>
      <c r="AN620" s="22"/>
      <c r="AO620" s="22"/>
      <c r="AP620" s="22"/>
      <c r="BB620" s="21" t="s">
        <v>1399</v>
      </c>
      <c r="BC620" s="21" t="s">
        <v>127</v>
      </c>
      <c r="BD620" s="21" t="b">
        <v>1</v>
      </c>
      <c r="BE620" s="21" t="str">
        <f>J492</f>
        <v>5.53</v>
      </c>
      <c r="BF620" s="21" t="str">
        <f>""&amp;J492</f>
        <v>5.53</v>
      </c>
      <c r="BG620" s="21" t="b">
        <v>1</v>
      </c>
      <c r="BH620" s="21" t="b">
        <v>0</v>
      </c>
      <c r="BI620" s="21" t="str">
        <f>BE620</f>
        <v>5.53</v>
      </c>
      <c r="BK620" s="21" t="str">
        <f ca="1">_xlfn.FORMULATEXT(BE620)</f>
        <v>=J492</v>
      </c>
      <c r="BL620" s="21" t="str">
        <f ca="1">_xlfn.FORMULATEXT(BE620)</f>
        <v>=J492</v>
      </c>
    </row>
    <row r="621" spans="1:64" ht="14.5">
      <c r="A621" s="64"/>
      <c r="B621" s="64"/>
      <c r="C621" s="64"/>
      <c r="D621" s="64"/>
      <c r="E621" s="64"/>
      <c r="F621" s="64"/>
      <c r="G621" s="64"/>
      <c r="H621" s="64"/>
      <c r="I621" s="64"/>
      <c r="J621" s="64"/>
      <c r="K621" s="64"/>
      <c r="L621" s="64"/>
      <c r="M621" s="64"/>
      <c r="N621" s="64"/>
      <c r="O621" s="64"/>
      <c r="P621" s="64"/>
      <c r="AD621" s="22">
        <f>ROW()</f>
        <v>621</v>
      </c>
      <c r="AE621" s="22"/>
      <c r="AF621" s="22"/>
      <c r="AG621" s="22"/>
      <c r="AH621" s="22"/>
      <c r="AI621" s="22"/>
      <c r="AJ621" s="22"/>
      <c r="AK621" s="22"/>
      <c r="AL621" s="22"/>
      <c r="AM621" s="22"/>
      <c r="AN621" s="22"/>
      <c r="AO621" s="22"/>
      <c r="AP621" s="22"/>
      <c r="BB621" s="21" t="s">
        <v>1400</v>
      </c>
      <c r="BC621" s="21" t="s">
        <v>127</v>
      </c>
      <c r="BD621" s="21" t="b">
        <v>0</v>
      </c>
      <c r="BE621" s="21">
        <f>M492</f>
        <v>0</v>
      </c>
      <c r="BF621" s="21" t="str">
        <f>""&amp;M492</f>
        <v/>
      </c>
      <c r="BG621" s="21" t="b">
        <v>1</v>
      </c>
      <c r="BH621" s="21" t="b">
        <v>0</v>
      </c>
      <c r="BI621" s="21" t="str">
        <f>BE620</f>
        <v>5.53</v>
      </c>
      <c r="BK621" s="21" t="str">
        <f ca="1">_xlfn.FORMULATEXT(BE621)</f>
        <v>=M492</v>
      </c>
      <c r="BL621" s="21" t="str">
        <f ca="1">_xlfn.FORMULATEXT(BE621)</f>
        <v>=M492</v>
      </c>
    </row>
    <row r="622" spans="1:64" ht="14.5">
      <c r="A622" s="64"/>
      <c r="B622" s="64" t="s">
        <v>1401</v>
      </c>
      <c r="C622" s="64"/>
      <c r="D622" s="64"/>
      <c r="E622" s="64"/>
      <c r="F622" s="64"/>
      <c r="G622" s="64"/>
      <c r="H622" s="64"/>
      <c r="I622" s="64"/>
      <c r="J622" s="64"/>
      <c r="K622" s="64"/>
      <c r="L622" s="64"/>
      <c r="M622" s="64"/>
      <c r="N622" s="64"/>
      <c r="O622" s="64"/>
      <c r="P622" s="64"/>
      <c r="AA622" s="493"/>
      <c r="AD622" s="22">
        <f>ROW()</f>
        <v>622</v>
      </c>
      <c r="AE622" s="22"/>
      <c r="AF622" s="22"/>
      <c r="AG622" s="22"/>
      <c r="AH622" s="22"/>
      <c r="AI622" s="22"/>
      <c r="AJ622" s="22"/>
      <c r="AK622" s="22"/>
      <c r="AL622" s="22"/>
      <c r="AM622" s="22"/>
      <c r="AN622" s="22"/>
      <c r="AO622" s="22"/>
      <c r="AP622" s="22"/>
      <c r="BB622" s="21" t="s">
        <v>1402</v>
      </c>
      <c r="BC622" s="21" t="s">
        <v>127</v>
      </c>
      <c r="BD622" s="21" t="b">
        <v>1</v>
      </c>
      <c r="BE622" s="21">
        <f>G494</f>
        <v>0</v>
      </c>
      <c r="BF622" s="21" t="str">
        <f>""&amp;G494</f>
        <v/>
      </c>
      <c r="BG622" s="21" t="b">
        <v>1</v>
      </c>
      <c r="BH622" s="21" t="b">
        <v>0</v>
      </c>
      <c r="BK622" s="21" t="str">
        <f ca="1">_xlfn.FORMULATEXT(BE622)</f>
        <v>=G494</v>
      </c>
      <c r="BL622" s="21" t="str">
        <f ca="1">_xlfn.FORMULATEXT(BE622)</f>
        <v>=G494</v>
      </c>
    </row>
    <row r="623" spans="1:64" ht="14.5">
      <c r="A623" s="64"/>
      <c r="B623" s="376" t="s">
        <v>1403</v>
      </c>
      <c r="C623" s="64"/>
      <c r="D623" s="64"/>
      <c r="E623" s="64"/>
      <c r="F623" s="64"/>
      <c r="G623" s="64"/>
      <c r="H623" s="64"/>
      <c r="I623" s="64"/>
      <c r="J623" s="64"/>
      <c r="K623" s="64"/>
      <c r="L623" s="64"/>
      <c r="M623" s="64"/>
      <c r="N623" s="64"/>
      <c r="O623" s="64"/>
      <c r="P623" s="64"/>
      <c r="AD623" s="22">
        <f>ROW()</f>
        <v>623</v>
      </c>
      <c r="AE623" s="22"/>
      <c r="AF623" s="22"/>
      <c r="AG623" s="22"/>
      <c r="AH623" s="22"/>
      <c r="AI623" s="22"/>
      <c r="AJ623" s="22"/>
      <c r="AK623" s="22"/>
      <c r="AL623" s="22"/>
      <c r="AM623" s="22"/>
      <c r="AN623" s="22"/>
      <c r="AO623" s="22"/>
      <c r="AP623" s="22"/>
      <c r="BB623" s="21" t="s">
        <v>1404</v>
      </c>
      <c r="BC623" s="21" t="s">
        <v>127</v>
      </c>
      <c r="BD623" s="21" t="b">
        <v>1</v>
      </c>
      <c r="BE623" s="21" t="str">
        <f>J494</f>
        <v>5.53</v>
      </c>
      <c r="BF623" s="21" t="str">
        <f>""&amp;J494</f>
        <v>5.53</v>
      </c>
      <c r="BG623" s="21" t="b">
        <v>1</v>
      </c>
      <c r="BH623" s="21" t="b">
        <v>0</v>
      </c>
      <c r="BI623" s="21" t="str">
        <f>BE623</f>
        <v>5.53</v>
      </c>
      <c r="BK623" s="21" t="str">
        <f ca="1">_xlfn.FORMULATEXT(BE623)</f>
        <v>=J494</v>
      </c>
      <c r="BL623" s="21" t="str">
        <f ca="1">_xlfn.FORMULATEXT(BE623)</f>
        <v>=J494</v>
      </c>
    </row>
    <row r="624" spans="1:64" ht="14.5">
      <c r="A624" s="64"/>
      <c r="B624" s="376" t="s">
        <v>1405</v>
      </c>
      <c r="C624" s="64"/>
      <c r="D624" s="64"/>
      <c r="E624" s="64"/>
      <c r="F624" s="64"/>
      <c r="G624" s="64"/>
      <c r="H624" s="64"/>
      <c r="I624" s="64"/>
      <c r="J624" s="64"/>
      <c r="K624" s="64"/>
      <c r="L624" s="64"/>
      <c r="M624" s="64"/>
      <c r="N624" s="64"/>
      <c r="O624" s="64"/>
      <c r="P624" s="64"/>
      <c r="AD624" s="22">
        <f>ROW()</f>
        <v>624</v>
      </c>
      <c r="AE624" s="22"/>
      <c r="AF624" s="22"/>
      <c r="AG624" s="22"/>
      <c r="AH624" s="22"/>
      <c r="BB624" s="21" t="s">
        <v>1406</v>
      </c>
      <c r="BC624" s="21" t="s">
        <v>127</v>
      </c>
      <c r="BD624" s="21" t="b">
        <v>0</v>
      </c>
      <c r="BE624" s="21">
        <f>M494</f>
        <v>0</v>
      </c>
      <c r="BF624" s="21" t="str">
        <f>""&amp;M494</f>
        <v/>
      </c>
      <c r="BG624" s="21" t="b">
        <v>1</v>
      </c>
      <c r="BH624" s="21" t="b">
        <v>0</v>
      </c>
      <c r="BI624" s="21" t="str">
        <f>BE623</f>
        <v>5.53</v>
      </c>
      <c r="BK624" s="21" t="str">
        <f ca="1">_xlfn.FORMULATEXT(BE624)</f>
        <v>=M494</v>
      </c>
      <c r="BL624" s="21" t="str">
        <f ca="1">_xlfn.FORMULATEXT(BE624)</f>
        <v>=M494</v>
      </c>
    </row>
    <row r="625" spans="1:34 54:64" ht="14.5">
      <c r="A625" s="64"/>
      <c r="B625" s="64"/>
      <c r="C625" s="64"/>
      <c r="D625" s="64"/>
      <c r="E625" s="64"/>
      <c r="F625" s="64"/>
      <c r="G625" s="64"/>
      <c r="H625" s="64"/>
      <c r="I625" s="64"/>
      <c r="J625" s="467"/>
      <c r="K625" s="467"/>
      <c r="L625" s="467"/>
      <c r="M625" s="64"/>
      <c r="N625" s="64"/>
      <c r="O625" s="64"/>
      <c r="P625" s="64"/>
      <c r="AD625" s="22">
        <f>ROW()</f>
        <v>625</v>
      </c>
      <c r="AF625" s="22"/>
      <c r="AG625" s="22"/>
      <c r="AH625" s="22"/>
      <c r="BB625" s="21" t="s">
        <v>1407</v>
      </c>
      <c r="BC625" s="21" t="s">
        <v>127</v>
      </c>
      <c r="BD625" s="21" t="b">
        <v>1</v>
      </c>
      <c r="BE625" s="21">
        <f>G495</f>
        <v>0</v>
      </c>
      <c r="BF625" s="21" t="str">
        <f>""&amp;G495</f>
        <v/>
      </c>
      <c r="BG625" s="21" t="b">
        <v>1</v>
      </c>
      <c r="BH625" s="21" t="b">
        <v>0</v>
      </c>
      <c r="BK625" s="21" t="str">
        <f ca="1">_xlfn.FORMULATEXT(BE625)</f>
        <v>=G495</v>
      </c>
      <c r="BL625" s="21" t="str">
        <f ca="1">_xlfn.FORMULATEXT(BE625)</f>
        <v>=G495</v>
      </c>
    </row>
    <row r="626" spans="1:34 54:64" ht="14.5">
      <c r="A626" s="64"/>
      <c r="B626" s="330" t="s">
        <v>1408</v>
      </c>
      <c r="C626" s="64"/>
      <c r="D626" s="64"/>
      <c r="E626" s="64"/>
      <c r="F626" s="64"/>
      <c r="G626" s="64"/>
      <c r="H626" s="64"/>
      <c r="I626" s="64"/>
      <c r="J626" s="489"/>
      <c r="K626" s="488"/>
      <c r="L626" s="490"/>
      <c r="M626" s="64"/>
      <c r="N626" s="64"/>
      <c r="O626" s="64"/>
      <c r="P626" s="64"/>
      <c r="AD626" s="22">
        <f>ROW()</f>
        <v>626</v>
      </c>
      <c r="AF626" s="22"/>
      <c r="AG626" s="22"/>
      <c r="AH626" s="22"/>
      <c r="BB626" s="21" t="s">
        <v>1409</v>
      </c>
      <c r="BC626" s="21" t="s">
        <v>127</v>
      </c>
      <c r="BD626" s="21" t="b">
        <v>1</v>
      </c>
      <c r="BE626" s="21" t="str">
        <f>J495</f>
        <v>5.53</v>
      </c>
      <c r="BF626" s="21" t="str">
        <f>""&amp;J495</f>
        <v>5.53</v>
      </c>
      <c r="BG626" s="21" t="b">
        <v>1</v>
      </c>
      <c r="BH626" s="21" t="b">
        <v>0</v>
      </c>
      <c r="BI626" s="21" t="str">
        <f>BE626</f>
        <v>5.53</v>
      </c>
      <c r="BK626" s="21" t="str">
        <f ca="1">_xlfn.FORMULATEXT(BE626)</f>
        <v>=J495</v>
      </c>
      <c r="BL626" s="21" t="str">
        <f ca="1">_xlfn.FORMULATEXT(BE626)</f>
        <v>=J495</v>
      </c>
    </row>
    <row r="627" spans="1:34 54:64" ht="14.5">
      <c r="A627" s="64"/>
      <c r="B627" s="330" t="s">
        <v>1410</v>
      </c>
      <c r="C627" s="64"/>
      <c r="D627" s="64"/>
      <c r="E627" s="64"/>
      <c r="F627" s="64"/>
      <c r="G627" s="64"/>
      <c r="H627" s="64"/>
      <c r="I627" s="64"/>
      <c r="J627" s="64"/>
      <c r="K627" s="64"/>
      <c r="L627" s="64"/>
      <c r="M627" s="64"/>
      <c r="N627" s="64"/>
      <c r="O627" s="64"/>
      <c r="P627" s="64"/>
      <c r="AD627" s="22">
        <f>ROW()</f>
        <v>627</v>
      </c>
      <c r="AF627" s="22"/>
      <c r="AG627" s="22"/>
      <c r="AH627" s="22"/>
      <c r="BB627" s="21" t="s">
        <v>1411</v>
      </c>
      <c r="BC627" s="21" t="s">
        <v>127</v>
      </c>
      <c r="BD627" s="21" t="b">
        <v>0</v>
      </c>
      <c r="BE627" s="21">
        <f>M495</f>
        <v>0</v>
      </c>
      <c r="BF627" s="21" t="str">
        <f>""&amp;M495</f>
        <v/>
      </c>
      <c r="BG627" s="21" t="b">
        <v>1</v>
      </c>
      <c r="BH627" s="21" t="b">
        <v>0</v>
      </c>
      <c r="BI627" s="21" t="str">
        <f>BE626</f>
        <v>5.53</v>
      </c>
      <c r="BK627" s="21" t="str">
        <f ca="1">_xlfn.FORMULATEXT(BE627)</f>
        <v>=M495</v>
      </c>
      <c r="BL627" s="21" t="str">
        <f ca="1">_xlfn.FORMULATEXT(BE627)</f>
        <v>=M495</v>
      </c>
    </row>
    <row r="628" spans="1:33 54:64" ht="14.5">
      <c r="A628" s="64"/>
      <c r="B628" s="330" t="s">
        <v>1412</v>
      </c>
      <c r="C628" s="64"/>
      <c r="D628" s="64"/>
      <c r="E628" s="64"/>
      <c r="F628" s="64"/>
      <c r="G628" s="64"/>
      <c r="H628" s="64"/>
      <c r="I628" s="64"/>
      <c r="J628" s="64"/>
      <c r="K628" s="64"/>
      <c r="L628" s="64"/>
      <c r="M628" s="64"/>
      <c r="N628" s="64"/>
      <c r="O628" s="64"/>
      <c r="P628" s="64"/>
      <c r="AD628" s="22">
        <f>ROW()</f>
        <v>628</v>
      </c>
      <c r="AF628" s="22"/>
      <c r="AG628" s="22"/>
      <c r="BB628" s="21" t="s">
        <v>1413</v>
      </c>
      <c r="BC628" s="21" t="s">
        <v>123</v>
      </c>
      <c r="BD628" s="21" t="b">
        <v>0</v>
      </c>
      <c r="BE628" s="21" t="s">
        <v>1414</v>
      </c>
      <c r="BF628" s="21" t="s">
        <v>1414</v>
      </c>
      <c r="BG628" s="21" t="b">
        <v>0</v>
      </c>
      <c r="BH628" s="21" t="b">
        <v>0</v>
      </c>
      <c r="BK628" s="21" t="s">
        <v>125</v>
      </c>
      <c r="BL628" s="21" t="s">
        <v>125</v>
      </c>
    </row>
    <row r="629" spans="1:33 54:64" ht="14.5">
      <c r="A629" s="64"/>
      <c r="B629" s="64"/>
      <c r="C629" s="64"/>
      <c r="D629" s="64"/>
      <c r="E629" s="64"/>
      <c r="F629" s="64"/>
      <c r="G629" s="64"/>
      <c r="H629" s="64"/>
      <c r="I629" s="64"/>
      <c r="J629" s="64"/>
      <c r="K629" s="64"/>
      <c r="L629" s="64"/>
      <c r="M629" s="64"/>
      <c r="N629" s="64"/>
      <c r="O629" s="64"/>
      <c r="P629" s="64"/>
      <c r="R629" s="374"/>
      <c r="AD629" s="22">
        <f>ROW()</f>
        <v>629</v>
      </c>
      <c r="AF629" s="22"/>
      <c r="AG629" s="22"/>
      <c r="BB629" s="21" t="s">
        <v>1415</v>
      </c>
      <c r="BC629" s="21" t="s">
        <v>127</v>
      </c>
      <c r="BD629" s="21" t="b">
        <v>1</v>
      </c>
      <c r="BE629" s="21">
        <f>E500</f>
        <v>0</v>
      </c>
      <c r="BF629" s="21" t="str">
        <f>""&amp;E500</f>
        <v/>
      </c>
      <c r="BG629" s="21" t="b">
        <v>1</v>
      </c>
      <c r="BH629" s="21" t="b">
        <v>0</v>
      </c>
      <c r="BK629" s="21" t="str">
        <f ca="1">_xlfn.FORMULATEXT(BE629)</f>
        <v>=E500</v>
      </c>
      <c r="BL629" s="21" t="str">
        <f ca="1">_xlfn.FORMULATEXT(BE629)</f>
        <v>=E500</v>
      </c>
    </row>
    <row r="630" spans="1:33 54:64" ht="14.5">
      <c r="A630" s="64"/>
      <c r="B630" s="377" t="s">
        <v>1416</v>
      </c>
      <c r="C630" s="64"/>
      <c r="D630" s="64"/>
      <c r="E630" s="64"/>
      <c r="F630" s="64"/>
      <c r="G630" s="64"/>
      <c r="H630" s="64"/>
      <c r="I630" s="64"/>
      <c r="J630" s="64"/>
      <c r="K630" s="64"/>
      <c r="L630" s="64"/>
      <c r="M630" s="64"/>
      <c r="N630" s="64"/>
      <c r="O630" s="64"/>
      <c r="P630" s="64"/>
      <c r="AD630" s="22">
        <f>ROW()</f>
        <v>630</v>
      </c>
      <c r="AF630" s="22"/>
      <c r="AG630" s="22"/>
      <c r="BB630" s="21" t="s">
        <v>1417</v>
      </c>
      <c r="BC630" s="21" t="s">
        <v>127</v>
      </c>
      <c r="BD630" s="21" t="b">
        <v>1</v>
      </c>
      <c r="BE630" s="21" t="str">
        <f>I500</f>
        <v>0</v>
      </c>
      <c r="BF630" s="21" t="str">
        <f>""&amp;I500</f>
        <v>0</v>
      </c>
      <c r="BG630" s="21" t="b">
        <v>1</v>
      </c>
      <c r="BH630" s="21" t="b">
        <v>0</v>
      </c>
      <c r="BI630" s="21" t="str">
        <f>BE630</f>
        <v>0</v>
      </c>
      <c r="BK630" s="21" t="str">
        <f ca="1">_xlfn.FORMULATEXT(BE630)</f>
        <v>=I500</v>
      </c>
      <c r="BL630" s="21" t="str">
        <f ca="1">_xlfn.FORMULATEXT(BE630)</f>
        <v>=I500</v>
      </c>
    </row>
    <row r="631" spans="1:33 54:64" ht="14.5">
      <c r="A631" s="64"/>
      <c r="B631" s="64"/>
      <c r="C631" s="64"/>
      <c r="D631" s="64"/>
      <c r="E631" s="64"/>
      <c r="F631" s="64"/>
      <c r="G631" s="64"/>
      <c r="H631" s="64"/>
      <c r="I631" s="64"/>
      <c r="J631" s="64"/>
      <c r="K631" s="64"/>
      <c r="L631" s="64"/>
      <c r="M631" s="64"/>
      <c r="N631" s="64"/>
      <c r="O631" s="64"/>
      <c r="P631" s="64"/>
      <c r="AD631" s="22">
        <f>ROW()</f>
        <v>631</v>
      </c>
      <c r="AF631" s="22"/>
      <c r="AG631" s="22"/>
      <c r="BB631" s="21" t="s">
        <v>1418</v>
      </c>
      <c r="BC631" s="21" t="s">
        <v>127</v>
      </c>
      <c r="BD631" s="21" t="b">
        <v>0</v>
      </c>
      <c r="BE631" s="21">
        <f>L500</f>
        <v>0</v>
      </c>
      <c r="BF631" s="21" t="str">
        <f>""&amp;L500</f>
        <v/>
      </c>
      <c r="BG631" s="21" t="b">
        <v>1</v>
      </c>
      <c r="BH631" s="21" t="b">
        <v>0</v>
      </c>
      <c r="BI631" s="21" t="str">
        <f>BE630</f>
        <v>0</v>
      </c>
      <c r="BK631" s="21" t="str">
        <f ca="1">_xlfn.FORMULATEXT(BE631)</f>
        <v>=L500</v>
      </c>
      <c r="BL631" s="21" t="str">
        <f ca="1">_xlfn.FORMULATEXT(BE631)</f>
        <v>=L500</v>
      </c>
    </row>
    <row r="632" spans="1:33 54:64" ht="14.5">
      <c r="A632" s="64"/>
      <c r="B632" s="330" t="s">
        <v>1419</v>
      </c>
      <c r="C632" s="64"/>
      <c r="D632" s="64"/>
      <c r="E632" s="64"/>
      <c r="F632" s="64"/>
      <c r="G632" s="64"/>
      <c r="H632" s="64"/>
      <c r="I632" s="64"/>
      <c r="J632" s="64"/>
      <c r="K632" s="64"/>
      <c r="L632" s="64"/>
      <c r="M632" s="64"/>
      <c r="N632" s="64"/>
      <c r="O632" s="64"/>
      <c r="P632" s="64"/>
      <c r="AD632" s="22">
        <f>ROW()</f>
        <v>632</v>
      </c>
      <c r="AF632" s="22"/>
      <c r="AG632" s="22"/>
      <c r="BB632" s="21" t="s">
        <v>1420</v>
      </c>
      <c r="BC632" s="21" t="s">
        <v>127</v>
      </c>
      <c r="BD632" s="21" t="b">
        <v>1</v>
      </c>
      <c r="BE632" s="21">
        <f>E501</f>
        <v>0</v>
      </c>
      <c r="BF632" s="21" t="str">
        <f>""&amp;E501</f>
        <v/>
      </c>
      <c r="BG632" s="21" t="b">
        <v>1</v>
      </c>
      <c r="BH632" s="21" t="b">
        <v>0</v>
      </c>
      <c r="BK632" s="21" t="str">
        <f ca="1">_xlfn.FORMULATEXT(BE632)</f>
        <v>=E501</v>
      </c>
      <c r="BL632" s="21" t="str">
        <f ca="1">_xlfn.FORMULATEXT(BE632)</f>
        <v>=E501</v>
      </c>
    </row>
    <row r="633" spans="1:33 54:64" ht="14.5">
      <c r="A633" s="64"/>
      <c r="B633" s="330" t="s">
        <v>1421</v>
      </c>
      <c r="C633" s="64"/>
      <c r="D633" s="64"/>
      <c r="E633" s="64"/>
      <c r="F633" s="64"/>
      <c r="G633" s="64"/>
      <c r="H633" s="64"/>
      <c r="I633" s="64"/>
      <c r="J633" s="64"/>
      <c r="K633" s="64"/>
      <c r="L633" s="64"/>
      <c r="M633" s="64"/>
      <c r="N633" s="64"/>
      <c r="O633" s="64"/>
      <c r="P633" s="378"/>
      <c r="AD633" s="22">
        <f>ROW()</f>
        <v>633</v>
      </c>
      <c r="AF633" s="22"/>
      <c r="AG633" s="22"/>
      <c r="BB633" s="21" t="s">
        <v>1422</v>
      </c>
      <c r="BC633" s="21" t="s">
        <v>127</v>
      </c>
      <c r="BD633" s="21" t="b">
        <v>1</v>
      </c>
      <c r="BE633" s="21" t="str">
        <f>I501</f>
        <v>0</v>
      </c>
      <c r="BF633" s="21" t="str">
        <f>""&amp;I501</f>
        <v>0</v>
      </c>
      <c r="BG633" s="21" t="b">
        <v>1</v>
      </c>
      <c r="BH633" s="21" t="b">
        <v>0</v>
      </c>
      <c r="BI633" s="21" t="str">
        <f>BE633</f>
        <v>0</v>
      </c>
      <c r="BK633" s="21" t="str">
        <f ca="1">_xlfn.FORMULATEXT(BE633)</f>
        <v>=I501</v>
      </c>
      <c r="BL633" s="21" t="str">
        <f ca="1">_xlfn.FORMULATEXT(BE633)</f>
        <v>=I501</v>
      </c>
    </row>
    <row r="634" spans="1:33 54:64" ht="14.5">
      <c r="A634" s="64"/>
      <c r="B634" s="330" t="s">
        <v>1423</v>
      </c>
      <c r="C634" s="64"/>
      <c r="D634" s="64"/>
      <c r="E634" s="64"/>
      <c r="F634" s="64"/>
      <c r="G634" s="64"/>
      <c r="H634" s="64"/>
      <c r="I634" s="64"/>
      <c r="J634" s="64"/>
      <c r="K634" s="64"/>
      <c r="L634" s="64"/>
      <c r="M634" s="64"/>
      <c r="N634" s="64"/>
      <c r="O634" s="64"/>
      <c r="P634" s="64"/>
      <c r="AD634" s="22">
        <f>ROW()</f>
        <v>634</v>
      </c>
      <c r="AF634" s="22"/>
      <c r="AG634" s="22"/>
      <c r="BB634" s="21" t="s">
        <v>1424</v>
      </c>
      <c r="BC634" s="21" t="s">
        <v>127</v>
      </c>
      <c r="BD634" s="21" t="b">
        <v>0</v>
      </c>
      <c r="BE634" s="21">
        <f>L501</f>
        <v>0</v>
      </c>
      <c r="BF634" s="21" t="str">
        <f>""&amp;L501</f>
        <v/>
      </c>
      <c r="BG634" s="21" t="b">
        <v>1</v>
      </c>
      <c r="BH634" s="21" t="b">
        <v>0</v>
      </c>
      <c r="BI634" s="21" t="str">
        <f>BE633</f>
        <v>0</v>
      </c>
      <c r="BK634" s="21" t="str">
        <f ca="1">_xlfn.FORMULATEXT(BE634)</f>
        <v>=L501</v>
      </c>
      <c r="BL634" s="21" t="str">
        <f ca="1">_xlfn.FORMULATEXT(BE634)</f>
        <v>=L501</v>
      </c>
    </row>
    <row r="635" spans="1:30 54:64" ht="14.5">
      <c r="A635" s="64"/>
      <c r="B635" s="330" t="s">
        <v>1425</v>
      </c>
      <c r="C635" s="64"/>
      <c r="D635" s="64"/>
      <c r="E635" s="64"/>
      <c r="F635" s="64"/>
      <c r="G635" s="64"/>
      <c r="H635" s="64"/>
      <c r="I635" s="64"/>
      <c r="J635" s="64"/>
      <c r="K635" s="64"/>
      <c r="L635" s="64"/>
      <c r="M635" s="64"/>
      <c r="N635" s="64"/>
      <c r="O635" s="64"/>
      <c r="P635" s="64"/>
      <c r="AD635" s="22">
        <f>ROW()</f>
        <v>635</v>
      </c>
      <c r="BB635" s="21" t="s">
        <v>1426</v>
      </c>
      <c r="BC635" s="21" t="s">
        <v>127</v>
      </c>
      <c r="BD635" s="21" t="b">
        <v>1</v>
      </c>
      <c r="BE635" s="21">
        <f>E502</f>
        <v>0</v>
      </c>
      <c r="BF635" s="21" t="str">
        <f>""&amp;E502</f>
        <v/>
      </c>
      <c r="BG635" s="21" t="b">
        <v>1</v>
      </c>
      <c r="BH635" s="21" t="b">
        <v>0</v>
      </c>
      <c r="BK635" s="21" t="str">
        <f ca="1">_xlfn.FORMULATEXT(BE635)</f>
        <v>=E502</v>
      </c>
      <c r="BL635" s="21" t="str">
        <f ca="1">_xlfn.FORMULATEXT(BE635)</f>
        <v>=E502</v>
      </c>
    </row>
    <row r="636" spans="1:30 54:64" ht="14.5">
      <c r="A636" s="64"/>
      <c r="B636" s="330" t="s">
        <v>1427</v>
      </c>
      <c r="C636" s="64"/>
      <c r="D636" s="64"/>
      <c r="E636" s="64"/>
      <c r="F636" s="64"/>
      <c r="G636" s="64"/>
      <c r="H636" s="64"/>
      <c r="I636" s="64"/>
      <c r="J636" s="64"/>
      <c r="K636" s="64"/>
      <c r="L636" s="64"/>
      <c r="M636" s="64"/>
      <c r="N636" s="64"/>
      <c r="O636" s="64"/>
      <c r="P636" s="64"/>
      <c r="AD636" s="22">
        <f>ROW()</f>
        <v>636</v>
      </c>
      <c r="BB636" s="21" t="s">
        <v>1428</v>
      </c>
      <c r="BC636" s="21" t="s">
        <v>127</v>
      </c>
      <c r="BD636" s="21" t="b">
        <v>1</v>
      </c>
      <c r="BE636" s="21" t="str">
        <f>I502</f>
        <v>0</v>
      </c>
      <c r="BF636" s="21" t="str">
        <f>""&amp;I502</f>
        <v>0</v>
      </c>
      <c r="BG636" s="21" t="b">
        <v>1</v>
      </c>
      <c r="BH636" s="21" t="b">
        <v>0</v>
      </c>
      <c r="BI636" s="21" t="str">
        <f>BE636</f>
        <v>0</v>
      </c>
      <c r="BK636" s="21" t="str">
        <f ca="1">_xlfn.FORMULATEXT(BE636)</f>
        <v>=I502</v>
      </c>
      <c r="BL636" s="21" t="str">
        <f ca="1">_xlfn.FORMULATEXT(BE636)</f>
        <v>=I502</v>
      </c>
    </row>
    <row r="637" spans="1:30 54:64" ht="14.5">
      <c r="A637" s="64"/>
      <c r="B637" s="64"/>
      <c r="C637" s="64"/>
      <c r="D637" s="64"/>
      <c r="E637" s="64"/>
      <c r="F637" s="64"/>
      <c r="G637" s="64"/>
      <c r="H637" s="64"/>
      <c r="I637" s="64"/>
      <c r="J637" s="64"/>
      <c r="K637" s="64"/>
      <c r="L637" s="64"/>
      <c r="M637" s="64"/>
      <c r="N637" s="64"/>
      <c r="O637" s="64"/>
      <c r="P637" s="64"/>
      <c r="AD637" s="22">
        <f>ROW()</f>
        <v>637</v>
      </c>
      <c r="BB637" s="21" t="s">
        <v>1429</v>
      </c>
      <c r="BC637" s="21" t="s">
        <v>127</v>
      </c>
      <c r="BD637" s="21" t="b">
        <v>0</v>
      </c>
      <c r="BE637" s="21">
        <f>L502</f>
        <v>0</v>
      </c>
      <c r="BF637" s="21" t="str">
        <f>""&amp;L502</f>
        <v/>
      </c>
      <c r="BG637" s="21" t="b">
        <v>1</v>
      </c>
      <c r="BH637" s="21" t="b">
        <v>0</v>
      </c>
      <c r="BI637" s="21" t="str">
        <f>BE636</f>
        <v>0</v>
      </c>
      <c r="BK637" s="21" t="str">
        <f ca="1">_xlfn.FORMULATEXT(BE637)</f>
        <v>=L502</v>
      </c>
      <c r="BL637" s="21" t="str">
        <f ca="1">_xlfn.FORMULATEXT(BE637)</f>
        <v>=L502</v>
      </c>
    </row>
    <row r="638" spans="1:30 54:64" ht="14.5">
      <c r="A638" s="64"/>
      <c r="B638" s="330" t="s">
        <v>1430</v>
      </c>
      <c r="C638" s="64"/>
      <c r="D638" s="64"/>
      <c r="E638" s="64"/>
      <c r="F638" s="64"/>
      <c r="G638" s="64"/>
      <c r="H638" s="64"/>
      <c r="I638" s="64"/>
      <c r="J638" s="64"/>
      <c r="K638" s="64"/>
      <c r="L638" s="64"/>
      <c r="M638" s="64"/>
      <c r="N638" s="64"/>
      <c r="O638" s="64"/>
      <c r="P638" s="64"/>
      <c r="AD638" s="22">
        <f>ROW()</f>
        <v>638</v>
      </c>
      <c r="BB638" s="21" t="s">
        <v>1431</v>
      </c>
      <c r="BC638" s="21" t="s">
        <v>127</v>
      </c>
      <c r="BD638" s="21" t="b">
        <v>1</v>
      </c>
      <c r="BE638" s="21">
        <f>E503</f>
        <v>0</v>
      </c>
      <c r="BF638" s="21" t="str">
        <f>""&amp;E503</f>
        <v/>
      </c>
      <c r="BG638" s="21" t="b">
        <v>1</v>
      </c>
      <c r="BH638" s="21" t="b">
        <v>0</v>
      </c>
      <c r="BK638" s="21" t="str">
        <f ca="1">_xlfn.FORMULATEXT(BE638)</f>
        <v>=E503</v>
      </c>
      <c r="BL638" s="21" t="str">
        <f ca="1">_xlfn.FORMULATEXT(BE638)</f>
        <v>=E503</v>
      </c>
    </row>
    <row r="639" spans="1:30 54:64" ht="14.5">
      <c r="A639" s="64"/>
      <c r="B639" s="330" t="s">
        <v>1432</v>
      </c>
      <c r="C639" s="64"/>
      <c r="D639" s="64"/>
      <c r="E639" s="64"/>
      <c r="F639" s="64"/>
      <c r="G639" s="64"/>
      <c r="H639" s="64"/>
      <c r="I639" s="64"/>
      <c r="J639" s="64"/>
      <c r="K639" s="64"/>
      <c r="L639" s="64"/>
      <c r="M639" s="64"/>
      <c r="N639" s="64"/>
      <c r="O639" s="64"/>
      <c r="P639" s="64"/>
      <c r="AD639" s="22">
        <f>ROW()</f>
        <v>639</v>
      </c>
      <c r="BB639" s="21" t="s">
        <v>1433</v>
      </c>
      <c r="BC639" s="21" t="s">
        <v>127</v>
      </c>
      <c r="BD639" s="21" t="b">
        <v>1</v>
      </c>
      <c r="BE639" s="21" t="str">
        <f>I503</f>
        <v>0</v>
      </c>
      <c r="BF639" s="21" t="str">
        <f>""&amp;I503</f>
        <v>0</v>
      </c>
      <c r="BG639" s="21" t="b">
        <v>1</v>
      </c>
      <c r="BH639" s="21" t="b">
        <v>0</v>
      </c>
      <c r="BI639" s="21" t="str">
        <f>BE639</f>
        <v>0</v>
      </c>
      <c r="BK639" s="21" t="str">
        <f ca="1">_xlfn.FORMULATEXT(BE639)</f>
        <v>=I503</v>
      </c>
      <c r="BL639" s="21" t="str">
        <f ca="1">_xlfn.FORMULATEXT(BE639)</f>
        <v>=I503</v>
      </c>
    </row>
    <row r="640" spans="1:30 54:64" ht="14.5">
      <c r="A640" s="64"/>
      <c r="B640" s="64"/>
      <c r="C640" s="64"/>
      <c r="D640" s="64"/>
      <c r="E640" s="64"/>
      <c r="F640" s="64"/>
      <c r="G640" s="64"/>
      <c r="H640" s="64"/>
      <c r="I640" s="64"/>
      <c r="J640" s="64"/>
      <c r="K640" s="64"/>
      <c r="L640" s="64"/>
      <c r="M640" s="64"/>
      <c r="N640" s="64"/>
      <c r="O640" s="64"/>
      <c r="P640" s="64"/>
      <c r="AD640" s="22">
        <f>ROW()</f>
        <v>640</v>
      </c>
      <c r="BB640" s="21" t="s">
        <v>1434</v>
      </c>
      <c r="BC640" s="21" t="s">
        <v>127</v>
      </c>
      <c r="BD640" s="21" t="b">
        <v>0</v>
      </c>
      <c r="BE640" s="21">
        <f>L503</f>
        <v>0</v>
      </c>
      <c r="BF640" s="21" t="str">
        <f>""&amp;L503</f>
        <v/>
      </c>
      <c r="BG640" s="21" t="b">
        <v>1</v>
      </c>
      <c r="BH640" s="21" t="b">
        <v>0</v>
      </c>
      <c r="BI640" s="21" t="str">
        <f>BE639</f>
        <v>0</v>
      </c>
      <c r="BK640" s="21" t="str">
        <f ca="1">_xlfn.FORMULATEXT(BE640)</f>
        <v>=L503</v>
      </c>
      <c r="BL640" s="21" t="str">
        <f ca="1">_xlfn.FORMULATEXT(BE640)</f>
        <v>=L503</v>
      </c>
    </row>
    <row r="641" spans="1:30 54:64" ht="14.5">
      <c r="A641" s="64"/>
      <c r="B641" s="330" t="s">
        <v>1394</v>
      </c>
      <c r="C641" s="64"/>
      <c r="D641" s="64"/>
      <c r="E641" s="64"/>
      <c r="F641" s="64"/>
      <c r="G641" s="64"/>
      <c r="H641" s="64"/>
      <c r="I641" s="64"/>
      <c r="J641" s="64"/>
      <c r="K641" s="64"/>
      <c r="L641" s="64"/>
      <c r="M641" s="64"/>
      <c r="N641" s="64"/>
      <c r="O641" s="64"/>
      <c r="P641" s="64"/>
      <c r="AD641" s="22">
        <f>ROW()</f>
        <v>641</v>
      </c>
      <c r="BB641" s="21" t="s">
        <v>1435</v>
      </c>
      <c r="BC641" s="21" t="s">
        <v>127</v>
      </c>
      <c r="BD641" s="21" t="b">
        <v>1</v>
      </c>
      <c r="BE641" s="21">
        <f>E504</f>
        <v>0</v>
      </c>
      <c r="BF641" s="21" t="str">
        <f>""&amp;E504</f>
        <v/>
      </c>
      <c r="BG641" s="21" t="b">
        <v>1</v>
      </c>
      <c r="BH641" s="21" t="b">
        <v>0</v>
      </c>
      <c r="BK641" s="21" t="str">
        <f ca="1">_xlfn.FORMULATEXT(BE641)</f>
        <v>=E504</v>
      </c>
      <c r="BL641" s="21" t="str">
        <f ca="1">_xlfn.FORMULATEXT(BE641)</f>
        <v>=E504</v>
      </c>
    </row>
    <row r="642" spans="1:30 54:64" ht="14.5">
      <c r="A642" s="64"/>
      <c r="B642" s="64"/>
      <c r="C642" s="64"/>
      <c r="D642" s="64"/>
      <c r="E642" s="64"/>
      <c r="F642" s="64"/>
      <c r="G642" s="64"/>
      <c r="H642" s="64"/>
      <c r="I642" s="64"/>
      <c r="J642" s="64"/>
      <c r="K642" s="64"/>
      <c r="L642" s="64"/>
      <c r="M642" s="64"/>
      <c r="N642" s="64"/>
      <c r="O642" s="64"/>
      <c r="P642" s="64"/>
      <c r="AD642" s="22">
        <f>ROW()</f>
        <v>642</v>
      </c>
      <c r="BB642" s="21" t="s">
        <v>1436</v>
      </c>
      <c r="BC642" s="21" t="s">
        <v>127</v>
      </c>
      <c r="BD642" s="21" t="b">
        <v>1</v>
      </c>
      <c r="BE642" s="21" t="str">
        <f>I504</f>
        <v>0</v>
      </c>
      <c r="BF642" s="21" t="str">
        <f>""&amp;I504</f>
        <v>0</v>
      </c>
      <c r="BG642" s="21" t="b">
        <v>1</v>
      </c>
      <c r="BH642" s="21" t="b">
        <v>0</v>
      </c>
      <c r="BI642" s="21" t="str">
        <f>BE642</f>
        <v>0</v>
      </c>
      <c r="BK642" s="21" t="str">
        <f ca="1">_xlfn.FORMULATEXT(BE642)</f>
        <v>=I504</v>
      </c>
      <c r="BL642" s="21" t="str">
        <f ca="1">_xlfn.FORMULATEXT(BE642)</f>
        <v>=I504</v>
      </c>
    </row>
    <row r="643" spans="1:30 54:64" ht="14.5">
      <c r="A643" s="64"/>
      <c r="B643" s="330" t="s">
        <v>1437</v>
      </c>
      <c r="C643" s="64"/>
      <c r="D643" s="64"/>
      <c r="E643" s="64"/>
      <c r="F643" s="64"/>
      <c r="G643" s="64"/>
      <c r="H643" s="64"/>
      <c r="I643" s="64"/>
      <c r="J643" s="64"/>
      <c r="K643" s="64"/>
      <c r="L643" s="64"/>
      <c r="M643" s="64"/>
      <c r="N643" s="64"/>
      <c r="O643" s="64"/>
      <c r="P643" s="64"/>
      <c r="AD643" s="22">
        <f>ROW()</f>
        <v>643</v>
      </c>
      <c r="BB643" s="21" t="s">
        <v>1438</v>
      </c>
      <c r="BC643" s="21" t="s">
        <v>127</v>
      </c>
      <c r="BD643" s="21" t="b">
        <v>0</v>
      </c>
      <c r="BE643" s="21">
        <f>L504</f>
        <v>0</v>
      </c>
      <c r="BF643" s="21" t="str">
        <f>""&amp;L504</f>
        <v/>
      </c>
      <c r="BG643" s="21" t="b">
        <v>1</v>
      </c>
      <c r="BH643" s="21" t="b">
        <v>0</v>
      </c>
      <c r="BI643" s="21" t="str">
        <f>BE642</f>
        <v>0</v>
      </c>
      <c r="BK643" s="21" t="str">
        <f ca="1">_xlfn.FORMULATEXT(BE643)</f>
        <v>=L504</v>
      </c>
      <c r="BL643" s="21" t="str">
        <f ca="1">_xlfn.FORMULATEXT(BE643)</f>
        <v>=L504</v>
      </c>
    </row>
    <row r="644" spans="1:30 54:64" ht="14.5">
      <c r="A644" s="64"/>
      <c r="B644" s="330" t="s">
        <v>1439</v>
      </c>
      <c r="C644" s="64"/>
      <c r="D644" s="64"/>
      <c r="E644" s="64"/>
      <c r="F644" s="64"/>
      <c r="G644" s="64"/>
      <c r="H644" s="64"/>
      <c r="I644" s="64"/>
      <c r="J644" s="64"/>
      <c r="K644" s="64"/>
      <c r="L644" s="64"/>
      <c r="M644" s="64"/>
      <c r="N644" s="64"/>
      <c r="O644" s="64"/>
      <c r="P644" s="64"/>
      <c r="AD644" s="22">
        <f>ROW()</f>
        <v>644</v>
      </c>
      <c r="BB644" s="21" t="s">
        <v>1440</v>
      </c>
      <c r="BC644" s="21" t="s">
        <v>127</v>
      </c>
      <c r="BD644" s="21" t="b">
        <v>1</v>
      </c>
      <c r="BE644" s="21">
        <f>E505</f>
        <v>0</v>
      </c>
      <c r="BF644" s="21" t="str">
        <f>""&amp;E505</f>
        <v/>
      </c>
      <c r="BG644" s="21" t="b">
        <v>1</v>
      </c>
      <c r="BH644" s="21" t="b">
        <v>0</v>
      </c>
      <c r="BK644" s="21" t="str">
        <f ca="1">_xlfn.FORMULATEXT(BE644)</f>
        <v>=E505</v>
      </c>
      <c r="BL644" s="21" t="str">
        <f ca="1">_xlfn.FORMULATEXT(BE644)</f>
        <v>=E505</v>
      </c>
    </row>
    <row r="645" spans="1:30 54:64" ht="14.5">
      <c r="A645" s="64"/>
      <c r="B645" s="64"/>
      <c r="C645" s="64"/>
      <c r="D645" s="64"/>
      <c r="E645" s="64"/>
      <c r="F645" s="64"/>
      <c r="G645" s="64"/>
      <c r="H645" s="64"/>
      <c r="I645" s="64"/>
      <c r="J645" s="467"/>
      <c r="K645" s="467"/>
      <c r="L645" s="467"/>
      <c r="M645" s="64"/>
      <c r="N645" s="64"/>
      <c r="O645" s="64"/>
      <c r="P645" s="64"/>
      <c r="AD645" s="22">
        <f>ROW()</f>
        <v>645</v>
      </c>
      <c r="BB645" s="21" t="s">
        <v>1441</v>
      </c>
      <c r="BC645" s="21" t="s">
        <v>127</v>
      </c>
      <c r="BD645" s="21" t="b">
        <v>1</v>
      </c>
      <c r="BE645" s="21" t="str">
        <f>I505</f>
        <v>0</v>
      </c>
      <c r="BF645" s="21" t="str">
        <f>""&amp;I505</f>
        <v>0</v>
      </c>
      <c r="BG645" s="21" t="b">
        <v>1</v>
      </c>
      <c r="BH645" s="21" t="b">
        <v>0</v>
      </c>
      <c r="BI645" s="21" t="str">
        <f>BE645</f>
        <v>0</v>
      </c>
      <c r="BK645" s="21" t="str">
        <f ca="1">_xlfn.FORMULATEXT(BE645)</f>
        <v>=I505</v>
      </c>
      <c r="BL645" s="21" t="str">
        <f ca="1">_xlfn.FORMULATEXT(BE645)</f>
        <v>=I505</v>
      </c>
    </row>
    <row r="646" spans="1:30 54:64" ht="14.5">
      <c r="A646" s="64"/>
      <c r="B646" s="377" t="s">
        <v>1442</v>
      </c>
      <c r="C646" s="64"/>
      <c r="D646" s="64"/>
      <c r="E646" s="64"/>
      <c r="F646" s="64"/>
      <c r="G646" s="64"/>
      <c r="H646" s="64"/>
      <c r="I646" s="64"/>
      <c r="J646" s="541" t="s">
        <v>1398</v>
      </c>
      <c r="K646" s="541"/>
      <c r="L646" s="542"/>
      <c r="M646" s="64"/>
      <c r="N646" s="64"/>
      <c r="O646" s="64"/>
      <c r="P646" s="64"/>
      <c r="AD646" s="22">
        <f>ROW()</f>
        <v>646</v>
      </c>
      <c r="BB646" s="21" t="s">
        <v>1443</v>
      </c>
      <c r="BC646" s="21" t="s">
        <v>127</v>
      </c>
      <c r="BD646" s="21" t="b">
        <v>0</v>
      </c>
      <c r="BE646" s="21">
        <f>L505</f>
        <v>0</v>
      </c>
      <c r="BF646" s="21" t="str">
        <f>""&amp;L505</f>
        <v/>
      </c>
      <c r="BG646" s="21" t="b">
        <v>1</v>
      </c>
      <c r="BH646" s="21" t="b">
        <v>0</v>
      </c>
      <c r="BI646" s="21" t="str">
        <f>BE645</f>
        <v>0</v>
      </c>
      <c r="BK646" s="21" t="str">
        <f ca="1">_xlfn.FORMULATEXT(BE646)</f>
        <v>=L505</v>
      </c>
      <c r="BL646" s="21" t="str">
        <f ca="1">_xlfn.FORMULATEXT(BE646)</f>
        <v>=L505</v>
      </c>
    </row>
    <row r="647" spans="1:30 54:64" ht="14.5">
      <c r="A647" s="64"/>
      <c r="B647" s="64"/>
      <c r="C647" s="64"/>
      <c r="D647" s="64"/>
      <c r="E647" s="64"/>
      <c r="F647" s="64"/>
      <c r="G647" s="64"/>
      <c r="H647" s="64"/>
      <c r="I647" s="64"/>
      <c r="J647" s="64"/>
      <c r="K647" s="64"/>
      <c r="L647" s="64"/>
      <c r="M647" s="64"/>
      <c r="N647" s="64"/>
      <c r="O647" s="64"/>
      <c r="P647" s="64"/>
      <c r="AD647" s="22">
        <f>ROW()</f>
        <v>647</v>
      </c>
      <c r="BB647" s="21" t="s">
        <v>1444</v>
      </c>
      <c r="BC647" s="21" t="s">
        <v>127</v>
      </c>
      <c r="BD647" s="21" t="b">
        <v>1</v>
      </c>
      <c r="BE647" s="21" t="str">
        <f>E506</f>
        <v>0.00</v>
      </c>
      <c r="BF647" s="21" t="str">
        <f>""&amp;E506</f>
        <v>0.00</v>
      </c>
      <c r="BG647" s="21" t="b">
        <v>0</v>
      </c>
      <c r="BH647" s="21" t="b">
        <v>0</v>
      </c>
      <c r="BK647" s="21" t="str">
        <f ca="1">_xlfn.FORMULATEXT(BE647)</f>
        <v>=E506</v>
      </c>
      <c r="BL647" s="21" t="str">
        <f ca="1">_xlfn.FORMULATEXT(BE647)</f>
        <v>=E506</v>
      </c>
    </row>
    <row r="648" spans="1:30 54:64" ht="14.5">
      <c r="A648" s="64"/>
      <c r="B648" s="64"/>
      <c r="C648" s="64"/>
      <c r="D648" s="64"/>
      <c r="E648" s="64"/>
      <c r="F648" s="64"/>
      <c r="G648" s="64"/>
      <c r="H648" s="64"/>
      <c r="I648" s="64"/>
      <c r="J648" s="64"/>
      <c r="K648" s="64"/>
      <c r="L648" s="64"/>
      <c r="M648" s="64"/>
      <c r="N648" s="64"/>
      <c r="O648" s="64"/>
      <c r="P648" s="64"/>
      <c r="AA648" s="493"/>
      <c r="AD648" s="22">
        <f>ROW()</f>
        <v>648</v>
      </c>
      <c r="BB648" s="21" t="s">
        <v>1445</v>
      </c>
      <c r="BC648" s="21" t="s">
        <v>127</v>
      </c>
      <c r="BD648" s="21" t="b">
        <v>1</v>
      </c>
      <c r="BE648" s="21" t="str">
        <f>I506</f>
        <v>0.00</v>
      </c>
      <c r="BF648" s="21" t="str">
        <f>""&amp;I506</f>
        <v>0.00</v>
      </c>
      <c r="BG648" s="21" t="b">
        <v>0</v>
      </c>
      <c r="BH648" s="21" t="b">
        <v>0</v>
      </c>
      <c r="BI648" s="21" t="str">
        <f>BE648</f>
        <v>0.00</v>
      </c>
      <c r="BK648" s="21" t="str">
        <f ca="1">_xlfn.FORMULATEXT(BE648)</f>
        <v>=I506</v>
      </c>
      <c r="BL648" s="21" t="str">
        <f ca="1">_xlfn.FORMULATEXT(BE648)</f>
        <v>=I506</v>
      </c>
    </row>
    <row r="649" spans="1:30 54:64" ht="14.5">
      <c r="A649" s="64"/>
      <c r="B649" s="64"/>
      <c r="C649" s="64"/>
      <c r="D649" s="64"/>
      <c r="E649" s="64"/>
      <c r="F649" s="64"/>
      <c r="G649" s="64"/>
      <c r="H649" s="64"/>
      <c r="I649" s="64"/>
      <c r="J649" s="64"/>
      <c r="K649" s="64"/>
      <c r="L649" s="64"/>
      <c r="M649" s="64"/>
      <c r="N649" s="64"/>
      <c r="O649" s="64"/>
      <c r="P649" s="64"/>
      <c r="AD649" s="22">
        <f>ROW()</f>
        <v>649</v>
      </c>
      <c r="BB649" s="21" t="s">
        <v>1446</v>
      </c>
      <c r="BC649" s="21" t="s">
        <v>127</v>
      </c>
      <c r="BD649" s="21" t="b">
        <v>0</v>
      </c>
      <c r="BE649" s="21">
        <f>L506</f>
        <v>0</v>
      </c>
      <c r="BF649" s="21" t="str">
        <f>""&amp;L506</f>
        <v/>
      </c>
      <c r="BG649" s="21" t="b">
        <v>1</v>
      </c>
      <c r="BH649" s="21" t="b">
        <v>0</v>
      </c>
      <c r="BI649" s="21" t="str">
        <f>BE648</f>
        <v>0.00</v>
      </c>
      <c r="BK649" s="21" t="str">
        <f ca="1">_xlfn.FORMULATEXT(BE649)</f>
        <v>=L506</v>
      </c>
      <c r="BL649" s="21" t="str">
        <f ca="1">_xlfn.FORMULATEXT(BE649)</f>
        <v>=L506</v>
      </c>
    </row>
    <row r="650" spans="1:30 54:64" ht="14.5">
      <c r="A650" s="64"/>
      <c r="B650" s="64" t="s">
        <v>1447</v>
      </c>
      <c r="C650" s="64"/>
      <c r="D650" s="64"/>
      <c r="E650" s="64"/>
      <c r="F650" s="64"/>
      <c r="G650" s="64"/>
      <c r="H650" s="64"/>
      <c r="I650" s="64"/>
      <c r="J650" s="64"/>
      <c r="K650" s="64"/>
      <c r="L650" s="64"/>
      <c r="M650" s="64"/>
      <c r="N650" s="64"/>
      <c r="O650" s="64"/>
      <c r="P650" s="64"/>
      <c r="AA650" s="493"/>
      <c r="AD650" s="22">
        <f>ROW()</f>
        <v>650</v>
      </c>
      <c r="BB650" s="21" t="s">
        <v>1448</v>
      </c>
      <c r="BC650" s="21" t="s">
        <v>123</v>
      </c>
      <c r="BD650" s="21" t="b">
        <v>0</v>
      </c>
      <c r="BE650" s="21" t="s">
        <v>1449</v>
      </c>
      <c r="BF650" s="21" t="s">
        <v>1449</v>
      </c>
      <c r="BG650" s="21" t="b">
        <v>1</v>
      </c>
      <c r="BH650" s="21" t="b">
        <v>0</v>
      </c>
      <c r="BK650" s="21" t="s">
        <v>125</v>
      </c>
      <c r="BL650" s="21" t="s">
        <v>125</v>
      </c>
    </row>
    <row r="651" spans="1:30 54:64" ht="14.5">
      <c r="A651" s="64"/>
      <c r="B651" s="64"/>
      <c r="C651" s="64"/>
      <c r="D651" s="64"/>
      <c r="E651" s="64"/>
      <c r="F651" s="64"/>
      <c r="G651" s="64"/>
      <c r="H651" s="64"/>
      <c r="I651" s="64"/>
      <c r="J651" s="467"/>
      <c r="K651" s="467"/>
      <c r="L651" s="467"/>
      <c r="M651" s="64"/>
      <c r="N651" s="64"/>
      <c r="O651" s="64"/>
      <c r="P651" s="64"/>
      <c r="AD651" s="22">
        <f>ROW()</f>
        <v>651</v>
      </c>
      <c r="BB651" s="21" t="s">
        <v>1450</v>
      </c>
      <c r="BC651" s="21" t="s">
        <v>127</v>
      </c>
      <c r="BD651" s="21" t="b">
        <v>1</v>
      </c>
      <c r="BE651" s="21">
        <f>E511</f>
        <v>0</v>
      </c>
      <c r="BF651" s="21" t="str">
        <f>""&amp;E511</f>
        <v/>
      </c>
      <c r="BG651" s="21" t="b">
        <v>1</v>
      </c>
      <c r="BH651" s="21" t="b">
        <v>0</v>
      </c>
      <c r="BK651" s="21" t="str">
        <f ca="1">_xlfn.FORMULATEXT(BE651)</f>
        <v>=E511</v>
      </c>
      <c r="BL651" s="21" t="str">
        <f ca="1">_xlfn.FORMULATEXT(BE651)</f>
        <v>=E511</v>
      </c>
    </row>
    <row r="652" spans="1:30 54:64" ht="14.5">
      <c r="A652" s="64"/>
      <c r="B652" s="330" t="s">
        <v>1451</v>
      </c>
      <c r="C652" s="64"/>
      <c r="D652" s="64"/>
      <c r="E652" s="64"/>
      <c r="F652" s="64"/>
      <c r="G652" s="64"/>
      <c r="H652" s="64"/>
      <c r="I652" s="64"/>
      <c r="J652" s="502"/>
      <c r="K652" s="501"/>
      <c r="L652" s="503"/>
      <c r="M652" s="64"/>
      <c r="N652" s="64"/>
      <c r="O652" s="64"/>
      <c r="P652" s="64"/>
      <c r="AD652" s="22">
        <f>ROW()</f>
        <v>652</v>
      </c>
      <c r="BB652" s="21" t="s">
        <v>1452</v>
      </c>
      <c r="BC652" s="21" t="s">
        <v>127</v>
      </c>
      <c r="BD652" s="21" t="b">
        <v>1</v>
      </c>
      <c r="BE652" s="21" t="str">
        <f>I511</f>
        <v>0</v>
      </c>
      <c r="BF652" s="21" t="str">
        <f>""&amp;I511</f>
        <v>0</v>
      </c>
      <c r="BG652" s="21" t="b">
        <v>1</v>
      </c>
      <c r="BH652" s="21" t="b">
        <v>0</v>
      </c>
      <c r="BI652" s="21" t="str">
        <f>BE652</f>
        <v>0</v>
      </c>
      <c r="BK652" s="21" t="str">
        <f ca="1">_xlfn.FORMULATEXT(BE652)</f>
        <v>=I511</v>
      </c>
      <c r="BL652" s="21" t="str">
        <f ca="1">_xlfn.FORMULATEXT(BE652)</f>
        <v>=I511</v>
      </c>
    </row>
    <row r="653" spans="1:30 54:64" ht="14.5">
      <c r="A653" s="64"/>
      <c r="B653" s="64"/>
      <c r="C653" s="64"/>
      <c r="D653" s="64"/>
      <c r="E653" s="64"/>
      <c r="F653" s="64"/>
      <c r="G653" s="64"/>
      <c r="H653" s="64"/>
      <c r="I653" s="64"/>
      <c r="J653" s="467"/>
      <c r="K653" s="467"/>
      <c r="L653" s="467"/>
      <c r="M653" s="64"/>
      <c r="N653" s="64"/>
      <c r="O653" s="64"/>
      <c r="P653" s="64"/>
      <c r="AD653" s="22">
        <f>ROW()</f>
        <v>653</v>
      </c>
      <c r="BB653" s="21" t="s">
        <v>1453</v>
      </c>
      <c r="BC653" s="21" t="s">
        <v>127</v>
      </c>
      <c r="BD653" s="21" t="b">
        <v>0</v>
      </c>
      <c r="BE653" s="21">
        <f>L511</f>
        <v>0</v>
      </c>
      <c r="BF653" s="21" t="str">
        <f>""&amp;L511</f>
        <v/>
      </c>
      <c r="BG653" s="21" t="b">
        <v>1</v>
      </c>
      <c r="BH653" s="21" t="b">
        <v>0</v>
      </c>
      <c r="BI653" s="21" t="str">
        <f>BE652</f>
        <v>0</v>
      </c>
      <c r="BK653" s="21" t="str">
        <f ca="1">_xlfn.FORMULATEXT(BE653)</f>
        <v>=L511</v>
      </c>
      <c r="BL653" s="21" t="str">
        <f ca="1">_xlfn.FORMULATEXT(BE653)</f>
        <v>=L511</v>
      </c>
    </row>
    <row r="654" spans="1:30 54:64" ht="14.5">
      <c r="A654" s="64"/>
      <c r="B654" s="64" t="s">
        <v>1454</v>
      </c>
      <c r="C654" s="64"/>
      <c r="D654" s="64"/>
      <c r="E654" s="64"/>
      <c r="F654" s="64"/>
      <c r="G654" s="64"/>
      <c r="H654" s="64"/>
      <c r="I654" s="64"/>
      <c r="J654" s="502"/>
      <c r="K654" s="501"/>
      <c r="L654" s="503"/>
      <c r="M654" s="64"/>
      <c r="N654" s="64"/>
      <c r="O654" s="64"/>
      <c r="P654" s="64"/>
      <c r="AD654" s="22">
        <f>ROW()</f>
        <v>654</v>
      </c>
      <c r="BB654" s="21" t="s">
        <v>1455</v>
      </c>
      <c r="BC654" s="21" t="s">
        <v>127</v>
      </c>
      <c r="BD654" s="21" t="b">
        <v>1</v>
      </c>
      <c r="BE654" s="21">
        <f>E512</f>
        <v>0</v>
      </c>
      <c r="BF654" s="21" t="str">
        <f>""&amp;E512</f>
        <v/>
      </c>
      <c r="BG654" s="21" t="b">
        <v>1</v>
      </c>
      <c r="BH654" s="21" t="b">
        <v>0</v>
      </c>
      <c r="BK654" s="21" t="str">
        <f ca="1">_xlfn.FORMULATEXT(BE654)</f>
        <v>=E512</v>
      </c>
      <c r="BL654" s="21" t="str">
        <f ca="1">_xlfn.FORMULATEXT(BE654)</f>
        <v>=E512</v>
      </c>
    </row>
    <row r="655" spans="1:30 54:64" ht="14.5">
      <c r="A655" s="64"/>
      <c r="B655" s="64"/>
      <c r="C655" s="64"/>
      <c r="D655" s="64"/>
      <c r="E655" s="64"/>
      <c r="F655" s="64"/>
      <c r="G655" s="64"/>
      <c r="H655" s="64"/>
      <c r="I655" s="64"/>
      <c r="J655" s="64"/>
      <c r="K655" s="64"/>
      <c r="L655" s="64"/>
      <c r="M655" s="64"/>
      <c r="N655" s="64"/>
      <c r="O655" s="64"/>
      <c r="P655" s="64"/>
      <c r="AD655" s="22">
        <f>ROW()</f>
        <v>655</v>
      </c>
      <c r="BB655" s="21" t="s">
        <v>1456</v>
      </c>
      <c r="BC655" s="21" t="s">
        <v>127</v>
      </c>
      <c r="BD655" s="21" t="b">
        <v>1</v>
      </c>
      <c r="BE655" s="21" t="str">
        <f>I512</f>
        <v>0</v>
      </c>
      <c r="BF655" s="21" t="str">
        <f>""&amp;I512</f>
        <v>0</v>
      </c>
      <c r="BG655" s="21" t="b">
        <v>1</v>
      </c>
      <c r="BH655" s="21" t="b">
        <v>0</v>
      </c>
      <c r="BI655" s="21" t="str">
        <f>BE655</f>
        <v>0</v>
      </c>
      <c r="BK655" s="21" t="str">
        <f ca="1">_xlfn.FORMULATEXT(BE655)</f>
        <v>=I512</v>
      </c>
      <c r="BL655" s="21" t="str">
        <f ca="1">_xlfn.FORMULATEXT(BE655)</f>
        <v>=I512</v>
      </c>
    </row>
    <row r="656" spans="1:30 54:64" ht="14.5">
      <c r="A656" s="64"/>
      <c r="B656" s="64"/>
      <c r="C656" s="64"/>
      <c r="D656" s="64"/>
      <c r="E656" s="64"/>
      <c r="F656" s="64"/>
      <c r="G656" s="64"/>
      <c r="H656" s="64"/>
      <c r="I656" s="64"/>
      <c r="J656" s="64"/>
      <c r="K656" s="64"/>
      <c r="L656" s="64"/>
      <c r="M656" s="64"/>
      <c r="N656" s="64"/>
      <c r="O656" s="64"/>
      <c r="P656" s="64"/>
      <c r="AD656" s="22">
        <f>ROW()</f>
        <v>656</v>
      </c>
      <c r="BB656" s="21" t="s">
        <v>1457</v>
      </c>
      <c r="BC656" s="21" t="s">
        <v>127</v>
      </c>
      <c r="BD656" s="21" t="b">
        <v>0</v>
      </c>
      <c r="BE656" s="21">
        <f>L512</f>
        <v>0</v>
      </c>
      <c r="BF656" s="21" t="str">
        <f>""&amp;L512</f>
        <v/>
      </c>
      <c r="BG656" s="21" t="b">
        <v>1</v>
      </c>
      <c r="BH656" s="21" t="b">
        <v>0</v>
      </c>
      <c r="BI656" s="21" t="str">
        <f>BE655</f>
        <v>0</v>
      </c>
      <c r="BK656" s="21" t="str">
        <f ca="1">_xlfn.FORMULATEXT(BE656)</f>
        <v>=L512</v>
      </c>
      <c r="BL656" s="21" t="str">
        <f ca="1">_xlfn.FORMULATEXT(BE656)</f>
        <v>=L512</v>
      </c>
    </row>
    <row r="657" spans="30:64" ht="14.5">
      <c r="AD657" s="22">
        <f>ROW()</f>
        <v>657</v>
      </c>
      <c r="BB657" s="21" t="s">
        <v>1458</v>
      </c>
      <c r="BC657" s="21" t="s">
        <v>127</v>
      </c>
      <c r="BD657" s="21" t="b">
        <v>1</v>
      </c>
      <c r="BE657" s="21">
        <f>E513</f>
        <v>0</v>
      </c>
      <c r="BF657" s="21" t="str">
        <f>""&amp;E513</f>
        <v/>
      </c>
      <c r="BG657" s="21" t="b">
        <v>1</v>
      </c>
      <c r="BH657" s="21" t="b">
        <v>0</v>
      </c>
      <c r="BK657" s="21" t="str">
        <f ca="1">_xlfn.FORMULATEXT(BE657)</f>
        <v>=E513</v>
      </c>
      <c r="BL657" s="21" t="str">
        <f ca="1">_xlfn.FORMULATEXT(BE657)</f>
        <v>=E513</v>
      </c>
    </row>
    <row r="658" spans="30:64" ht="14.5">
      <c r="AD658" s="22">
        <f>ROW()</f>
        <v>658</v>
      </c>
      <c r="BB658" s="21" t="s">
        <v>1459</v>
      </c>
      <c r="BC658" s="21" t="s">
        <v>127</v>
      </c>
      <c r="BD658" s="21" t="b">
        <v>1</v>
      </c>
      <c r="BE658" s="21" t="str">
        <f>I513</f>
        <v>0</v>
      </c>
      <c r="BF658" s="21" t="str">
        <f>""&amp;I513</f>
        <v>0</v>
      </c>
      <c r="BG658" s="21" t="b">
        <v>1</v>
      </c>
      <c r="BH658" s="21" t="b">
        <v>0</v>
      </c>
      <c r="BI658" s="21" t="str">
        <f>BE658</f>
        <v>0</v>
      </c>
      <c r="BK658" s="21" t="str">
        <f ca="1">_xlfn.FORMULATEXT(BE658)</f>
        <v>=I513</v>
      </c>
      <c r="BL658" s="21" t="str">
        <f ca="1">_xlfn.FORMULATEXT(BE658)</f>
        <v>=I513</v>
      </c>
    </row>
    <row r="659" spans="30:64" ht="14.5">
      <c r="AD659" s="22">
        <f>ROW()</f>
        <v>659</v>
      </c>
      <c r="BB659" s="21" t="s">
        <v>1460</v>
      </c>
      <c r="BC659" s="21" t="s">
        <v>127</v>
      </c>
      <c r="BD659" s="21" t="b">
        <v>0</v>
      </c>
      <c r="BE659" s="21">
        <f>L513</f>
        <v>0</v>
      </c>
      <c r="BF659" s="21" t="str">
        <f>""&amp;L513</f>
        <v/>
      </c>
      <c r="BG659" s="21" t="b">
        <v>1</v>
      </c>
      <c r="BH659" s="21" t="b">
        <v>0</v>
      </c>
      <c r="BI659" s="21" t="str">
        <f>BE658</f>
        <v>0</v>
      </c>
      <c r="BK659" s="21" t="str">
        <f ca="1">_xlfn.FORMULATEXT(BE659)</f>
        <v>=L513</v>
      </c>
      <c r="BL659" s="21" t="str">
        <f ca="1">_xlfn.FORMULATEXT(BE659)</f>
        <v>=L513</v>
      </c>
    </row>
    <row r="660" spans="30:64" ht="14.5">
      <c r="AD660" s="22">
        <f>ROW()</f>
        <v>660</v>
      </c>
      <c r="BB660" s="21" t="s">
        <v>1461</v>
      </c>
      <c r="BC660" s="21" t="s">
        <v>127</v>
      </c>
      <c r="BD660" s="21" t="b">
        <v>1</v>
      </c>
      <c r="BE660" s="21">
        <f>E515</f>
        <v>0</v>
      </c>
      <c r="BF660" s="21" t="str">
        <f>""&amp;E515</f>
        <v/>
      </c>
      <c r="BG660" s="21" t="b">
        <v>1</v>
      </c>
      <c r="BH660" s="21" t="b">
        <v>0</v>
      </c>
      <c r="BK660" s="21" t="str">
        <f ca="1">_xlfn.FORMULATEXT(BE660)</f>
        <v>=E515</v>
      </c>
      <c r="BL660" s="21" t="str">
        <f ca="1">_xlfn.FORMULATEXT(BE660)</f>
        <v>=E515</v>
      </c>
    </row>
    <row r="661" spans="30:64" ht="14.5">
      <c r="AD661" s="22">
        <f>ROW()</f>
        <v>661</v>
      </c>
      <c r="BB661" s="21" t="s">
        <v>1462</v>
      </c>
      <c r="BC661" s="21" t="s">
        <v>127</v>
      </c>
      <c r="BD661" s="21" t="b">
        <v>1</v>
      </c>
      <c r="BE661" s="21" t="str">
        <f>I515</f>
        <v>0</v>
      </c>
      <c r="BF661" s="21" t="str">
        <f>""&amp;I515</f>
        <v>0</v>
      </c>
      <c r="BG661" s="21" t="b">
        <v>1</v>
      </c>
      <c r="BH661" s="21" t="b">
        <v>0</v>
      </c>
      <c r="BI661" s="21" t="str">
        <f>BE661</f>
        <v>0</v>
      </c>
      <c r="BK661" s="21" t="str">
        <f ca="1">_xlfn.FORMULATEXT(BE661)</f>
        <v>=I515</v>
      </c>
      <c r="BL661" s="21" t="str">
        <f ca="1">_xlfn.FORMULATEXT(BE661)</f>
        <v>=I515</v>
      </c>
    </row>
    <row r="662" spans="30:64" ht="14.5">
      <c r="AD662" s="22">
        <f>ROW()</f>
        <v>662</v>
      </c>
      <c r="BB662" s="21" t="s">
        <v>1463</v>
      </c>
      <c r="BC662" s="21" t="s">
        <v>127</v>
      </c>
      <c r="BD662" s="21" t="b">
        <v>0</v>
      </c>
      <c r="BE662" s="21">
        <f>L515</f>
        <v>0</v>
      </c>
      <c r="BF662" s="21" t="str">
        <f>""&amp;L515</f>
        <v/>
      </c>
      <c r="BG662" s="21" t="b">
        <v>1</v>
      </c>
      <c r="BH662" s="21" t="b">
        <v>0</v>
      </c>
      <c r="BI662" s="21" t="str">
        <f>BE661</f>
        <v>0</v>
      </c>
      <c r="BK662" s="21" t="str">
        <f ca="1">_xlfn.FORMULATEXT(BE662)</f>
        <v>=L515</v>
      </c>
      <c r="BL662" s="21" t="str">
        <f ca="1">_xlfn.FORMULATEXT(BE662)</f>
        <v>=L515</v>
      </c>
    </row>
    <row r="663" spans="30:64" ht="14.5">
      <c r="AD663" s="22">
        <f>ROW()</f>
        <v>663</v>
      </c>
      <c r="BB663" s="21" t="s">
        <v>1464</v>
      </c>
      <c r="BC663" s="21" t="s">
        <v>127</v>
      </c>
      <c r="BD663" s="21" t="b">
        <v>1</v>
      </c>
      <c r="BE663" s="21">
        <f>E516</f>
        <v>0</v>
      </c>
      <c r="BF663" s="21" t="str">
        <f>""&amp;E516</f>
        <v/>
      </c>
      <c r="BG663" s="21" t="b">
        <v>1</v>
      </c>
      <c r="BH663" s="21" t="b">
        <v>0</v>
      </c>
      <c r="BK663" s="21" t="str">
        <f ca="1">_xlfn.FORMULATEXT(BE663)</f>
        <v>=E516</v>
      </c>
      <c r="BL663" s="21" t="str">
        <f ca="1">_xlfn.FORMULATEXT(BE663)</f>
        <v>=E516</v>
      </c>
    </row>
    <row r="664" spans="30:64" ht="14.5">
      <c r="AD664" s="22">
        <f>ROW()</f>
        <v>664</v>
      </c>
      <c r="BB664" s="21" t="s">
        <v>1465</v>
      </c>
      <c r="BC664" s="21" t="s">
        <v>127</v>
      </c>
      <c r="BD664" s="21" t="b">
        <v>1</v>
      </c>
      <c r="BE664" s="21" t="str">
        <f>I516</f>
        <v>0</v>
      </c>
      <c r="BF664" s="21" t="str">
        <f>""&amp;I516</f>
        <v>0</v>
      </c>
      <c r="BG664" s="21" t="b">
        <v>1</v>
      </c>
      <c r="BH664" s="21" t="b">
        <v>0</v>
      </c>
      <c r="BI664" s="21" t="str">
        <f>BE664</f>
        <v>0</v>
      </c>
      <c r="BK664" s="21" t="str">
        <f ca="1">_xlfn.FORMULATEXT(BE664)</f>
        <v>=I516</v>
      </c>
      <c r="BL664" s="21" t="str">
        <f ca="1">_xlfn.FORMULATEXT(BE664)</f>
        <v>=I516</v>
      </c>
    </row>
    <row r="665" spans="30:64" ht="14.5">
      <c r="AD665" s="22">
        <f>ROW()</f>
        <v>665</v>
      </c>
      <c r="BB665" s="21" t="s">
        <v>1466</v>
      </c>
      <c r="BC665" s="21" t="s">
        <v>127</v>
      </c>
      <c r="BD665" s="21" t="b">
        <v>0</v>
      </c>
      <c r="BE665" s="21">
        <f>L516</f>
        <v>0</v>
      </c>
      <c r="BF665" s="21" t="str">
        <f>""&amp;L516</f>
        <v/>
      </c>
      <c r="BG665" s="21" t="b">
        <v>1</v>
      </c>
      <c r="BH665" s="21" t="b">
        <v>0</v>
      </c>
      <c r="BI665" s="21" t="str">
        <f>BE664</f>
        <v>0</v>
      </c>
      <c r="BK665" s="21" t="str">
        <f ca="1">_xlfn.FORMULATEXT(BE665)</f>
        <v>=L516</v>
      </c>
      <c r="BL665" s="21" t="str">
        <f ca="1">_xlfn.FORMULATEXT(BE665)</f>
        <v>=L516</v>
      </c>
    </row>
    <row r="666" spans="30:64" ht="14.5">
      <c r="AD666" s="22">
        <f>ROW()</f>
        <v>666</v>
      </c>
      <c r="BB666" s="21" t="s">
        <v>1467</v>
      </c>
      <c r="BC666" s="21" t="s">
        <v>127</v>
      </c>
      <c r="BD666" s="21" t="b">
        <v>1</v>
      </c>
      <c r="BE666" s="21">
        <f>E517</f>
        <v>0</v>
      </c>
      <c r="BF666" s="21" t="str">
        <f>""&amp;E517</f>
        <v/>
      </c>
      <c r="BG666" s="21" t="b">
        <v>1</v>
      </c>
      <c r="BH666" s="21" t="b">
        <v>0</v>
      </c>
      <c r="BK666" s="21" t="str">
        <f ca="1">_xlfn.FORMULATEXT(BE666)</f>
        <v>=E517</v>
      </c>
      <c r="BL666" s="21" t="str">
        <f ca="1">_xlfn.FORMULATEXT(BE666)</f>
        <v>=E517</v>
      </c>
    </row>
    <row r="667" spans="30:64" ht="14.5">
      <c r="AD667" s="22">
        <f>ROW()</f>
        <v>667</v>
      </c>
      <c r="BB667" s="21" t="s">
        <v>1468</v>
      </c>
      <c r="BC667" s="21" t="s">
        <v>127</v>
      </c>
      <c r="BD667" s="21" t="b">
        <v>1</v>
      </c>
      <c r="BE667" s="21" t="str">
        <f>I517</f>
        <v>0</v>
      </c>
      <c r="BF667" s="21" t="str">
        <f>""&amp;I517</f>
        <v>0</v>
      </c>
      <c r="BG667" s="21" t="b">
        <v>1</v>
      </c>
      <c r="BH667" s="21" t="b">
        <v>0</v>
      </c>
      <c r="BI667" s="21" t="str">
        <f>BE667</f>
        <v>0</v>
      </c>
      <c r="BK667" s="21" t="str">
        <f ca="1">_xlfn.FORMULATEXT(BE667)</f>
        <v>=I517</v>
      </c>
      <c r="BL667" s="21" t="str">
        <f ca="1">_xlfn.FORMULATEXT(BE667)</f>
        <v>=I517</v>
      </c>
    </row>
    <row r="668" spans="30:64" ht="14.5">
      <c r="AD668" s="22">
        <f>ROW()</f>
        <v>668</v>
      </c>
      <c r="BB668" s="21" t="s">
        <v>1469</v>
      </c>
      <c r="BC668" s="21" t="s">
        <v>127</v>
      </c>
      <c r="BD668" s="21" t="b">
        <v>0</v>
      </c>
      <c r="BE668" s="21">
        <f>L517</f>
        <v>0</v>
      </c>
      <c r="BF668" s="21" t="str">
        <f>""&amp;L517</f>
        <v/>
      </c>
      <c r="BG668" s="21" t="b">
        <v>1</v>
      </c>
      <c r="BH668" s="21" t="b">
        <v>0</v>
      </c>
      <c r="BI668" s="21" t="str">
        <f>BE667</f>
        <v>0</v>
      </c>
      <c r="BK668" s="21" t="str">
        <f ca="1">_xlfn.FORMULATEXT(BE668)</f>
        <v>=L517</v>
      </c>
      <c r="BL668" s="21" t="str">
        <f ca="1">_xlfn.FORMULATEXT(BE668)</f>
        <v>=L517</v>
      </c>
    </row>
    <row r="669" spans="30:64" ht="14.5">
      <c r="AD669" s="22">
        <f>ROW()</f>
        <v>669</v>
      </c>
      <c r="BB669" s="21" t="s">
        <v>1470</v>
      </c>
      <c r="BC669" s="21" t="s">
        <v>127</v>
      </c>
      <c r="BD669" s="21" t="b">
        <v>1</v>
      </c>
      <c r="BE669" s="21">
        <f>E518</f>
        <v>0</v>
      </c>
      <c r="BF669" s="21" t="str">
        <f>""&amp;E518</f>
        <v/>
      </c>
      <c r="BG669" s="21" t="b">
        <v>1</v>
      </c>
      <c r="BH669" s="21" t="b">
        <v>0</v>
      </c>
      <c r="BK669" s="21" t="str">
        <f ca="1">_xlfn.FORMULATEXT(BE669)</f>
        <v>=E518</v>
      </c>
      <c r="BL669" s="21" t="str">
        <f ca="1">_xlfn.FORMULATEXT(BE669)</f>
        <v>=E518</v>
      </c>
    </row>
    <row r="670" spans="30:64" ht="14.5">
      <c r="AD670" s="22">
        <f>ROW()</f>
        <v>670</v>
      </c>
      <c r="BB670" s="21" t="s">
        <v>1471</v>
      </c>
      <c r="BC670" s="21" t="s">
        <v>127</v>
      </c>
      <c r="BD670" s="21" t="b">
        <v>1</v>
      </c>
      <c r="BE670" s="21" t="str">
        <f>I518</f>
        <v>0</v>
      </c>
      <c r="BF670" s="21" t="str">
        <f>""&amp;I518</f>
        <v>0</v>
      </c>
      <c r="BG670" s="21" t="b">
        <v>1</v>
      </c>
      <c r="BH670" s="21" t="b">
        <v>0</v>
      </c>
      <c r="BI670" s="21" t="str">
        <f>BE670</f>
        <v>0</v>
      </c>
      <c r="BK670" s="21" t="str">
        <f ca="1">_xlfn.FORMULATEXT(BE670)</f>
        <v>=I518</v>
      </c>
      <c r="BL670" s="21" t="str">
        <f ca="1">_xlfn.FORMULATEXT(BE670)</f>
        <v>=I518</v>
      </c>
    </row>
    <row r="671" spans="30:64" ht="14.5">
      <c r="AD671" s="22">
        <f>ROW()</f>
        <v>671</v>
      </c>
      <c r="BB671" s="21" t="s">
        <v>1472</v>
      </c>
      <c r="BC671" s="21" t="s">
        <v>127</v>
      </c>
      <c r="BD671" s="21" t="b">
        <v>0</v>
      </c>
      <c r="BE671" s="21">
        <f>L518</f>
        <v>0</v>
      </c>
      <c r="BF671" s="21" t="str">
        <f>""&amp;L518</f>
        <v/>
      </c>
      <c r="BG671" s="21" t="b">
        <v>1</v>
      </c>
      <c r="BH671" s="21" t="b">
        <v>0</v>
      </c>
      <c r="BI671" s="21" t="str">
        <f>BE670</f>
        <v>0</v>
      </c>
      <c r="BK671" s="21" t="str">
        <f ca="1">_xlfn.FORMULATEXT(BE671)</f>
        <v>=L518</v>
      </c>
      <c r="BL671" s="21" t="str">
        <f ca="1">_xlfn.FORMULATEXT(BE671)</f>
        <v>=L518</v>
      </c>
    </row>
    <row r="672" spans="30:64" ht="14.5">
      <c r="AD672" s="22">
        <f>ROW()</f>
        <v>672</v>
      </c>
      <c r="BB672" s="21" t="s">
        <v>1473</v>
      </c>
      <c r="BC672" s="21" t="s">
        <v>127</v>
      </c>
      <c r="BD672" s="21" t="b">
        <v>1</v>
      </c>
      <c r="BE672" s="21">
        <f>E519</f>
        <v>0</v>
      </c>
      <c r="BF672" s="21" t="str">
        <f>""&amp;E519</f>
        <v/>
      </c>
      <c r="BG672" s="21" t="b">
        <v>1</v>
      </c>
      <c r="BH672" s="21" t="b">
        <v>0</v>
      </c>
      <c r="BK672" s="21" t="str">
        <f ca="1">_xlfn.FORMULATEXT(BE672)</f>
        <v>=E519</v>
      </c>
      <c r="BL672" s="21" t="str">
        <f ca="1">_xlfn.FORMULATEXT(BE672)</f>
        <v>=E519</v>
      </c>
    </row>
    <row r="673" spans="30:64" ht="14.5">
      <c r="AD673" s="22">
        <f>ROW()</f>
        <v>673</v>
      </c>
      <c r="BB673" s="21" t="s">
        <v>1474</v>
      </c>
      <c r="BC673" s="21" t="s">
        <v>127</v>
      </c>
      <c r="BD673" s="21" t="b">
        <v>1</v>
      </c>
      <c r="BE673" s="21" t="str">
        <f>I519</f>
        <v>0</v>
      </c>
      <c r="BF673" s="21" t="str">
        <f>""&amp;I519</f>
        <v>0</v>
      </c>
      <c r="BG673" s="21" t="b">
        <v>1</v>
      </c>
      <c r="BH673" s="21" t="b">
        <v>0</v>
      </c>
      <c r="BI673" s="21" t="str">
        <f>BE673</f>
        <v>0</v>
      </c>
      <c r="BK673" s="21" t="str">
        <f ca="1">_xlfn.FORMULATEXT(BE673)</f>
        <v>=I519</v>
      </c>
      <c r="BL673" s="21" t="str">
        <f ca="1">_xlfn.FORMULATEXT(BE673)</f>
        <v>=I519</v>
      </c>
    </row>
    <row r="674" spans="30:64" ht="14.5">
      <c r="AD674" s="22">
        <f>ROW()</f>
        <v>674</v>
      </c>
      <c r="BB674" s="21" t="s">
        <v>1475</v>
      </c>
      <c r="BC674" s="21" t="s">
        <v>127</v>
      </c>
      <c r="BD674" s="21" t="b">
        <v>0</v>
      </c>
      <c r="BE674" s="21">
        <f>L519</f>
        <v>0</v>
      </c>
      <c r="BF674" s="21" t="str">
        <f>""&amp;L519</f>
        <v/>
      </c>
      <c r="BG674" s="21" t="b">
        <v>1</v>
      </c>
      <c r="BH674" s="21" t="b">
        <v>0</v>
      </c>
      <c r="BI674" s="21" t="str">
        <f>BE673</f>
        <v>0</v>
      </c>
      <c r="BK674" s="21" t="str">
        <f ca="1">_xlfn.FORMULATEXT(BE674)</f>
        <v>=L519</v>
      </c>
      <c r="BL674" s="21" t="str">
        <f ca="1">_xlfn.FORMULATEXT(BE674)</f>
        <v>=L519</v>
      </c>
    </row>
    <row r="675" spans="30:64" ht="14.5">
      <c r="AD675" s="22">
        <f>ROW()</f>
        <v>675</v>
      </c>
      <c r="BB675" s="21" t="s">
        <v>1476</v>
      </c>
      <c r="BC675" s="21" t="s">
        <v>127</v>
      </c>
      <c r="BD675" s="21" t="b">
        <v>1</v>
      </c>
      <c r="BE675" s="21">
        <f>E520</f>
        <v>0</v>
      </c>
      <c r="BF675" s="21" t="str">
        <f>""&amp;E520</f>
        <v/>
      </c>
      <c r="BG675" s="21" t="b">
        <v>1</v>
      </c>
      <c r="BH675" s="21" t="b">
        <v>0</v>
      </c>
      <c r="BK675" s="21" t="str">
        <f ca="1">_xlfn.FORMULATEXT(BE675)</f>
        <v>=E520</v>
      </c>
      <c r="BL675" s="21" t="str">
        <f ca="1">_xlfn.FORMULATEXT(BE675)</f>
        <v>=E520</v>
      </c>
    </row>
    <row r="676" spans="30:64" ht="14.5">
      <c r="AD676" s="22">
        <f>ROW()</f>
        <v>676</v>
      </c>
      <c r="BB676" s="21" t="s">
        <v>1477</v>
      </c>
      <c r="BC676" s="21" t="s">
        <v>127</v>
      </c>
      <c r="BD676" s="21" t="b">
        <v>1</v>
      </c>
      <c r="BE676" s="21" t="str">
        <f>I520</f>
        <v>0</v>
      </c>
      <c r="BF676" s="21" t="str">
        <f>""&amp;I520</f>
        <v>0</v>
      </c>
      <c r="BG676" s="21" t="b">
        <v>1</v>
      </c>
      <c r="BH676" s="21" t="b">
        <v>0</v>
      </c>
      <c r="BI676" s="21" t="str">
        <f>BE676</f>
        <v>0</v>
      </c>
      <c r="BK676" s="21" t="str">
        <f ca="1">_xlfn.FORMULATEXT(BE676)</f>
        <v>=I520</v>
      </c>
      <c r="BL676" s="21" t="str">
        <f ca="1">_xlfn.FORMULATEXT(BE676)</f>
        <v>=I520</v>
      </c>
    </row>
    <row r="677" spans="30:64" ht="14.5">
      <c r="AD677" s="22">
        <f>ROW()</f>
        <v>677</v>
      </c>
      <c r="BB677" s="21" t="s">
        <v>1478</v>
      </c>
      <c r="BC677" s="21" t="s">
        <v>127</v>
      </c>
      <c r="BD677" s="21" t="b">
        <v>0</v>
      </c>
      <c r="BE677" s="21">
        <f>L520</f>
        <v>0</v>
      </c>
      <c r="BF677" s="21" t="str">
        <f>""&amp;L520</f>
        <v/>
      </c>
      <c r="BG677" s="21" t="b">
        <v>1</v>
      </c>
      <c r="BH677" s="21" t="b">
        <v>0</v>
      </c>
      <c r="BI677" s="21" t="str">
        <f>BE676</f>
        <v>0</v>
      </c>
      <c r="BK677" s="21" t="str">
        <f ca="1">_xlfn.FORMULATEXT(BE677)</f>
        <v>=L520</v>
      </c>
      <c r="BL677" s="21" t="str">
        <f ca="1">_xlfn.FORMULATEXT(BE677)</f>
        <v>=L520</v>
      </c>
    </row>
    <row r="678" spans="30:64" ht="14.5">
      <c r="AD678" s="22">
        <f>ROW()</f>
        <v>678</v>
      </c>
      <c r="BB678" s="21" t="s">
        <v>1479</v>
      </c>
      <c r="BC678" s="21" t="s">
        <v>127</v>
      </c>
      <c r="BD678" s="21" t="b">
        <v>1</v>
      </c>
      <c r="BE678" s="21" t="str">
        <f>E521</f>
        <v>0.00</v>
      </c>
      <c r="BF678" s="21" t="str">
        <f>""&amp;E521</f>
        <v>0.00</v>
      </c>
      <c r="BG678" s="21" t="b">
        <v>0</v>
      </c>
      <c r="BH678" s="21" t="b">
        <v>0</v>
      </c>
      <c r="BK678" s="21" t="str">
        <f ca="1">_xlfn.FORMULATEXT(BE678)</f>
        <v>=E521</v>
      </c>
      <c r="BL678" s="21" t="str">
        <f ca="1">_xlfn.FORMULATEXT(BE678)</f>
        <v>=E521</v>
      </c>
    </row>
    <row r="679" spans="30:64" ht="14.5">
      <c r="AD679" s="22">
        <f>ROW()</f>
        <v>679</v>
      </c>
      <c r="BB679" s="21" t="s">
        <v>1480</v>
      </c>
      <c r="BC679" s="21" t="s">
        <v>127</v>
      </c>
      <c r="BD679" s="21" t="b">
        <v>1</v>
      </c>
      <c r="BE679" s="21" t="str">
        <f>I521</f>
        <v>0.00</v>
      </c>
      <c r="BF679" s="21" t="str">
        <f>""&amp;I521</f>
        <v>0.00</v>
      </c>
      <c r="BG679" s="21" t="b">
        <v>0</v>
      </c>
      <c r="BH679" s="21" t="b">
        <v>0</v>
      </c>
      <c r="BI679" s="21" t="str">
        <f>BE679</f>
        <v>0.00</v>
      </c>
      <c r="BK679" s="21" t="str">
        <f ca="1">_xlfn.FORMULATEXT(BE679)</f>
        <v>=I521</v>
      </c>
      <c r="BL679" s="21" t="str">
        <f ca="1">_xlfn.FORMULATEXT(BE679)</f>
        <v>=I521</v>
      </c>
    </row>
    <row r="680" spans="30:64" ht="14.5">
      <c r="AD680" s="22">
        <f>ROW()</f>
        <v>680</v>
      </c>
      <c r="BB680" s="21" t="s">
        <v>1481</v>
      </c>
      <c r="BC680" s="21" t="s">
        <v>127</v>
      </c>
      <c r="BD680" s="21" t="b">
        <v>0</v>
      </c>
      <c r="BE680" s="21">
        <f>L521</f>
        <v>0</v>
      </c>
      <c r="BF680" s="21" t="str">
        <f>""&amp;L521</f>
        <v/>
      </c>
      <c r="BG680" s="21" t="b">
        <v>1</v>
      </c>
      <c r="BH680" s="21" t="b">
        <v>0</v>
      </c>
      <c r="BI680" s="21" t="str">
        <f>BE679</f>
        <v>0.00</v>
      </c>
      <c r="BK680" s="21" t="str">
        <f ca="1">_xlfn.FORMULATEXT(BE680)</f>
        <v>=L521</v>
      </c>
      <c r="BL680" s="21" t="str">
        <f ca="1">_xlfn.FORMULATEXT(BE680)</f>
        <v>=L521</v>
      </c>
    </row>
    <row r="681" spans="30:64" ht="14.5">
      <c r="AD681" s="22">
        <f>ROW()</f>
        <v>681</v>
      </c>
      <c r="BB681" s="21" t="s">
        <v>1482</v>
      </c>
      <c r="BC681" s="21" t="s">
        <v>127</v>
      </c>
      <c r="BD681" s="21" t="b">
        <v>1</v>
      </c>
      <c r="BE681" s="21">
        <f>M524</f>
        <v>0</v>
      </c>
      <c r="BF681" s="21" t="str">
        <f>""&amp;M524</f>
        <v/>
      </c>
      <c r="BG681" s="21" t="b">
        <v>1</v>
      </c>
      <c r="BH681" s="21" t="b">
        <v>0</v>
      </c>
      <c r="BK681" s="21" t="str">
        <f ca="1">_xlfn.FORMULATEXT(BE681)</f>
        <v>=M524</v>
      </c>
      <c r="BL681" s="21" t="str">
        <f ca="1">_xlfn.FORMULATEXT(BE681)</f>
        <v>=M524</v>
      </c>
    </row>
    <row r="682" spans="30:64" ht="14.5">
      <c r="AD682" s="22">
        <f>ROW()</f>
        <v>682</v>
      </c>
      <c r="BB682" s="21" t="s">
        <v>1483</v>
      </c>
      <c r="BC682" s="21" t="s">
        <v>127</v>
      </c>
      <c r="BD682" s="21" t="b">
        <v>1</v>
      </c>
      <c r="BE682" s="21">
        <f>M525</f>
        <v>0</v>
      </c>
      <c r="BF682" s="21" t="str">
        <f>""&amp;M525</f>
        <v/>
      </c>
      <c r="BG682" s="21" t="b">
        <v>1</v>
      </c>
      <c r="BH682" s="21" t="b">
        <v>0</v>
      </c>
      <c r="BK682" s="21" t="str">
        <f ca="1">_xlfn.FORMULATEXT(BE682)</f>
        <v>=M525</v>
      </c>
      <c r="BL682" s="21" t="str">
        <f ca="1">_xlfn.FORMULATEXT(BE682)</f>
        <v>=M525</v>
      </c>
    </row>
    <row r="683" spans="30:64" ht="14.5">
      <c r="AD683" s="22">
        <f>ROW()</f>
        <v>683</v>
      </c>
      <c r="BB683" s="21" t="s">
        <v>1484</v>
      </c>
      <c r="BC683" s="21" t="s">
        <v>127</v>
      </c>
      <c r="BD683" s="21" t="b">
        <v>1</v>
      </c>
      <c r="BE683" s="21" t="str">
        <f>M527</f>
        <v/>
      </c>
      <c r="BF683" s="21" t="str">
        <f>""&amp;M527</f>
        <v/>
      </c>
      <c r="BG683" s="21" t="b">
        <v>1</v>
      </c>
      <c r="BH683" s="21" t="b">
        <v>0</v>
      </c>
      <c r="BK683" s="21" t="str">
        <f ca="1">_xlfn.FORMULATEXT(BE683)</f>
        <v>=M527</v>
      </c>
      <c r="BL683" s="21" t="str">
        <f ca="1">_xlfn.FORMULATEXT(BE683)</f>
        <v>=M527</v>
      </c>
    </row>
    <row r="684" spans="30:64" ht="14.5">
      <c r="AD684" s="22">
        <f>ROW()</f>
        <v>684</v>
      </c>
      <c r="BB684" s="21" t="s">
        <v>1485</v>
      </c>
      <c r="BC684" s="21" t="s">
        <v>127</v>
      </c>
      <c r="BD684" s="21" t="b">
        <v>1</v>
      </c>
      <c r="BE684" s="21" t="str">
        <f>M528</f>
        <v/>
      </c>
      <c r="BF684" s="21" t="str">
        <f>""&amp;M528</f>
        <v/>
      </c>
      <c r="BG684" s="21" t="b">
        <v>1</v>
      </c>
      <c r="BH684" s="21" t="b">
        <v>0</v>
      </c>
      <c r="BK684" s="21" t="str">
        <f ca="1">_xlfn.FORMULATEXT(BE684)</f>
        <v>=M528</v>
      </c>
      <c r="BL684" s="21" t="str">
        <f ca="1">_xlfn.FORMULATEXT(BE684)</f>
        <v>=M528</v>
      </c>
    </row>
    <row r="685" spans="30:64" ht="14.5">
      <c r="AD685" s="22">
        <f>ROW()</f>
        <v>685</v>
      </c>
      <c r="BB685" s="21" t="s">
        <v>1486</v>
      </c>
      <c r="BC685" s="21" t="s">
        <v>127</v>
      </c>
      <c r="BD685" s="21" t="b">
        <v>1</v>
      </c>
      <c r="BE685" s="21">
        <f>M529</f>
        <v>0</v>
      </c>
      <c r="BF685" s="21" t="str">
        <f>""&amp;M529</f>
        <v/>
      </c>
      <c r="BG685" s="21" t="b">
        <v>1</v>
      </c>
      <c r="BH685" s="21" t="b">
        <v>0</v>
      </c>
      <c r="BK685" s="21" t="str">
        <f ca="1">_xlfn.FORMULATEXT(BE685)</f>
        <v>=M529</v>
      </c>
      <c r="BL685" s="21" t="str">
        <f ca="1">_xlfn.FORMULATEXT(BE685)</f>
        <v>=M529</v>
      </c>
    </row>
    <row r="686" spans="30:64" ht="14.5">
      <c r="AD686" s="22">
        <f>ROW()</f>
        <v>686</v>
      </c>
      <c r="BB686" s="21" t="s">
        <v>1487</v>
      </c>
      <c r="BC686" s="21" t="s">
        <v>127</v>
      </c>
      <c r="BD686" s="21" t="b">
        <v>1</v>
      </c>
      <c r="BE686" s="21">
        <f>M530</f>
        <v>0</v>
      </c>
      <c r="BF686" s="21" t="str">
        <f>""&amp;M530</f>
        <v/>
      </c>
      <c r="BG686" s="21" t="b">
        <v>1</v>
      </c>
      <c r="BH686" s="21" t="b">
        <v>0</v>
      </c>
      <c r="BK686" s="21" t="str">
        <f ca="1">_xlfn.FORMULATEXT(BE686)</f>
        <v>=M530</v>
      </c>
      <c r="BL686" s="21" t="str">
        <f ca="1">_xlfn.FORMULATEXT(BE686)</f>
        <v>=M530</v>
      </c>
    </row>
    <row r="687" spans="30:64" ht="14.5">
      <c r="AD687" s="22">
        <f>ROW()</f>
        <v>687</v>
      </c>
      <c r="BB687" s="21" t="s">
        <v>1488</v>
      </c>
      <c r="BC687" s="21" t="s">
        <v>127</v>
      </c>
      <c r="BD687" s="21" t="b">
        <v>1</v>
      </c>
      <c r="BE687" s="21">
        <f>M531</f>
        <v>0</v>
      </c>
      <c r="BF687" s="21" t="str">
        <f>""&amp;M531</f>
        <v/>
      </c>
      <c r="BG687" s="21" t="b">
        <v>1</v>
      </c>
      <c r="BH687" s="21" t="b">
        <v>0</v>
      </c>
      <c r="BK687" s="21" t="str">
        <f ca="1">_xlfn.FORMULATEXT(BE687)</f>
        <v>=M531</v>
      </c>
      <c r="BL687" s="21" t="str">
        <f ca="1">_xlfn.FORMULATEXT(BE687)</f>
        <v>=M531</v>
      </c>
    </row>
    <row r="688" spans="54:64" ht="14.5">
      <c r="BB688" s="21" t="s">
        <v>1489</v>
      </c>
      <c r="BC688" s="21" t="s">
        <v>127</v>
      </c>
      <c r="BD688" s="21" t="b">
        <v>1</v>
      </c>
      <c r="BE688" s="21">
        <f>M532</f>
        <v>0</v>
      </c>
      <c r="BF688" s="21" t="str">
        <f>""&amp;M532</f>
        <v/>
      </c>
      <c r="BG688" s="21" t="b">
        <v>1</v>
      </c>
      <c r="BH688" s="21" t="b">
        <v>0</v>
      </c>
      <c r="BK688" s="21" t="str">
        <f ca="1">_xlfn.FORMULATEXT(BE688)</f>
        <v>=M532</v>
      </c>
      <c r="BL688" s="21" t="str">
        <f ca="1">_xlfn.FORMULATEXT(BE688)</f>
        <v>=M532</v>
      </c>
    </row>
    <row r="689" spans="54:64" ht="14.5">
      <c r="BB689" s="21" t="s">
        <v>1490</v>
      </c>
      <c r="BC689" s="21" t="s">
        <v>127</v>
      </c>
      <c r="BD689" s="21" t="b">
        <v>1</v>
      </c>
      <c r="BE689" s="21">
        <f>M533</f>
        <v>0</v>
      </c>
      <c r="BF689" s="21" t="str">
        <f>""&amp;M533</f>
        <v/>
      </c>
      <c r="BG689" s="21" t="b">
        <v>1</v>
      </c>
      <c r="BH689" s="21" t="b">
        <v>0</v>
      </c>
      <c r="BK689" s="21" t="str">
        <f ca="1">_xlfn.FORMULATEXT(BE689)</f>
        <v>=M533</v>
      </c>
      <c r="BL689" s="21" t="str">
        <f ca="1">_xlfn.FORMULATEXT(BE689)</f>
        <v>=M533</v>
      </c>
    </row>
    <row r="690" spans="54:64" ht="14.5">
      <c r="BB690" s="21" t="s">
        <v>1491</v>
      </c>
      <c r="BC690" s="21" t="s">
        <v>127</v>
      </c>
      <c r="BD690" s="21" t="b">
        <v>1</v>
      </c>
      <c r="BE690" s="21">
        <f>M534</f>
        <v>0</v>
      </c>
      <c r="BF690" s="21" t="str">
        <f>""&amp;M534</f>
        <v/>
      </c>
      <c r="BG690" s="21" t="b">
        <v>1</v>
      </c>
      <c r="BH690" s="21" t="b">
        <v>0</v>
      </c>
      <c r="BK690" s="21" t="str">
        <f ca="1">_xlfn.FORMULATEXT(BE690)</f>
        <v>=M534</v>
      </c>
      <c r="BL690" s="21" t="str">
        <f ca="1">_xlfn.FORMULATEXT(BE690)</f>
        <v>=M534</v>
      </c>
    </row>
    <row r="691" spans="54:64" ht="14.5">
      <c r="BB691" s="21" t="s">
        <v>1492</v>
      </c>
      <c r="BC691" s="21" t="s">
        <v>127</v>
      </c>
      <c r="BD691" s="21" t="b">
        <v>1</v>
      </c>
      <c r="BE691" s="21">
        <f>M535</f>
        <v>0</v>
      </c>
      <c r="BF691" s="21" t="str">
        <f>""&amp;M535</f>
        <v/>
      </c>
      <c r="BG691" s="21" t="b">
        <v>1</v>
      </c>
      <c r="BH691" s="21" t="b">
        <v>0</v>
      </c>
      <c r="BK691" s="21" t="str">
        <f ca="1">_xlfn.FORMULATEXT(BE691)</f>
        <v>=M535</v>
      </c>
      <c r="BL691" s="21" t="str">
        <f ca="1">_xlfn.FORMULATEXT(BE691)</f>
        <v>=M535</v>
      </c>
    </row>
    <row r="692" spans="54:64" ht="14.5">
      <c r="BB692" s="21" t="s">
        <v>1493</v>
      </c>
      <c r="BC692" s="21" t="s">
        <v>127</v>
      </c>
      <c r="BD692" s="21" t="b">
        <v>1</v>
      </c>
      <c r="BE692" s="21">
        <f>M536</f>
        <v>0</v>
      </c>
      <c r="BF692" s="21" t="str">
        <f>""&amp;M536</f>
        <v/>
      </c>
      <c r="BG692" s="21" t="b">
        <v>1</v>
      </c>
      <c r="BH692" s="21" t="b">
        <v>0</v>
      </c>
      <c r="BK692" s="21" t="str">
        <f ca="1">_xlfn.FORMULATEXT(BE692)</f>
        <v>=M536</v>
      </c>
      <c r="BL692" s="21" t="str">
        <f ca="1">_xlfn.FORMULATEXT(BE692)</f>
        <v>=M536</v>
      </c>
    </row>
    <row r="693" spans="54:64" ht="14.5">
      <c r="BB693" s="21" t="s">
        <v>1494</v>
      </c>
      <c r="BC693" s="21" t="s">
        <v>123</v>
      </c>
      <c r="BD693" s="21" t="b">
        <v>0</v>
      </c>
      <c r="BE693" s="21" t="s">
        <v>1495</v>
      </c>
      <c r="BF693" s="21" t="s">
        <v>1495</v>
      </c>
      <c r="BG693" s="21" t="b">
        <v>0</v>
      </c>
      <c r="BH693" s="21" t="b">
        <v>0</v>
      </c>
      <c r="BK693" s="21" t="s">
        <v>125</v>
      </c>
      <c r="BL693" s="21" t="s">
        <v>125</v>
      </c>
    </row>
    <row r="694" spans="54:64" ht="14.5">
      <c r="BB694" s="21" t="s">
        <v>1496</v>
      </c>
      <c r="BC694" s="21" t="s">
        <v>127</v>
      </c>
      <c r="BD694" s="21" t="b">
        <v>1</v>
      </c>
      <c r="BE694" s="21">
        <f>B540</f>
        <v>0</v>
      </c>
      <c r="BF694" s="21" t="str">
        <f>""&amp;B540</f>
        <v/>
      </c>
      <c r="BG694" s="21" t="b">
        <v>1</v>
      </c>
      <c r="BH694" s="21" t="b">
        <v>0</v>
      </c>
      <c r="BK694" s="21" t="str">
        <f ca="1">_xlfn.FORMULATEXT(BE694)</f>
        <v>=B540</v>
      </c>
      <c r="BL694" s="21" t="str">
        <f ca="1">_xlfn.FORMULATEXT(BE694)</f>
        <v>=B540</v>
      </c>
    </row>
    <row r="695" spans="54:64" ht="14.5">
      <c r="BB695" s="21" t="s">
        <v>1497</v>
      </c>
      <c r="BC695" s="21" t="s">
        <v>268</v>
      </c>
      <c r="BD695" s="21" t="b">
        <v>0</v>
      </c>
      <c r="BE695" s="21" t="str">
        <f>IF(AA563=1,"Y","N")</f>
        <v>N</v>
      </c>
      <c r="BF695" s="21" t="str">
        <f>BE695</f>
        <v>N</v>
      </c>
      <c r="BG695" s="21" t="b">
        <v>0</v>
      </c>
      <c r="BH695" s="21" t="b">
        <v>0</v>
      </c>
      <c r="BJ695" s="21">
        <f>AA563</f>
        <v>2</v>
      </c>
      <c r="BK695" s="21" t="str">
        <f ca="1">_xlfn.FORMULATEXT(BJ695)</f>
        <v>=AA563</v>
      </c>
      <c r="BL695" s="21" t="s">
        <v>1299</v>
      </c>
    </row>
    <row r="696" spans="54:64" ht="14.5">
      <c r="BB696" s="21" t="s">
        <v>1498</v>
      </c>
      <c r="BC696" s="21" t="s">
        <v>268</v>
      </c>
      <c r="BD696" s="21" t="b">
        <v>0</v>
      </c>
      <c r="BE696" s="21" t="str">
        <f>IF(AA567=1,"Yes",IF(AA567=2,"No",IF(AA567=3,"Not applicable","")))</f>
        <v>No</v>
      </c>
      <c r="BF696" s="21" t="str">
        <f>BE696</f>
        <v>No</v>
      </c>
      <c r="BG696" s="21" t="b">
        <v>0</v>
      </c>
      <c r="BH696" s="21" t="b">
        <v>0</v>
      </c>
      <c r="BJ696" s="21">
        <f>AA567</f>
        <v>2</v>
      </c>
      <c r="BK696" s="21" t="str">
        <f ca="1">_xlfn.FORMULATEXT(BJ696)</f>
        <v>=AA567</v>
      </c>
      <c r="BL696" s="21" t="s">
        <v>1499</v>
      </c>
    </row>
    <row r="697" spans="54:64" ht="14.5">
      <c r="BB697" s="21" t="s">
        <v>1500</v>
      </c>
      <c r="BC697" s="21" t="s">
        <v>268</v>
      </c>
      <c r="BD697" s="21" t="b">
        <v>0</v>
      </c>
      <c r="BE697" s="21" t="str">
        <f>IF(AA574=1,"Y","N")</f>
        <v>N</v>
      </c>
      <c r="BF697" s="21" t="str">
        <f>BE697</f>
        <v>N</v>
      </c>
      <c r="BG697" s="21" t="b">
        <v>0</v>
      </c>
      <c r="BH697" s="21" t="b">
        <v>0</v>
      </c>
      <c r="BJ697" s="21">
        <f>AA574</f>
        <v>2</v>
      </c>
      <c r="BK697" s="21" t="str">
        <f ca="1">_xlfn.FORMULATEXT(BJ697)</f>
        <v>=AA574</v>
      </c>
      <c r="BL697" s="21" t="s">
        <v>1501</v>
      </c>
    </row>
    <row r="698" spans="54:64" ht="14.5">
      <c r="BB698" s="21" t="s">
        <v>1502</v>
      </c>
      <c r="BC698" s="21" t="s">
        <v>123</v>
      </c>
      <c r="BD698" s="21" t="b">
        <v>0</v>
      </c>
      <c r="BE698" s="21" t="s">
        <v>1503</v>
      </c>
      <c r="BF698" s="21" t="str">
        <f>""&amp;BE698</f>
        <v>AOC-4 CAG Report</v>
      </c>
      <c r="BG698" s="21" t="b">
        <v>0</v>
      </c>
      <c r="BH698" s="21" t="b">
        <v>0</v>
      </c>
      <c r="BK698" s="21" t="s">
        <v>125</v>
      </c>
      <c r="BL698" s="21" t="s">
        <v>125</v>
      </c>
    </row>
    <row r="699" spans="54:64" ht="14.5">
      <c r="BB699" s="21" t="s">
        <v>1504</v>
      </c>
      <c r="BC699" s="21" t="s">
        <v>268</v>
      </c>
      <c r="BD699" s="21" t="b">
        <v>0</v>
      </c>
      <c r="BE699" s="21" t="str">
        <f>IF(AA577=1,"Y","N")</f>
        <v>N</v>
      </c>
      <c r="BF699" s="21" t="str">
        <f>""&amp;BE699</f>
        <v>N</v>
      </c>
      <c r="BG699" s="21" t="b">
        <v>1</v>
      </c>
      <c r="BH699" s="21" t="b">
        <v>0</v>
      </c>
      <c r="BJ699" s="21">
        <f>AA577</f>
        <v>2</v>
      </c>
      <c r="BK699" s="21" t="str">
        <f ca="1">_xlfn.FORMULATEXT(BJ699)</f>
        <v>=AA577</v>
      </c>
      <c r="BL699" s="21" t="s">
        <v>1323</v>
      </c>
    </row>
    <row r="700" spans="54:64" ht="14.5">
      <c r="BB700" s="21" t="s">
        <v>1505</v>
      </c>
      <c r="BC700" s="21" t="s">
        <v>127</v>
      </c>
      <c r="BD700" s="21" t="b">
        <v>0</v>
      </c>
      <c r="BE700" s="21" t="str">
        <f>B581</f>
        <v>Not applicable</v>
      </c>
      <c r="BF700" s="21" t="str">
        <f>""&amp;B581</f>
        <v>Not applicable</v>
      </c>
      <c r="BG700" s="21" t="b">
        <v>0</v>
      </c>
      <c r="BH700" s="21" t="b">
        <v>0</v>
      </c>
      <c r="BK700" s="21" t="str">
        <f ca="1">_xlfn.FORMULATEXT(BE700)</f>
        <v>=B581</v>
      </c>
      <c r="BL700" s="21" t="str">
        <f ca="1">_xlfn.FORMULATEXT(BE700)</f>
        <v>=B581</v>
      </c>
    </row>
    <row r="701" spans="54:64" ht="14.5">
      <c r="BB701" s="21" t="s">
        <v>1506</v>
      </c>
      <c r="BC701" s="21" t="s">
        <v>268</v>
      </c>
      <c r="BD701" s="21" t="b">
        <v>0</v>
      </c>
      <c r="BE701" s="21" t="str">
        <f>IF(AA585=1,"Y","N")</f>
        <v>N</v>
      </c>
      <c r="BF701" s="21" t="str">
        <f>BE701</f>
        <v>N</v>
      </c>
      <c r="BG701" s="21" t="b">
        <v>0</v>
      </c>
      <c r="BH701" s="21" t="b">
        <v>0</v>
      </c>
      <c r="BJ701" s="21">
        <f>AA585</f>
        <v>2</v>
      </c>
      <c r="BK701" s="21" t="str">
        <f ca="1">_xlfn.FORMULATEXT(BJ701)</f>
        <v>=AA585</v>
      </c>
      <c r="BL701" s="21" t="s">
        <v>1336</v>
      </c>
    </row>
    <row r="702" spans="54:64" ht="14.5">
      <c r="BB702" s="21" t="s">
        <v>1507</v>
      </c>
      <c r="BC702" s="21" t="s">
        <v>268</v>
      </c>
      <c r="BD702" s="21" t="b">
        <v>0</v>
      </c>
      <c r="BE702" s="21" t="str">
        <f>IF(AA588=1,"Y","N")</f>
        <v>N</v>
      </c>
      <c r="BF702" s="21" t="str">
        <f>BE702</f>
        <v>N</v>
      </c>
      <c r="BG702" s="21" t="b">
        <v>0</v>
      </c>
      <c r="BH702" s="21" t="b">
        <v>0</v>
      </c>
      <c r="BJ702" s="21">
        <f>AA588</f>
        <v>2</v>
      </c>
      <c r="BK702" s="21" t="str">
        <f ca="1">_xlfn.FORMULATEXT(BJ702)</f>
        <v>=AA588</v>
      </c>
      <c r="BL702" s="21" t="s">
        <v>1341</v>
      </c>
    </row>
    <row r="703" spans="54:64" ht="14.5">
      <c r="BB703" s="21" t="s">
        <v>1508</v>
      </c>
      <c r="BC703" s="21" t="s">
        <v>127</v>
      </c>
      <c r="BD703" s="21" t="b">
        <v>1</v>
      </c>
      <c r="BE703" s="21">
        <f>B591</f>
        <v>0</v>
      </c>
      <c r="BF703" s="21" t="str">
        <f>""&amp;B591</f>
        <v/>
      </c>
      <c r="BG703" s="21" t="b">
        <v>0</v>
      </c>
      <c r="BH703" s="21" t="b">
        <v>0</v>
      </c>
      <c r="BK703" s="21" t="str">
        <f ca="1">_xlfn.FORMULATEXT(BE703)</f>
        <v>=B591</v>
      </c>
      <c r="BL703" s="21" t="str">
        <f ca="1">_xlfn.FORMULATEXT(BE703)</f>
        <v>=B591</v>
      </c>
    </row>
    <row r="704" spans="54:64" ht="14.5">
      <c r="BB704" s="21" t="s">
        <v>1509</v>
      </c>
      <c r="BC704" s="21" t="s">
        <v>127</v>
      </c>
      <c r="BD704" s="21" t="b">
        <v>0</v>
      </c>
      <c r="BE704" s="21">
        <f>B598</f>
        <v>0</v>
      </c>
      <c r="BF704" s="21" t="str">
        <f>""&amp;B598</f>
        <v/>
      </c>
      <c r="BG704" s="21" t="b">
        <v>1</v>
      </c>
      <c r="BH704" s="21" t="b">
        <v>0</v>
      </c>
      <c r="BK704" s="21" t="str">
        <f ca="1">_xlfn.FORMULATEXT(BE704)</f>
        <v>=B598</v>
      </c>
      <c r="BL704" s="21" t="str">
        <f ca="1">_xlfn.FORMULATEXT(BE704)</f>
        <v>=B598</v>
      </c>
    </row>
    <row r="705" spans="54:64" ht="14.5">
      <c r="BB705" s="21" t="s">
        <v>1510</v>
      </c>
      <c r="BC705" s="21" t="s">
        <v>127</v>
      </c>
      <c r="BD705" s="21" t="b">
        <v>0</v>
      </c>
      <c r="BE705" s="21">
        <f>G598</f>
        <v>0</v>
      </c>
      <c r="BF705" s="21" t="str">
        <f>""&amp;G598</f>
        <v/>
      </c>
      <c r="BG705" s="21" t="b">
        <v>1</v>
      </c>
      <c r="BH705" s="21" t="b">
        <v>0</v>
      </c>
      <c r="BK705" s="21" t="str">
        <f ca="1">_xlfn.FORMULATEXT(BE705)</f>
        <v>=G598</v>
      </c>
      <c r="BL705" s="21" t="str">
        <f ca="1">_xlfn.FORMULATEXT(BE705)</f>
        <v>=G598</v>
      </c>
    </row>
    <row r="706" spans="54:64" ht="14.5">
      <c r="BB706" s="21" t="s">
        <v>1511</v>
      </c>
      <c r="BC706" s="21" t="s">
        <v>127</v>
      </c>
      <c r="BD706" s="21" t="b">
        <v>0</v>
      </c>
      <c r="BE706" s="21">
        <f>L598</f>
        <v>0</v>
      </c>
      <c r="BF706" s="21" t="str">
        <f>""&amp;L598</f>
        <v/>
      </c>
      <c r="BG706" s="21" t="b">
        <v>1</v>
      </c>
      <c r="BH706" s="21" t="b">
        <v>0</v>
      </c>
      <c r="BK706" s="21" t="str">
        <f ca="1">_xlfn.FORMULATEXT(BE706)</f>
        <v>=L598</v>
      </c>
      <c r="BL706" s="21" t="str">
        <f ca="1">_xlfn.FORMULATEXT(BE706)</f>
        <v>=L598</v>
      </c>
    </row>
    <row r="707" spans="54:64" ht="14.5">
      <c r="BB707" s="21" t="s">
        <v>1512</v>
      </c>
      <c r="BC707" s="21" t="s">
        <v>127</v>
      </c>
      <c r="BD707" s="21" t="b">
        <v>0</v>
      </c>
      <c r="BE707" s="21">
        <f>B601</f>
        <v>0</v>
      </c>
      <c r="BF707" s="21" t="str">
        <f>""&amp;B601</f>
        <v/>
      </c>
      <c r="BG707" s="21" t="b">
        <v>1</v>
      </c>
      <c r="BH707" s="21" t="b">
        <v>0</v>
      </c>
      <c r="BK707" s="21" t="str">
        <f ca="1">_xlfn.FORMULATEXT(BE707)</f>
        <v>=B601</v>
      </c>
      <c r="BL707" s="21" t="str">
        <f ca="1">_xlfn.FORMULATEXT(BE707)</f>
        <v>=B601</v>
      </c>
    </row>
    <row r="708" spans="54:64" ht="14.5">
      <c r="BB708" s="21" t="s">
        <v>1513</v>
      </c>
      <c r="BC708" s="21" t="s">
        <v>127</v>
      </c>
      <c r="BD708" s="21" t="b">
        <v>0</v>
      </c>
      <c r="BE708" s="21">
        <f>G601</f>
        <v>0</v>
      </c>
      <c r="BF708" s="21" t="str">
        <f>""&amp;G601</f>
        <v/>
      </c>
      <c r="BG708" s="21" t="b">
        <v>1</v>
      </c>
      <c r="BH708" s="21" t="b">
        <v>0</v>
      </c>
      <c r="BK708" s="21" t="str">
        <f ca="1">_xlfn.FORMULATEXT(BE708)</f>
        <v>=G601</v>
      </c>
      <c r="BL708" s="21" t="str">
        <f ca="1">_xlfn.FORMULATEXT(BE708)</f>
        <v>=G601</v>
      </c>
    </row>
    <row r="709" spans="54:64" ht="14.5">
      <c r="BB709" s="21" t="s">
        <v>1514</v>
      </c>
      <c r="BC709" s="21" t="s">
        <v>127</v>
      </c>
      <c r="BD709" s="21" t="b">
        <v>0</v>
      </c>
      <c r="BE709" s="21">
        <f>L601</f>
        <v>0</v>
      </c>
      <c r="BF709" s="21" t="str">
        <f>""&amp;L601</f>
        <v/>
      </c>
      <c r="BG709" s="21" t="b">
        <v>1</v>
      </c>
      <c r="BH709" s="21" t="b">
        <v>0</v>
      </c>
      <c r="BK709" s="21" t="str">
        <f ca="1">_xlfn.FORMULATEXT(BE709)</f>
        <v>=L601</v>
      </c>
      <c r="BL709" s="21" t="str">
        <f ca="1">_xlfn.FORMULATEXT(BE709)</f>
        <v>=L601</v>
      </c>
    </row>
    <row r="710" spans="54:64" ht="14.5">
      <c r="BB710" s="21" t="s">
        <v>1515</v>
      </c>
      <c r="BC710" s="21" t="s">
        <v>127</v>
      </c>
      <c r="BD710" s="21" t="b">
        <v>0</v>
      </c>
      <c r="BE710" s="21">
        <f>B604</f>
        <v>0</v>
      </c>
      <c r="BF710" s="21" t="str">
        <f>""&amp;B604</f>
        <v/>
      </c>
      <c r="BG710" s="21" t="b">
        <v>1</v>
      </c>
      <c r="BH710" s="21" t="b">
        <v>0</v>
      </c>
      <c r="BK710" s="21" t="str">
        <f ca="1">_xlfn.FORMULATEXT(BE710)</f>
        <v>=B604</v>
      </c>
      <c r="BL710" s="21" t="str">
        <f ca="1">_xlfn.FORMULATEXT(BE710)</f>
        <v>=B604</v>
      </c>
    </row>
    <row r="711" spans="54:64" ht="14.5">
      <c r="BB711" s="21" t="s">
        <v>1516</v>
      </c>
      <c r="BC711" s="21" t="s">
        <v>127</v>
      </c>
      <c r="BD711" s="21" t="b">
        <v>0</v>
      </c>
      <c r="BE711" s="21">
        <f>G604</f>
        <v>0</v>
      </c>
      <c r="BF711" s="21" t="str">
        <f>""&amp;G604</f>
        <v/>
      </c>
      <c r="BG711" s="21" t="b">
        <v>1</v>
      </c>
      <c r="BH711" s="21" t="b">
        <v>0</v>
      </c>
      <c r="BK711" s="21" t="str">
        <f ca="1">_xlfn.FORMULATEXT(BE711)</f>
        <v>=G604</v>
      </c>
      <c r="BL711" s="21" t="str">
        <f ca="1">_xlfn.FORMULATEXT(BE711)</f>
        <v>=G604</v>
      </c>
    </row>
    <row r="712" spans="54:64" ht="14.5">
      <c r="BB712" s="21" t="s">
        <v>1517</v>
      </c>
      <c r="BC712" s="21" t="s">
        <v>127</v>
      </c>
      <c r="BD712" s="21" t="b">
        <v>1</v>
      </c>
      <c r="BE712" s="64">
        <f>J609</f>
        <v>0</v>
      </c>
      <c r="BF712" s="21" t="str">
        <f>""&amp;J609</f>
        <v/>
      </c>
      <c r="BG712" s="21" t="b">
        <v>1</v>
      </c>
      <c r="BH712" s="53" t="b">
        <v>1</v>
      </c>
      <c r="BK712" s="21" t="str">
        <f ca="1">_xlfn.FORMULATEXT(BE712)</f>
        <v>=J609</v>
      </c>
      <c r="BL712" s="21" t="str">
        <f ca="1">_xlfn.FORMULATEXT(BE712)</f>
        <v>=J609</v>
      </c>
    </row>
    <row r="713" spans="54:64" ht="14.5">
      <c r="BB713" s="21" t="s">
        <v>1518</v>
      </c>
      <c r="BC713" s="21" t="s">
        <v>127</v>
      </c>
      <c r="BD713" s="21" t="b">
        <v>1</v>
      </c>
      <c r="BE713" s="21">
        <f>C610</f>
        <v>0</v>
      </c>
      <c r="BF713" s="21" t="str">
        <f>""&amp;C610</f>
        <v/>
      </c>
      <c r="BG713" s="21" t="b">
        <v>1</v>
      </c>
      <c r="BH713" s="53" t="b">
        <v>1</v>
      </c>
      <c r="BK713" s="21" t="str">
        <f ca="1">_xlfn.FORMULATEXT(BE713)</f>
        <v>=C610</v>
      </c>
      <c r="BL713" s="21" t="str">
        <f ca="1">_xlfn.FORMULATEXT(BE713)</f>
        <v>=C610</v>
      </c>
    </row>
    <row r="714" spans="54:64" ht="14.5">
      <c r="BB714" s="21" t="s">
        <v>1519</v>
      </c>
      <c r="BC714" s="21" t="s">
        <v>268</v>
      </c>
      <c r="BD714" s="21" t="b">
        <v>0</v>
      </c>
      <c r="BE714" s="21" t="str">
        <f>IF(AA622=1,"Director",IF(AA622=2,"Manager",IF(AA622=3,"Secretary",IF(AA622=4,"CEO",IF(AA622=5,"CFO",IF(AA622=6,"IRP/RP/Liquidator",""))))))</f>
        <v/>
      </c>
      <c r="BF714" s="21" t="str">
        <f>BE714</f>
        <v/>
      </c>
      <c r="BG714" s="21" t="b">
        <v>1</v>
      </c>
      <c r="BH714" s="53" t="b">
        <v>1</v>
      </c>
      <c r="BJ714" s="21">
        <f>AA622</f>
        <v>0</v>
      </c>
      <c r="BK714" s="21" t="str">
        <f ca="1">_xlfn.FORMULATEXT(BJ714)</f>
        <v>=AA622</v>
      </c>
      <c r="BL714" s="21" t="s">
        <v>1401</v>
      </c>
    </row>
    <row r="715" spans="54:64" ht="14.5">
      <c r="BB715" s="21" t="s">
        <v>1520</v>
      </c>
      <c r="BC715" s="21" t="s">
        <v>127</v>
      </c>
      <c r="BD715" s="21" t="b">
        <v>1</v>
      </c>
      <c r="BE715" s="21">
        <f>J626</f>
        <v>0</v>
      </c>
      <c r="BF715" s="21" t="str">
        <f>UPPER(""&amp;J626)</f>
        <v/>
      </c>
      <c r="BG715" s="21" t="b">
        <v>1</v>
      </c>
      <c r="BH715" s="53" t="b">
        <v>1</v>
      </c>
      <c r="BK715" s="21" t="str">
        <f ca="1">_xlfn.FORMULATEXT(BE715)</f>
        <v>=J626</v>
      </c>
      <c r="BL715" s="21" t="str">
        <f ca="1">_xlfn.FORMULATEXT(BE715)</f>
        <v>=J626</v>
      </c>
    </row>
    <row r="716" spans="54:64" ht="14.5">
      <c r="BB716" s="21" t="s">
        <v>1521</v>
      </c>
      <c r="BC716" s="21" t="s">
        <v>127</v>
      </c>
      <c r="BD716" s="21" t="b">
        <v>1</v>
      </c>
      <c r="BE716" s="21">
        <f>J652</f>
        <v>0</v>
      </c>
      <c r="BF716" s="21" t="str">
        <f>""&amp;J652</f>
        <v/>
      </c>
      <c r="BG716" s="21" t="b">
        <v>1</v>
      </c>
      <c r="BH716" s="53" t="b">
        <v>1</v>
      </c>
      <c r="BK716" s="21" t="str">
        <f ca="1">_xlfn.FORMULATEXT(BE716)</f>
        <v>=J652</v>
      </c>
      <c r="BL716" s="21" t="str">
        <f ca="1">_xlfn.FORMULATEXT(BE716)</f>
        <v>=J652</v>
      </c>
    </row>
    <row r="717" spans="54:64" ht="14.5">
      <c r="BB717" s="21" t="s">
        <v>1522</v>
      </c>
      <c r="BC717" s="21" t="s">
        <v>127</v>
      </c>
      <c r="BD717" s="21" t="b">
        <v>0</v>
      </c>
      <c r="BE717" s="21" t="str">
        <f>J620</f>
        <v>DSC BOX</v>
      </c>
      <c r="BF717" s="21" t="str">
        <f>""&amp;J620</f>
        <v>DSC BOX</v>
      </c>
      <c r="BG717" s="21" t="b">
        <v>1</v>
      </c>
      <c r="BH717" s="53" t="b">
        <v>1</v>
      </c>
      <c r="BK717" s="21" t="str">
        <f ca="1">_xlfn.FORMULATEXT(BE717)</f>
        <v>=J620</v>
      </c>
      <c r="BL717" s="21" t="str">
        <f ca="1">_xlfn.FORMULATEXT(BE717)</f>
        <v>=J620</v>
      </c>
    </row>
    <row r="718" spans="54:64" ht="14.5">
      <c r="BB718" s="21" t="s">
        <v>1523</v>
      </c>
      <c r="BC718" s="21" t="s">
        <v>127</v>
      </c>
      <c r="BD718" s="21" t="b">
        <v>0</v>
      </c>
      <c r="BE718" s="21" t="str">
        <f>J646</f>
        <v>DSC BOX</v>
      </c>
      <c r="BF718" s="21" t="str">
        <f>""&amp;J646</f>
        <v>DSC BOX</v>
      </c>
      <c r="BG718" s="21" t="b">
        <v>1</v>
      </c>
      <c r="BH718" s="53" t="b">
        <v>1</v>
      </c>
      <c r="BK718" s="21" t="str">
        <f ca="1">_xlfn.FORMULATEXT(BE718)</f>
        <v>=J646</v>
      </c>
      <c r="BL718" s="21" t="str">
        <f ca="1">_xlfn.FORMULATEXT(BE718)</f>
        <v>=J646</v>
      </c>
    </row>
    <row r="719" spans="54:64" ht="14.5">
      <c r="BB719" s="21" t="s">
        <v>1524</v>
      </c>
      <c r="BC719" s="21" t="s">
        <v>268</v>
      </c>
      <c r="BD719" s="21" t="b">
        <v>0</v>
      </c>
      <c r="BE719" s="21" t="str">
        <f>IF(AA648=1,"Chartered Accountant (in whole-time practice)",IF(AA648=2,"Cost Accountant (in whole-time practice)",IF(AA648=3,"Company Secretary (in whole-time practice)","")))</f>
        <v/>
      </c>
      <c r="BF719" s="21" t="str">
        <f>BE719</f>
        <v/>
      </c>
      <c r="BG719" s="21" t="b">
        <v>1</v>
      </c>
      <c r="BH719" s="53" t="b">
        <v>1</v>
      </c>
      <c r="BJ719" s="21">
        <f>AA648</f>
        <v>0</v>
      </c>
      <c r="BK719" s="21" t="str">
        <f ca="1">_xlfn.FORMULATEXT(BJ719)</f>
        <v>=AA648</v>
      </c>
      <c r="BL719" s="21" t="s">
        <v>110</v>
      </c>
    </row>
    <row r="720" spans="54:64" ht="14.5">
      <c r="BB720" s="21" t="s">
        <v>1525</v>
      </c>
      <c r="BC720" s="21" t="s">
        <v>268</v>
      </c>
      <c r="BD720" s="21" t="b">
        <v>0</v>
      </c>
      <c r="BE720" s="21" t="str">
        <f>IF(AA650=1,"Associate",IF(AA650=2,"Fellow",""))</f>
        <v/>
      </c>
      <c r="BF720" s="21" t="str">
        <f>BE720</f>
        <v/>
      </c>
      <c r="BG720" s="21" t="b">
        <v>1</v>
      </c>
      <c r="BH720" s="53" t="b">
        <v>1</v>
      </c>
      <c r="BJ720" s="21">
        <f>AA650</f>
        <v>0</v>
      </c>
      <c r="BK720" s="21" t="str">
        <f ca="1">_xlfn.FORMULATEXT(BJ720)</f>
        <v>=AA650</v>
      </c>
      <c r="BL720" s="21" t="s">
        <v>1447</v>
      </c>
    </row>
    <row r="721" spans="54:64" ht="14.5">
      <c r="BB721" s="21" t="s">
        <v>1526</v>
      </c>
      <c r="BC721" s="21" t="s">
        <v>127</v>
      </c>
      <c r="BD721" s="21" t="b">
        <v>0</v>
      </c>
      <c r="BE721" s="21">
        <f>J654</f>
        <v>0</v>
      </c>
      <c r="BF721" s="21" t="str">
        <f>""&amp;J654</f>
        <v/>
      </c>
      <c r="BG721" s="21" t="b">
        <v>1</v>
      </c>
      <c r="BH721" s="53" t="b">
        <v>1</v>
      </c>
      <c r="BK721" s="21" t="str">
        <f ca="1">_xlfn.FORMULATEXT(BE721)</f>
        <v>=J654</v>
      </c>
      <c r="BL721" s="21" t="str">
        <f ca="1">_xlfn.FORMULATEXT(BE721)</f>
        <v>=J654</v>
      </c>
    </row>
  </sheetData>
  <sheetProtection password="9EB9" sheet="1" objects="1" scenarios="1" selectLockedCells="1"/>
  <mergeCells count="1219">
    <mergeCell ref="J654:L654"/>
    <mergeCell ref="J609:L609"/>
    <mergeCell ref="B22:E23"/>
    <mergeCell ref="C536:L536"/>
    <mergeCell ref="M536:O536"/>
    <mergeCell ref="C460:F460"/>
    <mergeCell ref="G460:I460"/>
    <mergeCell ref="J460:L460"/>
    <mergeCell ref="M460:O460"/>
    <mergeCell ref="B319:B320"/>
    <mergeCell ref="C526:O526"/>
    <mergeCell ref="B402:O402"/>
    <mergeCell ref="C370:L370"/>
    <mergeCell ref="K396:M396"/>
    <mergeCell ref="K397:M397"/>
    <mergeCell ref="K393:M394"/>
    <mergeCell ref="H393:J394"/>
    <mergeCell ref="B384:D384"/>
    <mergeCell ref="B385:D385"/>
    <mergeCell ref="C369:O369"/>
    <mergeCell ref="C371:L371"/>
    <mergeCell ref="C372:L372"/>
    <mergeCell ref="C373:L373"/>
    <mergeCell ref="M371:O371"/>
    <mergeCell ref="M372:O372"/>
    <mergeCell ref="M373:O373"/>
    <mergeCell ref="M377:O377"/>
    <mergeCell ref="B379:K379"/>
    <mergeCell ref="B383:D383"/>
    <mergeCell ref="C330:L330"/>
    <mergeCell ref="C331:L331"/>
    <mergeCell ref="C332:L332"/>
    <mergeCell ref="B250:B251"/>
    <mergeCell ref="B272:B273"/>
    <mergeCell ref="B258:B259"/>
    <mergeCell ref="B269:B270"/>
    <mergeCell ref="B254:B255"/>
    <mergeCell ref="C250:F251"/>
    <mergeCell ref="B247:I247"/>
    <mergeCell ref="C258:F259"/>
    <mergeCell ref="B260:B261"/>
    <mergeCell ref="C272:F272"/>
    <mergeCell ref="J287:L287"/>
    <mergeCell ref="C269:F270"/>
    <mergeCell ref="M274:O275"/>
    <mergeCell ref="G272:I272"/>
    <mergeCell ref="J272:L272"/>
    <mergeCell ref="M252:O252"/>
    <mergeCell ref="B249:G249"/>
    <mergeCell ref="M265:O266"/>
    <mergeCell ref="B265:B266"/>
    <mergeCell ref="B263:B264"/>
    <mergeCell ref="B274:B275"/>
    <mergeCell ref="M287:O287"/>
    <mergeCell ref="J254:L254"/>
    <mergeCell ref="J255:L255"/>
    <mergeCell ref="J256:L256"/>
    <mergeCell ref="C260:F261"/>
    <mergeCell ref="C253:O253"/>
    <mergeCell ref="M254:O254"/>
    <mergeCell ref="M255:O255"/>
    <mergeCell ref="M256:O256"/>
    <mergeCell ref="M280:O281"/>
    <mergeCell ref="C257:F257"/>
    <mergeCell ref="M277:O277"/>
    <mergeCell ref="M276:O276"/>
    <mergeCell ref="M273:O273"/>
    <mergeCell ref="M262:O262"/>
    <mergeCell ref="M263:O264"/>
    <mergeCell ref="J242:L242"/>
    <mergeCell ref="G250:I251"/>
    <mergeCell ref="J269:L270"/>
    <mergeCell ref="M269:O270"/>
    <mergeCell ref="C245:F245"/>
    <mergeCell ref="J250:L251"/>
    <mergeCell ref="G252:I252"/>
    <mergeCell ref="J252:L252"/>
    <mergeCell ref="J245:L245"/>
    <mergeCell ref="G244:I244"/>
    <mergeCell ref="G245:I245"/>
    <mergeCell ref="G243:I243"/>
    <mergeCell ref="C242:F242"/>
    <mergeCell ref="G276:I276"/>
    <mergeCell ref="C273:F273"/>
    <mergeCell ref="M243:O243"/>
    <mergeCell ref="M244:O244"/>
    <mergeCell ref="J243:L243"/>
    <mergeCell ref="J244:L244"/>
    <mergeCell ref="C243:F243"/>
    <mergeCell ref="M250:O251"/>
    <mergeCell ref="G269:I270"/>
    <mergeCell ref="M258:O259"/>
    <mergeCell ref="M260:O261"/>
    <mergeCell ref="J263:L264"/>
    <mergeCell ref="J258:L259"/>
    <mergeCell ref="G260:I261"/>
    <mergeCell ref="G257:I257"/>
    <mergeCell ref="J276:L276"/>
    <mergeCell ref="G273:I273"/>
    <mergeCell ref="G288:I289"/>
    <mergeCell ref="G263:I264"/>
    <mergeCell ref="G258:I259"/>
    <mergeCell ref="C276:F276"/>
    <mergeCell ref="C294:F294"/>
    <mergeCell ref="J273:L273"/>
    <mergeCell ref="B268:H268"/>
    <mergeCell ref="J280:L281"/>
    <mergeCell ref="B291:B292"/>
    <mergeCell ref="J319:L320"/>
    <mergeCell ref="B285:B286"/>
    <mergeCell ref="B280:B281"/>
    <mergeCell ref="J290:L290"/>
    <mergeCell ref="G285:I286"/>
    <mergeCell ref="C278:F279"/>
    <mergeCell ref="C285:F286"/>
    <mergeCell ref="J277:L277"/>
    <mergeCell ref="G280:I281"/>
    <mergeCell ref="C288:F289"/>
    <mergeCell ref="G287:I287"/>
    <mergeCell ref="J305:L306"/>
    <mergeCell ref="C312:F312"/>
    <mergeCell ref="C313:F314"/>
    <mergeCell ref="B318:G318"/>
    <mergeCell ref="G274:I275"/>
    <mergeCell ref="J274:L275"/>
    <mergeCell ref="B298:B299"/>
    <mergeCell ref="B284:J284"/>
    <mergeCell ref="C296:F297"/>
    <mergeCell ref="M323:O323"/>
    <mergeCell ref="C337:L337"/>
    <mergeCell ref="C338:L338"/>
    <mergeCell ref="J308:L309"/>
    <mergeCell ref="M308:O309"/>
    <mergeCell ref="G313:I314"/>
    <mergeCell ref="M335:N335"/>
    <mergeCell ref="B313:B314"/>
    <mergeCell ref="C374:L374"/>
    <mergeCell ref="M338:O338"/>
    <mergeCell ref="C333:L333"/>
    <mergeCell ref="C334:L334"/>
    <mergeCell ref="C335:L335"/>
    <mergeCell ref="C368:L368"/>
    <mergeCell ref="C367:L367"/>
    <mergeCell ref="C347:L347"/>
    <mergeCell ref="C348:L348"/>
    <mergeCell ref="C358:L358"/>
    <mergeCell ref="M374:O374"/>
    <mergeCell ref="J324:L324"/>
    <mergeCell ref="M348:O348"/>
    <mergeCell ref="M349:O349"/>
    <mergeCell ref="M351:O351"/>
    <mergeCell ref="C342:L342"/>
    <mergeCell ref="C343:L343"/>
    <mergeCell ref="M356:O356"/>
    <mergeCell ref="M357:O357"/>
    <mergeCell ref="C360:L360"/>
    <mergeCell ref="B296:B297"/>
    <mergeCell ref="C298:F299"/>
    <mergeCell ref="M324:O324"/>
    <mergeCell ref="C322:F322"/>
    <mergeCell ref="M325:O325"/>
    <mergeCell ref="B301:J301"/>
    <mergeCell ref="C304:F304"/>
    <mergeCell ref="J315:L316"/>
    <mergeCell ref="G307:I307"/>
    <mergeCell ref="J307:L307"/>
    <mergeCell ref="J312:L312"/>
    <mergeCell ref="C307:F307"/>
    <mergeCell ref="C308:F309"/>
    <mergeCell ref="C311:F311"/>
    <mergeCell ref="B305:B306"/>
    <mergeCell ref="C315:F316"/>
    <mergeCell ref="B315:B316"/>
    <mergeCell ref="B311:B312"/>
    <mergeCell ref="G304:I304"/>
    <mergeCell ref="J304:L304"/>
    <mergeCell ref="G311:I311"/>
    <mergeCell ref="C310:O310"/>
    <mergeCell ref="G308:I309"/>
    <mergeCell ref="G312:I312"/>
    <mergeCell ref="B302:B303"/>
    <mergeCell ref="C302:F303"/>
    <mergeCell ref="C323:F323"/>
    <mergeCell ref="C324:F324"/>
    <mergeCell ref="C325:F325"/>
    <mergeCell ref="M321:O321"/>
    <mergeCell ref="G302:I303"/>
    <mergeCell ref="J302:L303"/>
    <mergeCell ref="J298:L299"/>
    <mergeCell ref="M298:O299"/>
    <mergeCell ref="M330:O330"/>
    <mergeCell ref="M331:O331"/>
    <mergeCell ref="M302:O303"/>
    <mergeCell ref="G305:I306"/>
    <mergeCell ref="J321:L321"/>
    <mergeCell ref="M345:O345"/>
    <mergeCell ref="M346:O346"/>
    <mergeCell ref="M368:O368"/>
    <mergeCell ref="M305:O306"/>
    <mergeCell ref="M307:O307"/>
    <mergeCell ref="B329:L329"/>
    <mergeCell ref="C305:F306"/>
    <mergeCell ref="M319:O320"/>
    <mergeCell ref="G319:I320"/>
    <mergeCell ref="N384:O384"/>
    <mergeCell ref="N382:O382"/>
    <mergeCell ref="M353:O353"/>
    <mergeCell ref="C349:L349"/>
    <mergeCell ref="C350:L350"/>
    <mergeCell ref="C351:L351"/>
    <mergeCell ref="C352:L352"/>
    <mergeCell ref="C353:L353"/>
    <mergeCell ref="M350:O350"/>
    <mergeCell ref="N383:O383"/>
    <mergeCell ref="B380:D380"/>
    <mergeCell ref="M313:O314"/>
    <mergeCell ref="M375:O375"/>
    <mergeCell ref="M347:O347"/>
    <mergeCell ref="B308:B309"/>
    <mergeCell ref="M322:O322"/>
    <mergeCell ref="M285:O286"/>
    <mergeCell ref="M332:O332"/>
    <mergeCell ref="M337:O337"/>
    <mergeCell ref="M333:O333"/>
    <mergeCell ref="M334:O334"/>
    <mergeCell ref="B162:K162"/>
    <mergeCell ref="B175:E175"/>
    <mergeCell ref="B177:E177"/>
    <mergeCell ref="B179:E179"/>
    <mergeCell ref="J322:L322"/>
    <mergeCell ref="J323:L323"/>
    <mergeCell ref="J325:L325"/>
    <mergeCell ref="J327:L327"/>
    <mergeCell ref="J257:L257"/>
    <mergeCell ref="G255:I255"/>
    <mergeCell ref="C319:F320"/>
    <mergeCell ref="C321:F321"/>
    <mergeCell ref="G321:I321"/>
    <mergeCell ref="J326:L326"/>
    <mergeCell ref="J285:L286"/>
    <mergeCell ref="G277:I277"/>
    <mergeCell ref="C280:F281"/>
    <mergeCell ref="G278:I279"/>
    <mergeCell ref="J278:L279"/>
    <mergeCell ref="C274:F275"/>
    <mergeCell ref="G265:I266"/>
    <mergeCell ref="J265:L266"/>
    <mergeCell ref="J260:L261"/>
    <mergeCell ref="J262:L262"/>
    <mergeCell ref="G262:I262"/>
    <mergeCell ref="M326:O326"/>
    <mergeCell ref="M327:O327"/>
    <mergeCell ref="B60:O61"/>
    <mergeCell ref="B171:E171"/>
    <mergeCell ref="E74:H74"/>
    <mergeCell ref="B85:E85"/>
    <mergeCell ref="B57:O58"/>
    <mergeCell ref="B70:J70"/>
    <mergeCell ref="B12:O12"/>
    <mergeCell ref="G18:J18"/>
    <mergeCell ref="B17:E17"/>
    <mergeCell ref="B20:D20"/>
    <mergeCell ref="B101:E101"/>
    <mergeCell ref="L20:N20"/>
    <mergeCell ref="L22:O22"/>
    <mergeCell ref="G200:I200"/>
    <mergeCell ref="J200:L200"/>
    <mergeCell ref="I65:K65"/>
    <mergeCell ref="B25:G25"/>
    <mergeCell ref="I74:K74"/>
    <mergeCell ref="E65:H65"/>
    <mergeCell ref="B18:E18"/>
    <mergeCell ref="B72:D73"/>
    <mergeCell ref="B83:E83"/>
    <mergeCell ref="G83:J83"/>
    <mergeCell ref="G171:J171"/>
    <mergeCell ref="B63:D64"/>
    <mergeCell ref="G136:J136"/>
    <mergeCell ref="G119:J119"/>
    <mergeCell ref="B191:E192"/>
    <mergeCell ref="B99:E99"/>
    <mergeCell ref="B106:J107"/>
    <mergeCell ref="B110:E110"/>
    <mergeCell ref="B146:E146"/>
    <mergeCell ref="B77:J77"/>
    <mergeCell ref="B74:D74"/>
    <mergeCell ref="G103:J103"/>
    <mergeCell ref="B204:B207"/>
    <mergeCell ref="B103:E104"/>
    <mergeCell ref="B113:E113"/>
    <mergeCell ref="B117:F117"/>
    <mergeCell ref="G112:I112"/>
    <mergeCell ref="B119:E119"/>
    <mergeCell ref="G99:J99"/>
    <mergeCell ref="G101:J101"/>
    <mergeCell ref="G117:J117"/>
    <mergeCell ref="G199:I199"/>
    <mergeCell ref="J199:L199"/>
    <mergeCell ref="G167:J167"/>
    <mergeCell ref="G169:J169"/>
    <mergeCell ref="B140:C140"/>
    <mergeCell ref="G113:J113"/>
    <mergeCell ref="B159:H159"/>
    <mergeCell ref="B181:E181"/>
    <mergeCell ref="B148:E148"/>
    <mergeCell ref="B144:H144"/>
    <mergeCell ref="B199:B200"/>
    <mergeCell ref="B196:E196"/>
    <mergeCell ref="C199:F200"/>
    <mergeCell ref="G17:K17"/>
    <mergeCell ref="L18:O18"/>
    <mergeCell ref="L17:O17"/>
    <mergeCell ref="B227:B237"/>
    <mergeCell ref="M239:O239"/>
    <mergeCell ref="C231:F231"/>
    <mergeCell ref="G237:I237"/>
    <mergeCell ref="C206:F207"/>
    <mergeCell ref="C208:F209"/>
    <mergeCell ref="M241:O241"/>
    <mergeCell ref="G22:J23"/>
    <mergeCell ref="B27:E27"/>
    <mergeCell ref="B30:E30"/>
    <mergeCell ref="B33:E33"/>
    <mergeCell ref="B56:C56"/>
    <mergeCell ref="B79:D79"/>
    <mergeCell ref="B81:H81"/>
    <mergeCell ref="G91:J91"/>
    <mergeCell ref="G89:J89"/>
    <mergeCell ref="C237:F237"/>
    <mergeCell ref="C241:F241"/>
    <mergeCell ref="G85:J85"/>
    <mergeCell ref="B89:E89"/>
    <mergeCell ref="B91:E92"/>
    <mergeCell ref="E63:H64"/>
    <mergeCell ref="B35:I35"/>
    <mergeCell ref="G173:J173"/>
    <mergeCell ref="G185:J185"/>
    <mergeCell ref="B87:E87"/>
    <mergeCell ref="G175:J175"/>
    <mergeCell ref="B167:E167"/>
    <mergeCell ref="B121:E122"/>
    <mergeCell ref="J215:L215"/>
    <mergeCell ref="B152:E152"/>
    <mergeCell ref="G152:J152"/>
    <mergeCell ref="B150:G150"/>
    <mergeCell ref="G140:J140"/>
    <mergeCell ref="G130:J130"/>
    <mergeCell ref="G132:J132"/>
    <mergeCell ref="B126:H126"/>
    <mergeCell ref="G128:J128"/>
    <mergeCell ref="G124:J125"/>
    <mergeCell ref="M213:O213"/>
    <mergeCell ref="J204:L204"/>
    <mergeCell ref="C202:O203"/>
    <mergeCell ref="G177:J177"/>
    <mergeCell ref="G179:J179"/>
    <mergeCell ref="G181:J181"/>
    <mergeCell ref="G189:J189"/>
    <mergeCell ref="B208:B209"/>
    <mergeCell ref="B173:E173"/>
    <mergeCell ref="B169:E169"/>
    <mergeCell ref="B165:K165"/>
    <mergeCell ref="L165:M165"/>
    <mergeCell ref="M199:O200"/>
    <mergeCell ref="M467:O467"/>
    <mergeCell ref="B212:B215"/>
    <mergeCell ref="C215:F215"/>
    <mergeCell ref="M215:O215"/>
    <mergeCell ref="C210:O211"/>
    <mergeCell ref="G146:J146"/>
    <mergeCell ref="B218:B223"/>
    <mergeCell ref="G242:I242"/>
    <mergeCell ref="M278:O279"/>
    <mergeCell ref="C287:F287"/>
    <mergeCell ref="C271:O271"/>
    <mergeCell ref="M272:O272"/>
    <mergeCell ref="B294:B295"/>
    <mergeCell ref="B288:B289"/>
    <mergeCell ref="G290:I290"/>
    <mergeCell ref="B278:B279"/>
    <mergeCell ref="C277:F277"/>
    <mergeCell ref="B239:B244"/>
    <mergeCell ref="B396:D396"/>
    <mergeCell ref="M236:O236"/>
    <mergeCell ref="C235:F235"/>
    <mergeCell ref="M205:O205"/>
    <mergeCell ref="B210:B211"/>
    <mergeCell ref="G212:I212"/>
    <mergeCell ref="G205:I205"/>
    <mergeCell ref="G214:I214"/>
    <mergeCell ref="B202:B203"/>
    <mergeCell ref="G204:I204"/>
    <mergeCell ref="M212:O212"/>
    <mergeCell ref="M214:O214"/>
    <mergeCell ref="B156:I156"/>
    <mergeCell ref="G187:J187"/>
    <mergeCell ref="M240:O240"/>
    <mergeCell ref="B597:E597"/>
    <mergeCell ref="E500:H500"/>
    <mergeCell ref="I500:K500"/>
    <mergeCell ref="L500:O500"/>
    <mergeCell ref="B497:J497"/>
    <mergeCell ref="E499:H499"/>
    <mergeCell ref="E502:H502"/>
    <mergeCell ref="I502:K502"/>
    <mergeCell ref="L502:O502"/>
    <mergeCell ref="I505:K505"/>
    <mergeCell ref="L505:O505"/>
    <mergeCell ref="B504:D504"/>
    <mergeCell ref="E504:H504"/>
    <mergeCell ref="I504:K504"/>
    <mergeCell ref="L504:O504"/>
    <mergeCell ref="B503:D503"/>
    <mergeCell ref="E503:H503"/>
    <mergeCell ref="I503:K503"/>
    <mergeCell ref="L503:O503"/>
    <mergeCell ref="B505:D505"/>
    <mergeCell ref="E505:H505"/>
    <mergeCell ref="I499:K499"/>
    <mergeCell ref="C447:O447"/>
    <mergeCell ref="M451:O451"/>
    <mergeCell ref="G453:I453"/>
    <mergeCell ref="J453:L453"/>
    <mergeCell ref="J464:L464"/>
    <mergeCell ref="C456:O456"/>
    <mergeCell ref="G543:H543"/>
    <mergeCell ref="M453:O453"/>
    <mergeCell ref="C244:F244"/>
    <mergeCell ref="B604:E604"/>
    <mergeCell ref="B598:E598"/>
    <mergeCell ref="B600:E600"/>
    <mergeCell ref="B601:E601"/>
    <mergeCell ref="B587:K587"/>
    <mergeCell ref="B590:H590"/>
    <mergeCell ref="B591:E591"/>
    <mergeCell ref="B596:J596"/>
    <mergeCell ref="G604:J604"/>
    <mergeCell ref="B559:O559"/>
    <mergeCell ref="B561:K561"/>
    <mergeCell ref="B562:L562"/>
    <mergeCell ref="B565:L565"/>
    <mergeCell ref="B569:H569"/>
    <mergeCell ref="J570:O570"/>
    <mergeCell ref="B566:O566"/>
    <mergeCell ref="C570:I570"/>
    <mergeCell ref="L601:O601"/>
    <mergeCell ref="G600:J600"/>
    <mergeCell ref="L600:O600"/>
    <mergeCell ref="G603:J603"/>
    <mergeCell ref="B603:E603"/>
    <mergeCell ref="B594:O594"/>
    <mergeCell ref="J571:O571"/>
    <mergeCell ref="L27:O27"/>
    <mergeCell ref="B29:O29"/>
    <mergeCell ref="B44:D44"/>
    <mergeCell ref="B50:E50"/>
    <mergeCell ref="L72:O73"/>
    <mergeCell ref="L74:O74"/>
    <mergeCell ref="L77:O77"/>
    <mergeCell ref="B153:E154"/>
    <mergeCell ref="B112:E112"/>
    <mergeCell ref="B124:E124"/>
    <mergeCell ref="L65:O65"/>
    <mergeCell ref="L63:O64"/>
    <mergeCell ref="I63:K64"/>
    <mergeCell ref="B65:D65"/>
    <mergeCell ref="B68:J68"/>
    <mergeCell ref="L68:O68"/>
    <mergeCell ref="G134:J134"/>
    <mergeCell ref="G148:J148"/>
    <mergeCell ref="G121:J121"/>
    <mergeCell ref="G138:J138"/>
    <mergeCell ref="G142:J142"/>
    <mergeCell ref="B32:G32"/>
    <mergeCell ref="B54:E54"/>
    <mergeCell ref="B45:E45"/>
    <mergeCell ref="B42:E42"/>
    <mergeCell ref="B51:E51"/>
    <mergeCell ref="B48:E48"/>
    <mergeCell ref="E72:H73"/>
    <mergeCell ref="I72:K73"/>
    <mergeCell ref="B94:D94"/>
    <mergeCell ref="B38:I38"/>
    <mergeCell ref="B41:K41"/>
    <mergeCell ref="J220:L220"/>
    <mergeCell ref="M220:O220"/>
    <mergeCell ref="C221:F221"/>
    <mergeCell ref="G221:I221"/>
    <mergeCell ref="J221:L221"/>
    <mergeCell ref="M221:O221"/>
    <mergeCell ref="M223:O223"/>
    <mergeCell ref="G223:I223"/>
    <mergeCell ref="G229:I230"/>
    <mergeCell ref="J229:L230"/>
    <mergeCell ref="C226:O226"/>
    <mergeCell ref="C224:F224"/>
    <mergeCell ref="M234:O234"/>
    <mergeCell ref="G234:I234"/>
    <mergeCell ref="J233:L233"/>
    <mergeCell ref="M224:O224"/>
    <mergeCell ref="M232:O232"/>
    <mergeCell ref="M231:O231"/>
    <mergeCell ref="G224:I224"/>
    <mergeCell ref="M229:O230"/>
    <mergeCell ref="J232:L232"/>
    <mergeCell ref="J231:L231"/>
    <mergeCell ref="G231:I231"/>
    <mergeCell ref="G222:I222"/>
    <mergeCell ref="C225:O225"/>
    <mergeCell ref="G232:I232"/>
    <mergeCell ref="J239:L239"/>
    <mergeCell ref="C240:F240"/>
    <mergeCell ref="M459:O459"/>
    <mergeCell ref="J472:L472"/>
    <mergeCell ref="C461:F461"/>
    <mergeCell ref="C470:F470"/>
    <mergeCell ref="G473:I473"/>
    <mergeCell ref="G194:J194"/>
    <mergeCell ref="C201:O201"/>
    <mergeCell ref="C223:F223"/>
    <mergeCell ref="M206:O207"/>
    <mergeCell ref="M208:O209"/>
    <mergeCell ref="G208:I209"/>
    <mergeCell ref="C214:F214"/>
    <mergeCell ref="M204:O204"/>
    <mergeCell ref="C204:F204"/>
    <mergeCell ref="J212:L212"/>
    <mergeCell ref="B198:E198"/>
    <mergeCell ref="C205:F205"/>
    <mergeCell ref="G213:I213"/>
    <mergeCell ref="J213:L213"/>
    <mergeCell ref="J205:L205"/>
    <mergeCell ref="G206:I207"/>
    <mergeCell ref="J208:L209"/>
    <mergeCell ref="J206:L207"/>
    <mergeCell ref="C212:F212"/>
    <mergeCell ref="C213:F213"/>
    <mergeCell ref="J214:L214"/>
    <mergeCell ref="G215:I215"/>
    <mergeCell ref="B216:B217"/>
    <mergeCell ref="C218:F218"/>
    <mergeCell ref="J222:L222"/>
    <mergeCell ref="M218:O218"/>
    <mergeCell ref="C222:F222"/>
    <mergeCell ref="C216:O217"/>
    <mergeCell ref="J223:L223"/>
    <mergeCell ref="G218:I218"/>
    <mergeCell ref="J218:L218"/>
    <mergeCell ref="J224:L224"/>
    <mergeCell ref="C229:F230"/>
    <mergeCell ref="C232:F232"/>
    <mergeCell ref="C233:F233"/>
    <mergeCell ref="G233:I233"/>
    <mergeCell ref="M222:O222"/>
    <mergeCell ref="C219:O219"/>
    <mergeCell ref="M233:O233"/>
    <mergeCell ref="C220:F220"/>
    <mergeCell ref="G220:I220"/>
    <mergeCell ref="C252:F252"/>
    <mergeCell ref="J241:L241"/>
    <mergeCell ref="M242:O242"/>
    <mergeCell ref="J240:L240"/>
    <mergeCell ref="C238:O238"/>
    <mergeCell ref="M245:O245"/>
    <mergeCell ref="G239:I239"/>
    <mergeCell ref="C234:F234"/>
    <mergeCell ref="G235:I235"/>
    <mergeCell ref="J235:L235"/>
    <mergeCell ref="G236:I236"/>
    <mergeCell ref="G241:I241"/>
    <mergeCell ref="C239:F239"/>
    <mergeCell ref="J237:L237"/>
    <mergeCell ref="G240:I240"/>
    <mergeCell ref="J234:L234"/>
    <mergeCell ref="J236:L236"/>
    <mergeCell ref="C236:F236"/>
    <mergeCell ref="M235:O235"/>
    <mergeCell ref="M237:O237"/>
    <mergeCell ref="M304:O304"/>
    <mergeCell ref="J311:L311"/>
    <mergeCell ref="M311:O311"/>
    <mergeCell ref="M312:O312"/>
    <mergeCell ref="G315:I316"/>
    <mergeCell ref="M315:O316"/>
    <mergeCell ref="G296:I297"/>
    <mergeCell ref="J296:L297"/>
    <mergeCell ref="M296:O297"/>
    <mergeCell ref="G298:I299"/>
    <mergeCell ref="J313:L314"/>
    <mergeCell ref="M288:O289"/>
    <mergeCell ref="M291:O292"/>
    <mergeCell ref="M294:O294"/>
    <mergeCell ref="J288:L289"/>
    <mergeCell ref="J294:L294"/>
    <mergeCell ref="C293:O293"/>
    <mergeCell ref="M295:O295"/>
    <mergeCell ref="C290:F290"/>
    <mergeCell ref="C291:F292"/>
    <mergeCell ref="J295:L295"/>
    <mergeCell ref="C295:F295"/>
    <mergeCell ref="G291:I292"/>
    <mergeCell ref="J291:L292"/>
    <mergeCell ref="M290:O290"/>
    <mergeCell ref="G294:I294"/>
    <mergeCell ref="G295:I295"/>
    <mergeCell ref="M257:O257"/>
    <mergeCell ref="C262:F262"/>
    <mergeCell ref="C263:F264"/>
    <mergeCell ref="C265:F266"/>
    <mergeCell ref="C254:F254"/>
    <mergeCell ref="C255:F255"/>
    <mergeCell ref="C256:F256"/>
    <mergeCell ref="G254:I254"/>
    <mergeCell ref="G256:I256"/>
    <mergeCell ref="C345:L345"/>
    <mergeCell ref="C336:L336"/>
    <mergeCell ref="M364:O364"/>
    <mergeCell ref="C354:L354"/>
    <mergeCell ref="C355:L355"/>
    <mergeCell ref="C356:L356"/>
    <mergeCell ref="C357:L357"/>
    <mergeCell ref="M352:O352"/>
    <mergeCell ref="C339:L339"/>
    <mergeCell ref="C346:L346"/>
    <mergeCell ref="C340:L340"/>
    <mergeCell ref="C341:L341"/>
    <mergeCell ref="C363:L363"/>
    <mergeCell ref="C364:L364"/>
    <mergeCell ref="C344:L344"/>
    <mergeCell ref="M339:O339"/>
    <mergeCell ref="M340:O340"/>
    <mergeCell ref="M341:O341"/>
    <mergeCell ref="M342:O342"/>
    <mergeCell ref="M343:O343"/>
    <mergeCell ref="M344:O344"/>
    <mergeCell ref="M336:N336"/>
    <mergeCell ref="M354:O354"/>
    <mergeCell ref="M355:O355"/>
    <mergeCell ref="N401:O401"/>
    <mergeCell ref="N399:O400"/>
    <mergeCell ref="N396:O396"/>
    <mergeCell ref="B404:D404"/>
    <mergeCell ref="N403:O403"/>
    <mergeCell ref="C361:L361"/>
    <mergeCell ref="C362:L362"/>
    <mergeCell ref="M358:O358"/>
    <mergeCell ref="M359:O359"/>
    <mergeCell ref="M360:O360"/>
    <mergeCell ref="M361:O361"/>
    <mergeCell ref="M362:O362"/>
    <mergeCell ref="M363:O363"/>
    <mergeCell ref="C359:L359"/>
    <mergeCell ref="C366:L366"/>
    <mergeCell ref="E397:G397"/>
    <mergeCell ref="N385:O385"/>
    <mergeCell ref="M376:O376"/>
    <mergeCell ref="N388:O388"/>
    <mergeCell ref="K389:M389"/>
    <mergeCell ref="C375:L375"/>
    <mergeCell ref="C365:L365"/>
    <mergeCell ref="N386:O386"/>
    <mergeCell ref="M366:O366"/>
    <mergeCell ref="M367:O367"/>
    <mergeCell ref="B394:D394"/>
    <mergeCell ref="B398:D398"/>
    <mergeCell ref="E395:G395"/>
    <mergeCell ref="E396:G396"/>
    <mergeCell ref="B395:D395"/>
    <mergeCell ref="M370:O370"/>
    <mergeCell ref="C376:L376"/>
    <mergeCell ref="N389:O389"/>
    <mergeCell ref="B387:D387"/>
    <mergeCell ref="N407:O408"/>
    <mergeCell ref="E409:G409"/>
    <mergeCell ref="H409:J409"/>
    <mergeCell ref="K409:M409"/>
    <mergeCell ref="N409:O409"/>
    <mergeCell ref="E406:G406"/>
    <mergeCell ref="B399:D399"/>
    <mergeCell ref="B400:D400"/>
    <mergeCell ref="B401:D401"/>
    <mergeCell ref="E398:G398"/>
    <mergeCell ref="H398:J398"/>
    <mergeCell ref="K398:M398"/>
    <mergeCell ref="N406:O406"/>
    <mergeCell ref="K387:M387"/>
    <mergeCell ref="K388:M388"/>
    <mergeCell ref="E389:G389"/>
    <mergeCell ref="N387:O387"/>
    <mergeCell ref="N390:O390"/>
    <mergeCell ref="N391:O391"/>
    <mergeCell ref="B389:D389"/>
    <mergeCell ref="E403:G403"/>
    <mergeCell ref="K405:M405"/>
    <mergeCell ref="H395:J395"/>
    <mergeCell ref="B392:D392"/>
    <mergeCell ref="K391:M391"/>
    <mergeCell ref="H389:J389"/>
    <mergeCell ref="N404:O404"/>
    <mergeCell ref="N398:O398"/>
    <mergeCell ref="H399:J400"/>
    <mergeCell ref="B390:D390"/>
    <mergeCell ref="E382:G382"/>
    <mergeCell ref="B382:D382"/>
    <mergeCell ref="K382:M382"/>
    <mergeCell ref="H382:J382"/>
    <mergeCell ref="H387:J387"/>
    <mergeCell ref="E383:G383"/>
    <mergeCell ref="E385:G385"/>
    <mergeCell ref="E386:G386"/>
    <mergeCell ref="E387:G387"/>
    <mergeCell ref="E380:G380"/>
    <mergeCell ref="H380:J380"/>
    <mergeCell ref="E384:G384"/>
    <mergeCell ref="K383:M383"/>
    <mergeCell ref="K384:M384"/>
    <mergeCell ref="K385:M385"/>
    <mergeCell ref="M365:O365"/>
    <mergeCell ref="C377:L377"/>
    <mergeCell ref="N405:O405"/>
    <mergeCell ref="B393:D393"/>
    <mergeCell ref="B388:D388"/>
    <mergeCell ref="H388:J388"/>
    <mergeCell ref="H392:J392"/>
    <mergeCell ref="E388:G388"/>
    <mergeCell ref="H386:J386"/>
    <mergeCell ref="H403:J403"/>
    <mergeCell ref="E405:G405"/>
    <mergeCell ref="K390:M390"/>
    <mergeCell ref="H390:J390"/>
    <mergeCell ref="H391:J391"/>
    <mergeCell ref="H405:J405"/>
    <mergeCell ref="K380:M380"/>
    <mergeCell ref="N380:O380"/>
    <mergeCell ref="B381:O381"/>
    <mergeCell ref="H396:J396"/>
    <mergeCell ref="E393:G394"/>
    <mergeCell ref="K403:M403"/>
    <mergeCell ref="B405:D405"/>
    <mergeCell ref="B403:D403"/>
    <mergeCell ref="K392:M392"/>
    <mergeCell ref="E401:G401"/>
    <mergeCell ref="E390:G390"/>
    <mergeCell ref="E391:G391"/>
    <mergeCell ref="N392:O392"/>
    <mergeCell ref="N395:O395"/>
    <mergeCell ref="H397:J397"/>
    <mergeCell ref="K395:M395"/>
    <mergeCell ref="N393:O394"/>
    <mergeCell ref="B397:D397"/>
    <mergeCell ref="N397:O397"/>
    <mergeCell ref="H420:I420"/>
    <mergeCell ref="B411:D411"/>
    <mergeCell ref="H383:J383"/>
    <mergeCell ref="H384:J384"/>
    <mergeCell ref="H385:J385"/>
    <mergeCell ref="B407:D407"/>
    <mergeCell ref="B408:D408"/>
    <mergeCell ref="B409:D409"/>
    <mergeCell ref="B406:D406"/>
    <mergeCell ref="B386:D386"/>
    <mergeCell ref="K386:M386"/>
    <mergeCell ref="E404:G404"/>
    <mergeCell ref="H404:J404"/>
    <mergeCell ref="K404:M404"/>
    <mergeCell ref="E407:G408"/>
    <mergeCell ref="H407:J408"/>
    <mergeCell ref="E411:G411"/>
    <mergeCell ref="H411:J411"/>
    <mergeCell ref="K411:M411"/>
    <mergeCell ref="K401:M401"/>
    <mergeCell ref="H401:J401"/>
    <mergeCell ref="K399:M400"/>
    <mergeCell ref="K406:M406"/>
    <mergeCell ref="B412:D412"/>
    <mergeCell ref="K407:M408"/>
    <mergeCell ref="E392:G392"/>
    <mergeCell ref="E399:G400"/>
    <mergeCell ref="B391:D391"/>
    <mergeCell ref="H406:J406"/>
    <mergeCell ref="M449:O449"/>
    <mergeCell ref="N411:O411"/>
    <mergeCell ref="E412:G412"/>
    <mergeCell ref="H412:J412"/>
    <mergeCell ref="K412:M412"/>
    <mergeCell ref="C419:G419"/>
    <mergeCell ref="C420:G420"/>
    <mergeCell ref="B414:D414"/>
    <mergeCell ref="B415:D415"/>
    <mergeCell ref="B410:D410"/>
    <mergeCell ref="J419:L419"/>
    <mergeCell ref="N412:O412"/>
    <mergeCell ref="M421:N421"/>
    <mergeCell ref="J420:L420"/>
    <mergeCell ref="M420:N420"/>
    <mergeCell ref="E410:G410"/>
    <mergeCell ref="H410:J410"/>
    <mergeCell ref="K410:M410"/>
    <mergeCell ref="N410:O410"/>
    <mergeCell ref="B417:O417"/>
    <mergeCell ref="J421:L421"/>
    <mergeCell ref="K413:M414"/>
    <mergeCell ref="N413:O414"/>
    <mergeCell ref="E415:G415"/>
    <mergeCell ref="H415:J415"/>
    <mergeCell ref="K415:M415"/>
    <mergeCell ref="N415:O415"/>
    <mergeCell ref="H419:I419"/>
    <mergeCell ref="B413:D413"/>
    <mergeCell ref="E413:G414"/>
    <mergeCell ref="H413:J414"/>
    <mergeCell ref="M419:N419"/>
    <mergeCell ref="J459:L459"/>
    <mergeCell ref="H424:I424"/>
    <mergeCell ref="C421:G421"/>
    <mergeCell ref="C422:G422"/>
    <mergeCell ref="C424:G424"/>
    <mergeCell ref="H422:I422"/>
    <mergeCell ref="H423:I423"/>
    <mergeCell ref="M424:N424"/>
    <mergeCell ref="M422:N422"/>
    <mergeCell ref="B431:L431"/>
    <mergeCell ref="J423:L423"/>
    <mergeCell ref="J424:L424"/>
    <mergeCell ref="B437:L437"/>
    <mergeCell ref="J450:L450"/>
    <mergeCell ref="B426:J426"/>
    <mergeCell ref="C450:F450"/>
    <mergeCell ref="J422:L422"/>
    <mergeCell ref="G445:I445"/>
    <mergeCell ref="M442:O446"/>
    <mergeCell ref="M423:N423"/>
    <mergeCell ref="H421:I421"/>
    <mergeCell ref="C448:O448"/>
    <mergeCell ref="M450:O450"/>
    <mergeCell ref="J449:L449"/>
    <mergeCell ref="C449:F449"/>
    <mergeCell ref="C423:G423"/>
    <mergeCell ref="J446:L446"/>
    <mergeCell ref="G446:I446"/>
    <mergeCell ref="B432:E432"/>
    <mergeCell ref="B428:P428"/>
    <mergeCell ref="B434:L434"/>
    <mergeCell ref="B438:E438"/>
    <mergeCell ref="J454:L454"/>
    <mergeCell ref="B440:N440"/>
    <mergeCell ref="C452:O452"/>
    <mergeCell ref="C451:F451"/>
    <mergeCell ref="G449:I449"/>
    <mergeCell ref="G450:I450"/>
    <mergeCell ref="G451:I451"/>
    <mergeCell ref="G442:I443"/>
    <mergeCell ref="J442:L443"/>
    <mergeCell ref="G444:I444"/>
    <mergeCell ref="J444:L444"/>
    <mergeCell ref="B442:B446"/>
    <mergeCell ref="C442:F446"/>
    <mergeCell ref="M454:O454"/>
    <mergeCell ref="M455:O455"/>
    <mergeCell ref="J445:L445"/>
    <mergeCell ref="G472:I472"/>
    <mergeCell ref="B441:G441"/>
    <mergeCell ref="J451:L451"/>
    <mergeCell ref="G471:I471"/>
    <mergeCell ref="J471:L471"/>
    <mergeCell ref="C464:F464"/>
    <mergeCell ref="C465:F465"/>
    <mergeCell ref="C469:F469"/>
    <mergeCell ref="C466:F466"/>
    <mergeCell ref="C459:F459"/>
    <mergeCell ref="G459:I459"/>
    <mergeCell ref="C458:F458"/>
    <mergeCell ref="G458:I458"/>
    <mergeCell ref="G464:I464"/>
    <mergeCell ref="M464:O464"/>
    <mergeCell ref="G465:I465"/>
    <mergeCell ref="M469:O469"/>
    <mergeCell ref="C453:F453"/>
    <mergeCell ref="G476:I476"/>
    <mergeCell ref="J469:L469"/>
    <mergeCell ref="C454:F454"/>
    <mergeCell ref="C455:F455"/>
    <mergeCell ref="C457:F457"/>
    <mergeCell ref="G461:I461"/>
    <mergeCell ref="J461:L461"/>
    <mergeCell ref="G463:I463"/>
    <mergeCell ref="J463:L463"/>
    <mergeCell ref="M463:O463"/>
    <mergeCell ref="C475:F475"/>
    <mergeCell ref="G467:I467"/>
    <mergeCell ref="J467:L467"/>
    <mergeCell ref="M461:O461"/>
    <mergeCell ref="C462:O462"/>
    <mergeCell ref="J466:L466"/>
    <mergeCell ref="M466:O466"/>
    <mergeCell ref="G468:I468"/>
    <mergeCell ref="J468:L468"/>
    <mergeCell ref="M468:O468"/>
    <mergeCell ref="G470:I470"/>
    <mergeCell ref="C467:F467"/>
    <mergeCell ref="C468:F468"/>
    <mergeCell ref="C471:F471"/>
    <mergeCell ref="G469:I469"/>
    <mergeCell ref="J465:L465"/>
    <mergeCell ref="M465:O465"/>
    <mergeCell ref="G466:I466"/>
    <mergeCell ref="J473:L473"/>
    <mergeCell ref="G454:I454"/>
    <mergeCell ref="G474:I474"/>
    <mergeCell ref="G457:I457"/>
    <mergeCell ref="G455:I455"/>
    <mergeCell ref="J455:L455"/>
    <mergeCell ref="C473:F473"/>
    <mergeCell ref="J480:L480"/>
    <mergeCell ref="M480:O480"/>
    <mergeCell ref="G480:I480"/>
    <mergeCell ref="C495:F495"/>
    <mergeCell ref="M478:O478"/>
    <mergeCell ref="G477:I477"/>
    <mergeCell ref="M457:O457"/>
    <mergeCell ref="M458:O458"/>
    <mergeCell ref="J457:L457"/>
    <mergeCell ref="J458:L458"/>
    <mergeCell ref="C463:F463"/>
    <mergeCell ref="C474:F474"/>
    <mergeCell ref="G483:I483"/>
    <mergeCell ref="M486:O486"/>
    <mergeCell ref="M495:O495"/>
    <mergeCell ref="G479:I479"/>
    <mergeCell ref="J479:L479"/>
    <mergeCell ref="M489:O489"/>
    <mergeCell ref="C490:O490"/>
    <mergeCell ref="C491:F491"/>
    <mergeCell ref="G491:I491"/>
    <mergeCell ref="J491:L491"/>
    <mergeCell ref="J483:L483"/>
    <mergeCell ref="J470:L470"/>
    <mergeCell ref="M470:O470"/>
    <mergeCell ref="G487:I487"/>
    <mergeCell ref="C483:F483"/>
    <mergeCell ref="D543:F543"/>
    <mergeCell ref="M532:O532"/>
    <mergeCell ref="B514:O514"/>
    <mergeCell ref="L511:O511"/>
    <mergeCell ref="G495:I495"/>
    <mergeCell ref="B510:O510"/>
    <mergeCell ref="M477:O477"/>
    <mergeCell ref="G478:I478"/>
    <mergeCell ref="B516:D516"/>
    <mergeCell ref="M528:O528"/>
    <mergeCell ref="M529:O529"/>
    <mergeCell ref="E518:H518"/>
    <mergeCell ref="I518:K518"/>
    <mergeCell ref="L518:O518"/>
    <mergeCell ref="M472:O472"/>
    <mergeCell ref="M473:O473"/>
    <mergeCell ref="J487:L487"/>
    <mergeCell ref="E516:H516"/>
    <mergeCell ref="J495:L495"/>
    <mergeCell ref="M491:O491"/>
    <mergeCell ref="J486:L486"/>
    <mergeCell ref="G489:I489"/>
    <mergeCell ref="J489:L489"/>
    <mergeCell ref="J484:L484"/>
    <mergeCell ref="M484:O484"/>
    <mergeCell ref="C485:F485"/>
    <mergeCell ref="C488:F488"/>
    <mergeCell ref="G488:I488"/>
    <mergeCell ref="B518:D518"/>
    <mergeCell ref="J477:L477"/>
    <mergeCell ref="C487:F487"/>
    <mergeCell ref="B508:I508"/>
    <mergeCell ref="J474:L474"/>
    <mergeCell ref="M474:O474"/>
    <mergeCell ref="G475:I475"/>
    <mergeCell ref="J475:L475"/>
    <mergeCell ref="M475:O475"/>
    <mergeCell ref="M476:O476"/>
    <mergeCell ref="B498:J498"/>
    <mergeCell ref="B499:D499"/>
    <mergeCell ref="B501:D501"/>
    <mergeCell ref="E501:H501"/>
    <mergeCell ref="C476:F476"/>
    <mergeCell ref="C472:F472"/>
    <mergeCell ref="M471:O471"/>
    <mergeCell ref="B573:N573"/>
    <mergeCell ref="E512:H512"/>
    <mergeCell ref="I512:K512"/>
    <mergeCell ref="L512:O512"/>
    <mergeCell ref="B513:D513"/>
    <mergeCell ref="E513:H513"/>
    <mergeCell ref="I513:K513"/>
    <mergeCell ref="M479:O479"/>
    <mergeCell ref="B511:D511"/>
    <mergeCell ref="L516:O516"/>
    <mergeCell ref="B517:D517"/>
    <mergeCell ref="B500:D500"/>
    <mergeCell ref="E517:H517"/>
    <mergeCell ref="I517:K517"/>
    <mergeCell ref="M530:O530"/>
    <mergeCell ref="M492:O492"/>
    <mergeCell ref="G485:I485"/>
    <mergeCell ref="J485:L485"/>
    <mergeCell ref="C481:F481"/>
    <mergeCell ref="M483:O483"/>
    <mergeCell ref="C484:F484"/>
    <mergeCell ref="I501:K501"/>
    <mergeCell ref="L501:O501"/>
    <mergeCell ref="L499:O499"/>
    <mergeCell ref="J494:L494"/>
    <mergeCell ref="B540:C540"/>
    <mergeCell ref="C528:L528"/>
    <mergeCell ref="C529:L529"/>
    <mergeCell ref="C530:L530"/>
    <mergeCell ref="L515:O515"/>
    <mergeCell ref="B6:C6"/>
    <mergeCell ref="J476:L476"/>
    <mergeCell ref="M485:O485"/>
    <mergeCell ref="C486:F486"/>
    <mergeCell ref="G486:I486"/>
    <mergeCell ref="C477:F477"/>
    <mergeCell ref="C479:F479"/>
    <mergeCell ref="C478:F478"/>
    <mergeCell ref="B523:L523"/>
    <mergeCell ref="C524:L524"/>
    <mergeCell ref="C527:L527"/>
    <mergeCell ref="C533:L533"/>
    <mergeCell ref="C534:L534"/>
    <mergeCell ref="M533:O533"/>
    <mergeCell ref="C532:L532"/>
    <mergeCell ref="B502:D502"/>
    <mergeCell ref="M534:O534"/>
    <mergeCell ref="C480:F480"/>
    <mergeCell ref="M487:O487"/>
    <mergeCell ref="J488:L488"/>
    <mergeCell ref="M488:O488"/>
    <mergeCell ref="B521:D521"/>
    <mergeCell ref="E521:H521"/>
    <mergeCell ref="I521:K521"/>
    <mergeCell ref="L517:O517"/>
    <mergeCell ref="I542:J542"/>
    <mergeCell ref="M535:O535"/>
    <mergeCell ref="B538:L538"/>
    <mergeCell ref="K542:L542"/>
    <mergeCell ref="L520:O520"/>
    <mergeCell ref="G484:I484"/>
    <mergeCell ref="C492:F492"/>
    <mergeCell ref="G492:I492"/>
    <mergeCell ref="J492:L492"/>
    <mergeCell ref="I519:K519"/>
    <mergeCell ref="L519:O519"/>
    <mergeCell ref="B519:D519"/>
    <mergeCell ref="E519:H519"/>
    <mergeCell ref="C489:F489"/>
    <mergeCell ref="C493:O493"/>
    <mergeCell ref="G494:I494"/>
    <mergeCell ref="B509:D509"/>
    <mergeCell ref="E509:H509"/>
    <mergeCell ref="I509:K509"/>
    <mergeCell ref="B506:D506"/>
    <mergeCell ref="E506:H506"/>
    <mergeCell ref="I506:K506"/>
    <mergeCell ref="L506:O506"/>
    <mergeCell ref="C610:E610"/>
    <mergeCell ref="J620:L620"/>
    <mergeCell ref="J626:L626"/>
    <mergeCell ref="J646:L646"/>
    <mergeCell ref="J652:L652"/>
    <mergeCell ref="C571:I571"/>
    <mergeCell ref="B581:E581"/>
    <mergeCell ref="B539:E539"/>
    <mergeCell ref="D542:F542"/>
    <mergeCell ref="K543:L543"/>
    <mergeCell ref="E511:H511"/>
    <mergeCell ref="I511:K511"/>
    <mergeCell ref="L509:O509"/>
    <mergeCell ref="I516:K516"/>
    <mergeCell ref="C525:L525"/>
    <mergeCell ref="M525:O525"/>
    <mergeCell ref="B520:D520"/>
    <mergeCell ref="L513:O513"/>
    <mergeCell ref="B542:C542"/>
    <mergeCell ref="B543:C543"/>
    <mergeCell ref="B512:D512"/>
    <mergeCell ref="B584:H584"/>
    <mergeCell ref="B583:I583"/>
    <mergeCell ref="G597:J597"/>
    <mergeCell ref="G598:J598"/>
    <mergeCell ref="G601:J601"/>
    <mergeCell ref="L598:O598"/>
    <mergeCell ref="B576:O576"/>
    <mergeCell ref="L597:O597"/>
    <mergeCell ref="B580:E580"/>
    <mergeCell ref="G542:H542"/>
    <mergeCell ref="C531:L531"/>
    <mergeCell ref="G20:J20"/>
    <mergeCell ref="B9:O11"/>
    <mergeCell ref="C227:O228"/>
    <mergeCell ref="L521:O521"/>
    <mergeCell ref="B579:J579"/>
    <mergeCell ref="M542:O542"/>
    <mergeCell ref="M543:O543"/>
    <mergeCell ref="C494:F494"/>
    <mergeCell ref="M494:O494"/>
    <mergeCell ref="C535:L535"/>
    <mergeCell ref="C326:F326"/>
    <mergeCell ref="C327:F327"/>
    <mergeCell ref="G324:I324"/>
    <mergeCell ref="G322:I322"/>
    <mergeCell ref="G323:I323"/>
    <mergeCell ref="G325:I325"/>
    <mergeCell ref="G327:I327"/>
    <mergeCell ref="G326:I326"/>
    <mergeCell ref="M531:O531"/>
    <mergeCell ref="C482:O482"/>
    <mergeCell ref="E520:H520"/>
    <mergeCell ref="I520:K520"/>
    <mergeCell ref="G481:I481"/>
    <mergeCell ref="J481:L481"/>
    <mergeCell ref="M481:O481"/>
    <mergeCell ref="M524:O524"/>
    <mergeCell ref="M527:O527"/>
    <mergeCell ref="B515:D515"/>
    <mergeCell ref="E515:H515"/>
    <mergeCell ref="I515:K515"/>
    <mergeCell ref="J478:L478"/>
    <mergeCell ref="I543:J543"/>
    <mergeCell ref="I66:K66"/>
    <mergeCell ref="E66:H66"/>
    <mergeCell ref="L66:O66"/>
    <mergeCell ref="B66:D66"/>
    <mergeCell ref="E75:H75"/>
    <mergeCell ref="I75:K75"/>
    <mergeCell ref="B75:D75"/>
    <mergeCell ref="L75:O75"/>
    <mergeCell ref="G544:H544"/>
    <mergeCell ref="G545:H545"/>
    <mergeCell ref="G546:H546"/>
    <mergeCell ref="G547:H547"/>
    <mergeCell ref="G548:H548"/>
    <mergeCell ref="G549:H549"/>
    <mergeCell ref="G550:H550"/>
    <mergeCell ref="G551:H551"/>
    <mergeCell ref="G552:H552"/>
    <mergeCell ref="G553:H553"/>
    <mergeCell ref="G554:H554"/>
    <mergeCell ref="G555:H555"/>
    <mergeCell ref="G556:H556"/>
    <mergeCell ref="G557:H557"/>
    <mergeCell ref="D544:F544"/>
    <mergeCell ref="D545:F545"/>
    <mergeCell ref="D546:F546"/>
    <mergeCell ref="D547:F547"/>
    <mergeCell ref="D548:F548"/>
    <mergeCell ref="D549:F549"/>
    <mergeCell ref="D550:F550"/>
    <mergeCell ref="D551:F551"/>
    <mergeCell ref="D552:F552"/>
    <mergeCell ref="D553:F553"/>
    <mergeCell ref="D554:F554"/>
    <mergeCell ref="D555:F555"/>
    <mergeCell ref="D556:F556"/>
    <mergeCell ref="D557:F557"/>
    <mergeCell ref="K544:L544"/>
    <mergeCell ref="K545:L545"/>
    <mergeCell ref="K546:L546"/>
    <mergeCell ref="K547:L547"/>
    <mergeCell ref="K548:L548"/>
    <mergeCell ref="K549:L549"/>
    <mergeCell ref="K550:L550"/>
    <mergeCell ref="K551:L551"/>
    <mergeCell ref="K552:L552"/>
    <mergeCell ref="K553:L553"/>
    <mergeCell ref="K554:L554"/>
    <mergeCell ref="K555:L555"/>
    <mergeCell ref="K556:L556"/>
    <mergeCell ref="K557:L557"/>
    <mergeCell ref="B544:C544"/>
    <mergeCell ref="B545:C545"/>
    <mergeCell ref="B546:C546"/>
    <mergeCell ref="B547:C547"/>
    <mergeCell ref="B548:C548"/>
    <mergeCell ref="B549:C549"/>
    <mergeCell ref="B550:C550"/>
    <mergeCell ref="B551:C551"/>
    <mergeCell ref="B552:C552"/>
    <mergeCell ref="B553:C553"/>
    <mergeCell ref="B554:C554"/>
    <mergeCell ref="B555:C555"/>
    <mergeCell ref="B556:C556"/>
    <mergeCell ref="B557:C557"/>
    <mergeCell ref="M544:O544"/>
    <mergeCell ref="M545:O545"/>
    <mergeCell ref="M546:O546"/>
    <mergeCell ref="M547:O547"/>
    <mergeCell ref="M548:O548"/>
    <mergeCell ref="M549:O549"/>
    <mergeCell ref="M550:O550"/>
    <mergeCell ref="M551:O551"/>
    <mergeCell ref="M552:O552"/>
    <mergeCell ref="M553:O553"/>
    <mergeCell ref="M554:O554"/>
    <mergeCell ref="M555:O555"/>
    <mergeCell ref="M556:O556"/>
    <mergeCell ref="M557:O557"/>
    <mergeCell ref="I544:J544"/>
    <mergeCell ref="I545:J545"/>
    <mergeCell ref="I546:J546"/>
    <mergeCell ref="I547:J547"/>
    <mergeCell ref="I548:J548"/>
    <mergeCell ref="I549:J549"/>
    <mergeCell ref="I550:J550"/>
    <mergeCell ref="I551:J551"/>
    <mergeCell ref="I552:J552"/>
    <mergeCell ref="I553:J553"/>
    <mergeCell ref="I554:J554"/>
    <mergeCell ref="I555:J555"/>
    <mergeCell ref="I556:J556"/>
    <mergeCell ref="I557:J557"/>
  </mergeCells>
  <dataValidations count="292">
    <dataValidation type="textLength" allowBlank="1" showInputMessage="1" showErrorMessage="1" promptTitle="DIN or income-tax PAN" prompt="Please enter a valid DIN or Income tax PAN." errorTitle="Invalid DIN/PAN" error="Please enter a valid DIN or Income tax PAN." sqref="B65:D66">
      <formula1>8</formula1>
      <formula2>10</formula2>
    </dataValidation>
    <dataValidation type="date" allowBlank="1" showInputMessage="1" showErrorMessage="1" promptTitle="Date of FS signing" prompt="Please enter a valid date of signing of financial statements" errorTitle="Invalid Date" error="Please enter a valid date of signing of financial statements" sqref="AA76">
      <formula1>H34</formula1>
      <formula2>TODAY()</formula2>
    </dataValidation>
    <dataValidation type="textLength" operator="lessThanOrEqual" allowBlank="1" showInputMessage="1" showErrorMessage="1" promptTitle="Address Line 2" prompt="Please enter address line 2." errorTitle="Invalid entry" error="Address line entry should be maximum 160 characters." sqref="Q171 P183 R183">
      <formula1>160</formula1>
    </dataValidation>
    <dataValidation type="textLength" operator="lessThanOrEqual" allowBlank="1" showInputMessage="1" showErrorMessage="1" promptTitle="Membership number of member" prompt="Please enter valid membership number of member " errorTitle="Invalid membership/registration#" error="Please enter valid membership number of member" sqref="L160">
      <formula1>6</formula1>
    </dataValidation>
    <dataValidation type="textLength" operator="lessThanOrEqual" allowBlank="1" showInputMessage="1" showErrorMessage="1" promptTitle="City" prompt="Please enter City name." errorTitle="Invalid entry" error="City name should be maximum 50 characters." sqref="Q140 R152 P153 Q179 P191 R191">
      <formula1>50</formula1>
    </dataValidation>
    <dataValidation type="decimal" allowBlank="1" showInputMessage="1" showErrorMessage="1" promptTitle="Please enter a valid amount" prompt="Please enter a valid amount" errorTitle="Invalid amount" error="Amount should be more than 0.00 and less than 999999999999999.99" sqref="P403:P413 P415 R421:R440 R442:R454">
      <formula1>0</formula1>
      <formula2>999999999999999</formula2>
    </dataValidation>
    <dataValidation type="custom" allowBlank="1" showInputMessage="1" showErrorMessage="1" sqref="K16">
      <formula1>AND(ISERROR(FIND(" ",B1)),LEN(B1)-LEN(SUBSTITUTE(B1,"@",""))=1,IFERROR(SEARCH("@",B1)&lt;SEARCH(".",B1,SEARCH("@",B1)),0),NOT(IFERROR(SEARCH("@",B1),0)=1),NOT(IFERROR(SEARCH(".",B1,SEARCH("@",B1))-SEARCH("@",B1),0)=1),LEFT(B1,1)&lt;&gt;".",RIGHT(B1,1)&lt;&gt;".")</formula1>
    </dataValidation>
    <dataValidation type="textLength" operator="equal" allowBlank="1" showInputMessage="1" showErrorMessage="1" promptTitle="SRN of form INC-28" prompt="Please enter a valid SRN." errorTitle="Invalid SRN" error="Please enter a valid SRN. SRN should be 10 characters." sqref="D59:F59">
      <formula1>10</formula1>
    </dataValidation>
    <dataValidation type="textLength" operator="lessThanOrEqual" allowBlank="1" showInputMessage="1" showErrorMessage="1" promptTitle="Address Line 1" prompt="Please enter address line 1." errorTitle="Invalid entry" error="Address line entry should be maximum 160 characters." sqref="Q169 P181 R181">
      <formula1>160</formula1>
    </dataValidation>
    <dataValidation type="textLength" operator="equal" allowBlank="1" showInputMessage="1" showErrorMessage="1" promptTitle="CIN" prompt="Please enter a valid corporate identity number." errorTitle="Invalid CIN" error="Please enter a valid Active/under CIRP/Under liquidation CIN." sqref="F18">
      <formula1>21</formula1>
    </dataValidation>
    <dataValidation type="textLength" operator="lessThanOrEqual" allowBlank="1" showInputMessage="1" showErrorMessage="1" promptTitle="Change Reason" prompt="Please enter change reason." errorTitle="Invalid entry" error="Change reason entry should be maximum 250 characters." sqref="N254">
      <formula1>250</formula1>
    </dataValidation>
    <dataValidation type="custom" allowBlank="1" showInputMessage="1" showErrorMessage="1" sqref="B1">
      <formula1>AND(ISERROR(FIND(" ",B1)),LEN(B1)-LEN(SUBSTITUTE(B1,"@",""))=1,IFERROR(SEARCH("@",B1)&lt;SEARCH(".",B1,SEARCH("@",B1)),0),NOT(IFERROR(SEARCH("@",B1),0)=1),NOT(IFERROR(SEARCH(".",B1,SEARCH("@",B1))-SEARCH("@",B1),0)=1),LEFT(B1,1)&lt;&gt;".",RIGHT(B1,1)&lt;&gt;".")</formula1>
    </dataValidation>
    <dataValidation type="custom" allowBlank="1" showInputMessage="1" showErrorMessage="1" errorTitle="Invalid input" error="Please enter valid amount max allowed 999999999999999.99" sqref="C1 G204:L209 G212:L215 G218:L218 G220:L223 G229:J237 K229:L232 K234:L237 G239:L244 G252:L252 G254:L262 G265:L266 G272:L277 G280:L281 G287:L290 G294:L295 G298:L299 G304:L307 G311:L312 G315:L316 G321:I322 J321 J322:L323 P328 M330:M368 N330:O334 N337:O368 M371:O377 E382:O382 E383:G400 H383:M394 N383:O400 B395:D395 H396:M400 B401:D401 E403:O403 E405:M409 N405:O408 E410:O414 M420:N424 G449:L451 G453:L455 G457:L460 G463:L475 G478:L478 J480:L480 G483:L484 G486:L487 G491:L492 G494:L495 E500:K505 E511:K513 E515:K520 M524:O524 M529:O536 S529:U529 G543:H557 M543:O557">
      <formula1>AND(ISNUMBER(VALUE(B1)),LEN(B1)&lt;20,LEFT(B1,1)&lt;&gt;".",RIGHT(B1,1)&lt;&gt;".",IFERROR(FIND(".",B1),LEN(B1)-2)&gt;=LEN(B1)-2,IFERROR(FIND(".",SUBSTITUTE(SUBSTITUTE(B1,"+",""),"-","")),LEN(SUBSTITUTE(SUBSTITUTE(B1,"+",""),"-",""))+1)&lt;17)</formula1>
    </dataValidation>
    <dataValidation type="date" allowBlank="1" showInputMessage="1" showErrorMessage="1" promptTitle="Date of FS signing" prompt="Please enter a valid date (DD/MM/YYY) of signing of financial statements." errorTitle="Invalid date" error="Please enter a valid date (DD/MM/YYY) of signing of financial statements." sqref="Q60 R73">
      <formula1>DATEVALUE($B$30)</formula1>
      <formula2>TODAY()</formula2>
    </dataValidation>
    <dataValidation type="date" allowBlank="1" showInputMessage="1" showErrorMessage="1" promptTitle="Date of FS signing" prompt="Please enter a valid date (DD/MM/YYY) of signing of financial statements." errorTitle="Invalid date" error="Please enter a valid date (DD/MM/YYY) of signing of financial statements" sqref="Q70 R83 P84">
      <formula1>DATEVALUE($B$30)</formula1>
      <formula2>TODAY()</formula2>
    </dataValidation>
    <dataValidation type="date" allowBlank="1" showInputMessage="1" showErrorMessage="1" promptTitle="AGM Date" prompt="Please enter a valid date (DD/MM/YYY)." errorTitle="Invalid date" error="Please enter a valid date (DD/MM/YYY)." sqref="P95">
      <formula1>DATEVALUE(O27)</formula1>
      <formula2>TODAY()</formula2>
    </dataValidation>
    <dataValidation type="date" allowBlank="1" showInputMessage="1" showErrorMessage="1" promptTitle="Due date of AGM" prompt="Please enter valid date (DD/MM/YYY) of Board of directors' meeting in which financial statements are approved." errorTitle="Invalid date" error="Please enter a valid date (DD/MM/YYY) prior to today and later than financial year end date." sqref="P98">
      <formula1>DATEVALUE(O27)</formula1>
      <formula2>TODAY()</formula2>
    </dataValidation>
    <dataValidation type="textLength" operator="equal" allowBlank="1" showInputMessage="1" showErrorMessage="1" promptTitle="SRN of GNL-1" prompt="Please enter a valid SRN." errorTitle="Invalid SRN" error="Please enter a valid SRN." sqref="Q89 R101 P102 P104">
      <formula1>10</formula1>
    </dataValidation>
    <dataValidation type="textLength" operator="equal" allowBlank="1" showInputMessage="1" showErrorMessage="1" promptTitle="CIN of the holding company" prompt="Please enter a valid CIN." errorTitle="Invalid CIN" error="Please enter a valid CIN." sqref="Q99 R109 P110">
      <formula1>21</formula1>
    </dataValidation>
    <dataValidation type="textLength" operator="equal" allowBlank="1" showInputMessage="1" showErrorMessage="1" promptTitle="Pincode/Zipcode" prompt="Please enter Pincode/Zipcode." errorTitle="Invalid entry" error="Pincode/Zipcode should be maximum 10 characters." sqref="Q175 P187 R187">
      <formula1>10</formula1>
    </dataValidation>
    <dataValidation type="textLength" operator="lessThanOrEqual" allowBlank="1" showInputMessage="1" showErrorMessage="1" promptTitle="Area/Locality" prompt="Please enter Area/Locality." errorTitle="Invalid entry" error="Area/Locality entry should be maximum 100 characters." sqref="Q177 P189 R189">
      <formula1>100</formula1>
    </dataValidation>
    <dataValidation type="textLength" operator="lessThanOrEqual" allowBlank="1" showInputMessage="1" showErrorMessage="1" promptTitle="District" prompt="Please enter District name" errorTitle="Invalid entry" error="District name should be maximum 50 characters." sqref="Q181 P193 R193">
      <formula1>50</formula1>
    </dataValidation>
    <dataValidation type="textLength" operator="lessThanOrEqual" allowBlank="1" showInputMessage="1" showErrorMessage="1" promptTitle="State/UT" prompt="Please enter State/UT" errorTitle="Invalid Entry" error="State/UT name should ve maximum 50 characters." sqref="Q183 P195 R195">
      <formula1>50</formula1>
    </dataValidation>
    <dataValidation type="textLength" operator="lessThanOrEqual" allowBlank="1" showInputMessage="1" showErrorMessage="1" promptTitle="Service Provider Name" prompt="Please enter name of the service provider." errorTitle="Invalid entry" error="Name of the service provider should be maximum 160 characters." sqref="Q187 P199 R199">
      <formula1>160</formula1>
    </dataValidation>
    <dataValidation type="textLength" operator="lessThanOrEqual" allowBlank="1" showInputMessage="1" showErrorMessage="1" promptTitle="Service Provider IP Address" prompt="Please enter IP Address of the service provider" errorTitle="Invalid entry" error="IP Address of the service provider should be maximum 100 characters." sqref="Q189 P201">
      <formula1>100</formula1>
    </dataValidation>
    <dataValidation type="textLength" operator="lessThanOrEqual" allowBlank="1" showInputMessage="1" showErrorMessage="1" promptTitle="Service Provider Location" prompt="Please enter location of the service provider." errorTitle="Invalid entry" error="Location of the service provider should be maximum 500 characters." sqref="Q191">
      <formula1>500</formula1>
    </dataValidation>
    <dataValidation type="textLength" operator="lessThanOrEqual" allowBlank="1" showInputMessage="1" showErrorMessage="1" promptTitle="Service Provider Address" prompt="Please enter address of the service provider." errorTitle="Invalid Entry" error="Address of the service provider should be maximum 250 characters." sqref="Q195 R207">
      <formula1>250</formula1>
    </dataValidation>
    <dataValidation type="whole" allowBlank="1" showInputMessage="1" showErrorMessage="1" promptTitle="Number of members " prompt="Please enter a valid number of members of the company as on the date of filing." errorTitle="Invalid input" error="Please enter valid number of members of the company as on the date of filing." sqref="P18:Q18 R20">
      <formula1>1</formula1>
      <formula2>10000</formula2>
    </dataValidation>
    <dataValidation type="custom" operator="lessThan" allowBlank="1" showInputMessage="1" showErrorMessage="1" promptTitle="Email address" prompt="Please enter a valid email address." errorTitle="Invalid email address" error="Please enter a valid email address." sqref="P22:Q22 R24">
      <formula1>ISNUMBER(MATCH("*@*.?*",P22,0))</formula1>
    </dataValidation>
    <dataValidation type="date" operator="greaterThan" allowBlank="1" showInputMessage="1" showErrorMessage="1" promptTitle="Enter Valid Dat" sqref="B29:Q29 R31">
      <formula1>DATE(2014,4,1)</formula1>
    </dataValidation>
    <dataValidation type="textLength" operator="equal" allowBlank="1" showInputMessage="1" showErrorMessage="1" promptTitle="SRN of form AOC-4 " prompt="Please enter a valid SRN." errorTitle="Invalid SRN" error="Please enter a valid SRN. SRN should be 10 characters." sqref="R58 M59:P59">
      <formula1>10</formula1>
    </dataValidation>
    <dataValidation type="date" allowBlank="1" showInputMessage="1" showErrorMessage="1" promptTitle="AGM Date" prompt="Please enter a valid date (DD/MM/YYY)." errorTitle="Invalid date" error="Please enter a valid date (DD/MM/YYY)." sqref="R94">
      <formula1>DATEVALUE(P27)</formula1>
      <formula2>TODAY()</formula2>
    </dataValidation>
    <dataValidation type="date" allowBlank="1" showInputMessage="1" showErrorMessage="1" promptTitle="AGM Date" prompt="Please enter a valid date (DD/MM/YYY)." errorTitle="Invalid date" error="Please enter a valid date (DD/MM/YYY)." sqref="Q82">
      <formula1>DATEVALUE(O27)</formula1>
      <formula2>TODAY()</formula2>
    </dataValidation>
    <dataValidation type="date" allowBlank="1" showInputMessage="1" showErrorMessage="1" promptTitle="Due date of AGM" prompt="Please enter valid date (DD/MM/YYY) of Board of directors' meeting in which financial statements are approved." errorTitle="Invalid date" error="Please enter a valid date (DD/MM/YYY) prior to today and later than financial year end date." sqref="R97">
      <formula1>DATEVALUE(P27)</formula1>
      <formula2>TODAY()</formula2>
    </dataValidation>
    <dataValidation type="date" allowBlank="1" showInputMessage="1" showErrorMessage="1" promptTitle="Due date of AGM" prompt="Please enter valid date (DD/MM/YYY) of Board of directors' meeting in which financial statements are approved." errorTitle="Invalid date" error="Please enter a valid date (DD/MM/YYY) prior to today and later than financial year end date." sqref="Q85">
      <formula1>DATEVALUE(O27)</formula1>
      <formula2>TODAY()</formula2>
    </dataValidation>
    <dataValidation type="date" allowBlank="1" showInputMessage="1" showErrorMessage="1" promptTitle="Board of Director meeting date" prompt="Please enter a valid date (DD/MM/YYY) prior to today and later than the date of Board of directors' meeting in which boards' report referred under section 134 was approved" errorTitle="Invalid Date" error="Please enter a valid date (DD/MM/YYY) prior to today and later than the date of Board of directors' meeting in which boards' report referred under section 134 was approved" sqref="R76:R77">
      <formula1>DATEVALUE(G30)</formula1>
      <formula2>TODAY()</formula2>
    </dataValidation>
    <dataValidation type="date" operator="greaterThanOrEqual" allowBlank="1" showInputMessage="1" showErrorMessage="1" promptTitle="Due date of AGM after extension" prompt="Please enter valid due date (DD/MM/YYY) of AGM after grant of extension." errorTitle="Invalid date" error="Please enter valid due date (DD/MM/YYY) of AGM after grant of extension which should be later than due date of AGM." sqref="Q91 R103">
      <formula1>Q85</formula1>
    </dataValidation>
    <dataValidation type="date" allowBlank="1" showInputMessage="1" showErrorMessage="1" promptTitle="Board of Director meeting date" prompt="Please enter a valid date (DD/MM/YYY) prior to today and later than the date of Board of directors' meeting in which boards' report referred under section 134 was approved" errorTitle="Invalid Date" error="Please enter a valid date (DD/MM/YYY) prior to today and later than the date of Board of directors' meeting in which boards' report referred under section 134 was approved" sqref="Q63">
      <formula1>DATEVALUE(F31)</formula1>
      <formula2>TODAY()</formula2>
    </dataValidation>
    <dataValidation operator="equal" allowBlank="1" showInputMessage="1" showErrorMessage="1" errorTitle="Invalid CIN" error="Please enter a valid Active/under CIRP/Under liquidation CIN." sqref="B18:E18"/>
    <dataValidation operator="equal" allowBlank="1" showInputMessage="1" showErrorMessage="1" sqref="G89:J89 G91:J91 G99:J99"/>
    <dataValidation type="custom" allowBlank="1" showInputMessage="1" showErrorMessage="1" errorTitle="Invalid input" error="Please enter valid amount less than 999999999999999.99" sqref="A1">
      <formula1>AND(ISNUMBER(VALUE(A1)),LEN(A1)&lt;20,LEFT(A1,1)&lt;&gt;".",RIGHT(A1,1)&lt;&gt;".",IFERROR(FIND(".",A1),LEN(A1)-2)&gt;=LEN(A1)-2,IFERROR(FIND(".",SUBSTITUTE(SUBSTITUTE(A1,"+",""),"-","")),LEN(SUBSTITUTE(SUBSTITUTE(A1,"+",""),"-",""))+1)&lt;17)</formula1>
    </dataValidation>
    <dataValidation allowBlank="1" showInputMessage="1" showErrorMessage="1" errorTitle="Invalid input" error="Please enter valid amount max allowed 999999999999999.99" sqref="G224:L224 G245:L245 G263:L264 G278:L279 G291:L292 G296:O297 G308:L309 G313:L314 G324:L324 Q325:R326 G326 J326 P329 H395:M395 E401:O401 E404:O404 B409:D409 N409:O409 B415:O415 G461:L461 G476:L477 G479:L479 G481:L481 G485:L485 G488:L489"/>
    <dataValidation type="textLength" operator="lessThanOrEqual" allowBlank="1" showInputMessage="1" showErrorMessage="1" errorTitle="Invalid input" error="Please enter valid value max length allowed 160. " sqref="G185:J185 G598:J598 L601:O601">
      <formula1>160</formula1>
    </dataValidation>
    <dataValidation type="textLength" operator="lessThanOrEqual" allowBlank="1" showInputMessage="1" showErrorMessage="1" errorTitle="Invalid input" error="Please enter valid value max length allowed 100. " sqref="G187:J187">
      <formula1>100</formula1>
    </dataValidation>
    <dataValidation type="textLength" operator="lessThanOrEqual" allowBlank="1" showInputMessage="1" showErrorMessage="1" errorTitle="Invalid input" error="Please enter valid value max length allowed 500. " sqref="G189:J189 M370:O370 B432:E432 B438:E438 B594:O594">
      <formula1>500</formula1>
    </dataValidation>
    <dataValidation type="textLength" operator="lessThanOrEqual" allowBlank="1" showInputMessage="1" showErrorMessage="1" errorTitle="Invalid input" error="Please enter valid value max length allowed 250. " sqref="G194:J194 M204:O209 M212:O215 M218:O218 M220:O224 M229:O237 M239:O245 M252:O252 M254:O266 M272:O281 M287:O292 M294:O295 M298:O299 M304:O309 M311:O316 M321:O327 B394:D394 B400:D400 B408:D408 B414:D414 M449:O451 M453:O455 M457:O461 M463:O481 M483:O489 M491:O492 M494:O495 L500:O506 L511:O513 L515:O521">
      <formula1>250</formula1>
    </dataValidation>
    <dataValidation type="whole" allowBlank="1" showInputMessage="1" showErrorMessage="1" errorTitle="Invalid input" error="Please enter valid value between 1 and 15." sqref="B540:C540">
      <formula1>0</formula1>
      <formula2>15</formula2>
    </dataValidation>
    <dataValidation type="textLength" operator="equal" allowBlank="1" showInputMessage="1" showErrorMessage="1" errorTitle="Invalid input" error="Please enter valid 4 digit code." sqref="B543:C557">
      <formula1>4</formula1>
    </dataValidation>
    <dataValidation type="textLength" operator="lessThanOrEqual" allowBlank="1" showInputMessage="1" showErrorMessage="1" errorTitle="Invalid input" error="Please enter valid value max length allowed 50. " sqref="D543:F557 K543:L557">
      <formula1>50</formula1>
    </dataValidation>
    <dataValidation type="textLength" operator="equal" allowBlank="1" showInputMessage="1" showErrorMessage="1" errorTitle="Invalid input" error="Please enter valid value max length allowed 8." sqref="I543:J557">
      <formula1>8</formula1>
    </dataValidation>
    <dataValidation type="textLength" operator="lessThanOrEqual" allowBlank="1" showInputMessage="1" showErrorMessage="1" errorTitle="Invalid input" error="Please enter valid value max length allowed 1000. " sqref="C571:O571">
      <formula1>1000</formula1>
    </dataValidation>
    <dataValidation type="whole" allowBlank="1" showInputMessage="1" showErrorMessage="1" errorTitle="Invalid input" error="Please enter valid value between 1 and 20" sqref="B591:E591">
      <formula1>1</formula1>
      <formula2>20</formula2>
    </dataValidation>
    <dataValidation type="textLength" operator="lessThanOrEqual" allowBlank="1" showInputMessage="1" showErrorMessage="1" errorTitle="Invalid input" error="Please enter valid value max length allowed 75. " sqref="B598:E598">
      <formula1>75</formula1>
    </dataValidation>
    <dataValidation type="textLength" operator="lessThanOrEqual" allowBlank="1" showInputMessage="1" showErrorMessage="1" errorTitle="Invalid input" error="Please enter valid value max length allowed 21. " sqref="L598:O598 B601:E601 G601:J601">
      <formula1>21</formula1>
    </dataValidation>
    <dataValidation type="textLength" operator="lessThanOrEqual" allowBlank="1" showInputMessage="1" showErrorMessage="1" errorTitle="Invalid input" error="Please enter valid value max length allowed 10. " sqref="B604:E604">
      <formula1>10</formula1>
    </dataValidation>
    <dataValidation type="date" allowBlank="1" showInputMessage="1" showErrorMessage="1" promptTitle="Board of Director meeting date" prompt="Please enter a valid date (DD/MM/YYY) prior to today and later than the date of Board of directors' meeting in which boards' report referred under section 134 was approved" errorTitle="Invalid Date" error="Please enter a valid date (DD/MM/YYY) prior to today and later than the date of Board of directors' meeting in which boards' report referred under section 134 was approved" sqref="P77:P78">
      <formula1>DATEVALUE(E30)</formula1>
      <formula2>TODAY()</formula2>
    </dataValidation>
    <dataValidation type="list" operator="equal" allowBlank="1" showInputMessage="1" showErrorMessage="1" sqref="G103:J103">
      <formula1>$BZ$2:$BZ$3</formula1>
    </dataValidation>
    <dataValidation type="textLength" operator="lessThanOrEqual" allowBlank="1" showInputMessage="1" showErrorMessage="1" promptTitle="Address Line 1" prompt="Please enter address line 1" errorTitle="Invalid entry" error="Address line entry should be max 160 characters" sqref="F129">
      <formula1>160</formula1>
    </dataValidation>
    <dataValidation allowBlank="1" showInputMessage="1" showErrorMessage="1" errorTitle="Invalid input" sqref="O335:O336"/>
    <dataValidation type="custom" allowBlank="1" showInputMessage="1" showErrorMessage="1" error="Please enter valid resolution number." sqref="I609">
      <formula1>AND(LEN(I609)&lt;=10,ISNUMBER(SUMPRODUCT(SEARCH(MID(I609,ROW(INDIRECT("1:10")),1),"0123456789abcdefghijklmnopqrstuvwxyzABCDEFGHIJKLMNOPQRSTUVWXYZ"))))</formula1>
    </dataValidation>
    <dataValidation type="custom" allowBlank="1" showInputMessage="1" showErrorMessage="1" error="Please enter a valid DIN or PAN." sqref="J626">
      <formula1>AND(LEN(J626)&lt;=10,ISNUMBER(SUMPRODUCT(SEARCH(MID(J626,ROW(INDIRECT("1:10")),1),"0123456789abcdefghijklmnopqrstuvwxyzABCDEFGHIJKLMNOPQRSTUVWXYZ"))))</formula1>
    </dataValidation>
    <dataValidation type="custom" allowBlank="1" showInputMessage="1" showErrorMessage="1" error="Please enter a valid membership  number, It should be less than or equal to numeric 6 characters. " sqref="J652:L652">
      <formula1>AND(ISNUMBER(J652+0),LEN(J652)&lt;=6)</formula1>
    </dataValidation>
    <dataValidation type="custom" allowBlank="1" showInputMessage="1" showErrorMessage="1" errorTitle="Invalid input" error="Please enter valid resolution number, It should be less than or equal to alphanumeric 160 characters" sqref="M609">
      <formula1>AND(LEN(M609)&lt;=160,SUMPRODUCT(--ISNUMBER(SEARCH(MID(M609,ROW(INDIRECT("1:"&amp;LEN(M609))),1),"0123456789ABCDEFGHIJKLMNOPQRSTUVWXYZabcdefghijklmnopqrstuvwxyz")))&gt;0)</formula1>
    </dataValidation>
    <dataValidation type="custom" allowBlank="1" showInputMessage="1" showErrorMessage="1" errorTitle="Invalid input" error="Please enter valid resolution number, It should be less than or equal to alphanumeric 10 characters" sqref="J609:L609">
      <formula1>AND(LEN(J609)&lt;=10,SUMPRODUCT(--ISNUMBER(SEARCH(MID(J609,ROW(INDIRECT("1:"&amp;LEN(J609))),1),"0123456789ABCDEFGHIJKLMNOPQRSTUVWXYZabcdefghijklmnopqrstuvwxyz")))&gt;0)</formula1>
    </dataValidation>
    <dataValidation type="custom" allowBlank="1" showInputMessage="1" showErrorMessage="1" errorTitle="Invalid input" error="Please enter valid certificate of practice number, It should be less than or equal to alphanumeric 6 characters" sqref="J654:M654">
      <formula1>AND(LEN(J654)&lt;=6,SUMPRODUCT(--ISNUMBER(SEARCH(MID(J654,ROW(INDIRECT("1:"&amp;LEN(J654))),1),"0123456789ABCDEFGHIJKLMNOPQRSTUVWXYZabcdefghijklmnopqrstuvwxyz")))&gt;0)</formula1>
    </dataValidation>
    <dataValidation type="textLength" allowBlank="1" showInputMessage="1" showErrorMessage="1" error="Please enter valid value max length allowed 160. " sqref="G101:J101">
      <formula1>1</formula1>
      <formula2>160</formula2>
    </dataValidation>
    <dataValidation type="custom" allowBlank="1" showInputMessage="1" showErrorMessage="1" errorTitle="Invalid input" error="Please enter valid amount max allowed 999999.999" sqref="M525:O525">
      <formula1>AND(ISNUMBER(VALUE(M525)),LEN(M525)&lt;20,LEFT(M525,1)&lt;&gt;".",RIGHT(M525,1)&lt;&gt;".",IFERROR(FIND(".",M525),LEN(M525)-3)&gt;=LEN(M525)-3,IFERROR(FIND(".",SUBSTITUTE(SUBSTITUTE(M525,"+",""),"-","")),LEN(SUBSTITUTE(SUBSTITUTE(M525,"+",""),"-",""))+1)&lt;17)</formula1>
    </dataValidation>
    <dataValidation type="textLength" allowBlank="1" showInputMessage="1" showErrorMessage="1" errorTitle="Invalid DIN/PAN" error="Please enter a valid DIN or Income tax PAN." sqref="B65:D66">
      <formula1>8</formula1>
      <formula2>10</formula2>
    </dataValidation>
    <dataValidation type="date" allowBlank="1" showInputMessage="1" showErrorMessage="1" errorTitle="Invalid Date" error="Please enter a valid date of signing of financial statements" sqref="AA76">
      <formula1>H34</formula1>
      <formula2>TODAY()</formula2>
    </dataValidation>
    <dataValidation type="textLength" operator="lessThanOrEqual" allowBlank="1" showInputMessage="1" showErrorMessage="1" errorTitle="Invalid entry" error="Address line entry should be maximum 160 characters." sqref="Q171">
      <formula1>160</formula1>
    </dataValidation>
    <dataValidation type="textLength" operator="lessThanOrEqual" allowBlank="1" showInputMessage="1" showErrorMessage="1" errorTitle="Invalid entry" error="Address line entry should be maximum 160 characters." sqref="P183">
      <formula1>160</formula1>
    </dataValidation>
    <dataValidation type="textLength" operator="lessThanOrEqual" allowBlank="1" showInputMessage="1" showErrorMessage="1" errorTitle="Invalid entry" error="Address line entry should be maximum 160 characters." sqref="R183">
      <formula1>160</formula1>
    </dataValidation>
    <dataValidation type="textLength" operator="lessThanOrEqual" allowBlank="1" showInputMessage="1" showErrorMessage="1" errorTitle="Invalid membership/registration#" error="Please enter valid membership number of member" sqref="L160">
      <formula1>6</formula1>
    </dataValidation>
    <dataValidation type="textLength" operator="lessThanOrEqual" allowBlank="1" showInputMessage="1" showErrorMessage="1" errorTitle="Invalid entry" error="City name should be maximum 50 characters." sqref="Q140">
      <formula1>50</formula1>
    </dataValidation>
    <dataValidation type="textLength" operator="lessThanOrEqual" allowBlank="1" showInputMessage="1" showErrorMessage="1" errorTitle="Invalid entry" error="City name should be maximum 50 characters." sqref="R152">
      <formula1>50</formula1>
    </dataValidation>
    <dataValidation type="textLength" operator="lessThanOrEqual" allowBlank="1" showInputMessage="1" showErrorMessage="1" errorTitle="Invalid entry" error="City name should be maximum 50 characters." sqref="P153">
      <formula1>50</formula1>
    </dataValidation>
    <dataValidation type="textLength" operator="lessThanOrEqual" allowBlank="1" showInputMessage="1" showErrorMessage="1" errorTitle="Invalid entry" error="City name should be maximum 50 characters." sqref="Q179">
      <formula1>50</formula1>
    </dataValidation>
    <dataValidation type="textLength" operator="lessThanOrEqual" allowBlank="1" showInputMessage="1" showErrorMessage="1" errorTitle="Invalid entry" error="City name should be maximum 50 characters." sqref="P191">
      <formula1>50</formula1>
    </dataValidation>
    <dataValidation type="textLength" operator="lessThanOrEqual" allowBlank="1" showInputMessage="1" showErrorMessage="1" errorTitle="Invalid entry" error="City name should be maximum 50 characters." sqref="R191">
      <formula1>50</formula1>
    </dataValidation>
    <dataValidation type="decimal" allowBlank="1" showInputMessage="1" showErrorMessage="1" errorTitle="Invalid amount" error="Amount should be more than 0.00 and less than 999999999999999.99" sqref="P403:P413">
      <formula1>0</formula1>
      <formula2>999999999999999</formula2>
    </dataValidation>
    <dataValidation type="decimal" allowBlank="1" showInputMessage="1" showErrorMessage="1" errorTitle="Invalid amount" error="Amount should be more than 0.00 and less than 999999999999999.99" sqref="P415">
      <formula1>0</formula1>
      <formula2>999999999999999</formula2>
    </dataValidation>
    <dataValidation type="decimal" allowBlank="1" showInputMessage="1" showErrorMessage="1" errorTitle="Invalid amount" error="Amount should be more than 0.00 and less than 999999999999999.99" sqref="R421:R440">
      <formula1>0</formula1>
      <formula2>999999999999999</formula2>
    </dataValidation>
    <dataValidation type="decimal" allowBlank="1" showInputMessage="1" showErrorMessage="1" errorTitle="Invalid amount" error="Amount should be more than 0.00 and less than 999999999999999.99" sqref="R442:R454">
      <formula1>0</formula1>
      <formula2>999999999999999</formula2>
    </dataValidation>
    <dataValidation type="custom" allowBlank="1" showInputMessage="1" showErrorMessage="1" sqref="K16">
      <formula1>AND(ISERROR(FIND(" ",B1)),LEN(B1)-LEN(SUBSTITUTE(B1,"@",""))=1,IFERROR(SEARCH("@",B1)&lt;SEARCH(".",B1,SEARCH("@",B1)),0),NOT(IFERROR(SEARCH("@",B1),0)=1),NOT(IFERROR(SEARCH(".",B1,SEARCH("@",B1))-SEARCH("@",B1),0)=1),LEFT(B1,1)&lt;&gt;".",RIGHT(B1,1)&lt;&gt;".")</formula1>
    </dataValidation>
    <dataValidation type="textLength" operator="equal" allowBlank="1" showInputMessage="1" showErrorMessage="1" errorTitle="Invalid SRN" error="Please enter a valid SRN. SRN should be 10 characters." sqref="D59:F59">
      <formula1>10</formula1>
    </dataValidation>
    <dataValidation type="textLength" operator="lessThanOrEqual" allowBlank="1" showInputMessage="1" showErrorMessage="1" errorTitle="Invalid entry" error="Address line entry should be maximum 160 characters." sqref="Q169">
      <formula1>160</formula1>
    </dataValidation>
    <dataValidation type="textLength" operator="lessThanOrEqual" allowBlank="1" showInputMessage="1" showErrorMessage="1" errorTitle="Invalid entry" error="Address line entry should be maximum 160 characters." sqref="P181">
      <formula1>160</formula1>
    </dataValidation>
    <dataValidation type="textLength" operator="lessThanOrEqual" allowBlank="1" showInputMessage="1" showErrorMessage="1" errorTitle="Invalid entry" error="Address line entry should be maximum 160 characters." sqref="R181">
      <formula1>160</formula1>
    </dataValidation>
    <dataValidation type="textLength" operator="equal" allowBlank="1" showInputMessage="1" showErrorMessage="1" errorTitle="Invalid CIN" error="Please enter a valid Active/under CIRP/Under liquidation CIN." sqref="F18">
      <formula1>21</formula1>
    </dataValidation>
    <dataValidation type="textLength" operator="lessThanOrEqual" allowBlank="1" showInputMessage="1" showErrorMessage="1" errorTitle="Invalid entry" error="Change reason entry should be maximum 250 characters." sqref="N254">
      <formula1>250</formula1>
    </dataValidation>
    <dataValidation type="custom" allowBlank="1" showInputMessage="1" showErrorMessage="1" sqref="B1">
      <formula1>AND(ISERROR(FIND(" ",B1)),LEN(B1)-LEN(SUBSTITUTE(B1,"@",""))=1,IFERROR(SEARCH("@",B1)&lt;SEARCH(".",B1,SEARCH("@",B1)),0),NOT(IFERROR(SEARCH("@",B1),0)=1),NOT(IFERROR(SEARCH(".",B1,SEARCH("@",B1))-SEARCH("@",B1),0)=1),LEFT(B1,1)&lt;&gt;".",RIGHT(B1,1)&lt;&gt;".")</formula1>
    </dataValidation>
    <dataValidation type="custom" allowBlank="1" showInputMessage="1" showErrorMessage="1" errorTitle="Invalid input" error="Please enter valid amount max allowed 999999999999999.99" sqref="C1">
      <formula1>AND(ISNUMBER(VALUE(B1)),LEN(B1)&lt;20,LEFT(B1,1)&lt;&gt;".",RIGHT(B1,1)&lt;&gt;".",IFERROR(FIND(".",B1),LEN(B1)-2)&gt;=LEN(B1)-2,IFERROR(FIND(".",SUBSTITUTE(SUBSTITUTE(B1,"+",""),"-","")),LEN(SUBSTITUTE(SUBSTITUTE(B1,"+",""),"-",""))+1)&lt;17)</formula1>
    </dataValidation>
    <dataValidation type="custom" allowBlank="1" showInputMessage="1" showErrorMessage="1" errorTitle="Invalid input" error="Please enter valid amount max allowed 999999999999999.99" sqref="G204:L209">
      <formula1>AND(ISNUMBER(VALUE(B1)),LEN(B1)&lt;20,LEFT(B1,1)&lt;&gt;".",RIGHT(B1,1)&lt;&gt;".",IFERROR(FIND(".",B1),LEN(B1)-2)&gt;=LEN(B1)-2,IFERROR(FIND(".",SUBSTITUTE(SUBSTITUTE(B1,"+",""),"-","")),LEN(SUBSTITUTE(SUBSTITUTE(B1,"+",""),"-",""))+1)&lt;17)</formula1>
    </dataValidation>
    <dataValidation type="custom" allowBlank="1" showInputMessage="1" showErrorMessage="1" errorTitle="Invalid input" error="Please enter valid amount max allowed 999999999999999.99" sqref="G212:L215">
      <formula1>AND(ISNUMBER(VALUE(B1)),LEN(B1)&lt;20,LEFT(B1,1)&lt;&gt;".",RIGHT(B1,1)&lt;&gt;".",IFERROR(FIND(".",B1),LEN(B1)-2)&gt;=LEN(B1)-2,IFERROR(FIND(".",SUBSTITUTE(SUBSTITUTE(B1,"+",""),"-","")),LEN(SUBSTITUTE(SUBSTITUTE(B1,"+",""),"-",""))+1)&lt;17)</formula1>
    </dataValidation>
    <dataValidation type="custom" allowBlank="1" showInputMessage="1" showErrorMessage="1" errorTitle="Invalid input" error="Please enter valid amount max allowed 999999999999999.99" sqref="G218:L218">
      <formula1>AND(ISNUMBER(VALUE(B1)),LEN(B1)&lt;20,LEFT(B1,1)&lt;&gt;".",RIGHT(B1,1)&lt;&gt;".",IFERROR(FIND(".",B1),LEN(B1)-2)&gt;=LEN(B1)-2,IFERROR(FIND(".",SUBSTITUTE(SUBSTITUTE(B1,"+",""),"-","")),LEN(SUBSTITUTE(SUBSTITUTE(B1,"+",""),"-",""))+1)&lt;17)</formula1>
    </dataValidation>
    <dataValidation type="custom" allowBlank="1" showInputMessage="1" showErrorMessage="1" errorTitle="Invalid input" error="Please enter valid amount max allowed 999999999999999.99" sqref="G220:L223">
      <formula1>AND(ISNUMBER(VALUE(B1)),LEN(B1)&lt;20,LEFT(B1,1)&lt;&gt;".",RIGHT(B1,1)&lt;&gt;".",IFERROR(FIND(".",B1),LEN(B1)-2)&gt;=LEN(B1)-2,IFERROR(FIND(".",SUBSTITUTE(SUBSTITUTE(B1,"+",""),"-","")),LEN(SUBSTITUTE(SUBSTITUTE(B1,"+",""),"-",""))+1)&lt;17)</formula1>
    </dataValidation>
    <dataValidation type="custom" allowBlank="1" showInputMessage="1" showErrorMessage="1" errorTitle="Invalid input" error="Please enter valid amount max allowed 999999999999999.99" sqref="G229:J237">
      <formula1>AND(ISNUMBER(VALUE(B1)),LEN(B1)&lt;20,LEFT(B1,1)&lt;&gt;".",RIGHT(B1,1)&lt;&gt;".",IFERROR(FIND(".",B1),LEN(B1)-2)&gt;=LEN(B1)-2,IFERROR(FIND(".",SUBSTITUTE(SUBSTITUTE(B1,"+",""),"-","")),LEN(SUBSTITUTE(SUBSTITUTE(B1,"+",""),"-",""))+1)&lt;17)</formula1>
    </dataValidation>
    <dataValidation type="custom" allowBlank="1" showInputMessage="1" showErrorMessage="1" errorTitle="Invalid input" error="Please enter valid amount max allowed 999999999999999.99" sqref="K229:L232">
      <formula1>AND(ISNUMBER(VALUE(B1)),LEN(B1)&lt;20,LEFT(B1,1)&lt;&gt;".",RIGHT(B1,1)&lt;&gt;".",IFERROR(FIND(".",B1),LEN(B1)-2)&gt;=LEN(B1)-2,IFERROR(FIND(".",SUBSTITUTE(SUBSTITUTE(B1,"+",""),"-","")),LEN(SUBSTITUTE(SUBSTITUTE(B1,"+",""),"-",""))+1)&lt;17)</formula1>
    </dataValidation>
    <dataValidation type="custom" allowBlank="1" showInputMessage="1" showErrorMessage="1" errorTitle="Invalid input" error="Please enter valid amount max allowed 999999999999999.99" sqref="K234:L237">
      <formula1>AND(ISNUMBER(VALUE(B1)),LEN(B1)&lt;20,LEFT(B1,1)&lt;&gt;".",RIGHT(B1,1)&lt;&gt;".",IFERROR(FIND(".",B1),LEN(B1)-2)&gt;=LEN(B1)-2,IFERROR(FIND(".",SUBSTITUTE(SUBSTITUTE(B1,"+",""),"-","")),LEN(SUBSTITUTE(SUBSTITUTE(B1,"+",""),"-",""))+1)&lt;17)</formula1>
    </dataValidation>
    <dataValidation type="custom" allowBlank="1" showInputMessage="1" showErrorMessage="1" errorTitle="Invalid input" error="Please enter valid amount max allowed 999999999999999.99" sqref="G239:L244">
      <formula1>AND(ISNUMBER(VALUE(B1)),LEN(B1)&lt;20,LEFT(B1,1)&lt;&gt;".",RIGHT(B1,1)&lt;&gt;".",IFERROR(FIND(".",B1),LEN(B1)-2)&gt;=LEN(B1)-2,IFERROR(FIND(".",SUBSTITUTE(SUBSTITUTE(B1,"+",""),"-","")),LEN(SUBSTITUTE(SUBSTITUTE(B1,"+",""),"-",""))+1)&lt;17)</formula1>
    </dataValidation>
    <dataValidation type="custom" allowBlank="1" showInputMessage="1" showErrorMessage="1" errorTitle="Invalid input" error="Please enter valid amount max allowed 999999999999999.99" sqref="G252:L252">
      <formula1>AND(ISNUMBER(VALUE(B1)),LEN(B1)&lt;20,LEFT(B1,1)&lt;&gt;".",RIGHT(B1,1)&lt;&gt;".",IFERROR(FIND(".",B1),LEN(B1)-2)&gt;=LEN(B1)-2,IFERROR(FIND(".",SUBSTITUTE(SUBSTITUTE(B1,"+",""),"-","")),LEN(SUBSTITUTE(SUBSTITUTE(B1,"+",""),"-",""))+1)&lt;17)</formula1>
    </dataValidation>
    <dataValidation type="custom" allowBlank="1" showInputMessage="1" showErrorMessage="1" errorTitle="Invalid input" error="Please enter valid amount max allowed 999999999999999.99" sqref="G254:L262">
      <formula1>AND(ISNUMBER(VALUE(B1)),LEN(B1)&lt;20,LEFT(B1,1)&lt;&gt;".",RIGHT(B1,1)&lt;&gt;".",IFERROR(FIND(".",B1),LEN(B1)-2)&gt;=LEN(B1)-2,IFERROR(FIND(".",SUBSTITUTE(SUBSTITUTE(B1,"+",""),"-","")),LEN(SUBSTITUTE(SUBSTITUTE(B1,"+",""),"-",""))+1)&lt;17)</formula1>
    </dataValidation>
    <dataValidation type="custom" allowBlank="1" showInputMessage="1" showErrorMessage="1" errorTitle="Invalid input" error="Please enter valid amount max allowed 999999999999999.99" sqref="G265:L266">
      <formula1>AND(ISNUMBER(VALUE(B1)),LEN(B1)&lt;20,LEFT(B1,1)&lt;&gt;".",RIGHT(B1,1)&lt;&gt;".",IFERROR(FIND(".",B1),LEN(B1)-2)&gt;=LEN(B1)-2,IFERROR(FIND(".",SUBSTITUTE(SUBSTITUTE(B1,"+",""),"-","")),LEN(SUBSTITUTE(SUBSTITUTE(B1,"+",""),"-",""))+1)&lt;17)</formula1>
    </dataValidation>
    <dataValidation type="custom" allowBlank="1" showInputMessage="1" showErrorMessage="1" errorTitle="Invalid input" error="Please enter valid amount max allowed 999999999999999.99" sqref="G272:L277">
      <formula1>AND(ISNUMBER(VALUE(B1)),LEN(B1)&lt;20,LEFT(B1,1)&lt;&gt;".",RIGHT(B1,1)&lt;&gt;".",IFERROR(FIND(".",B1),LEN(B1)-2)&gt;=LEN(B1)-2,IFERROR(FIND(".",SUBSTITUTE(SUBSTITUTE(B1,"+",""),"-","")),LEN(SUBSTITUTE(SUBSTITUTE(B1,"+",""),"-",""))+1)&lt;17)</formula1>
    </dataValidation>
    <dataValidation type="custom" allowBlank="1" showInputMessage="1" showErrorMessage="1" errorTitle="Invalid input" error="Please enter valid amount max allowed 999999999999999.99" sqref="G280:L281">
      <formula1>AND(ISNUMBER(VALUE(B1)),LEN(B1)&lt;20,LEFT(B1,1)&lt;&gt;".",RIGHT(B1,1)&lt;&gt;".",IFERROR(FIND(".",B1),LEN(B1)-2)&gt;=LEN(B1)-2,IFERROR(FIND(".",SUBSTITUTE(SUBSTITUTE(B1,"+",""),"-","")),LEN(SUBSTITUTE(SUBSTITUTE(B1,"+",""),"-",""))+1)&lt;17)</formula1>
    </dataValidation>
    <dataValidation type="custom" allowBlank="1" showInputMessage="1" showErrorMessage="1" errorTitle="Invalid input" error="Please enter valid amount max allowed 999999999999999.99" sqref="G287:L290">
      <formula1>AND(ISNUMBER(VALUE(B1)),LEN(B1)&lt;20,LEFT(B1,1)&lt;&gt;".",RIGHT(B1,1)&lt;&gt;".",IFERROR(FIND(".",B1),LEN(B1)-2)&gt;=LEN(B1)-2,IFERROR(FIND(".",SUBSTITUTE(SUBSTITUTE(B1,"+",""),"-","")),LEN(SUBSTITUTE(SUBSTITUTE(B1,"+",""),"-",""))+1)&lt;17)</formula1>
    </dataValidation>
    <dataValidation type="custom" allowBlank="1" showInputMessage="1" showErrorMessage="1" errorTitle="Invalid input" error="Please enter valid amount max allowed 999999999999999.99" sqref="G294:L295">
      <formula1>AND(ISNUMBER(VALUE(B1)),LEN(B1)&lt;20,LEFT(B1,1)&lt;&gt;".",RIGHT(B1,1)&lt;&gt;".",IFERROR(FIND(".",B1),LEN(B1)-2)&gt;=LEN(B1)-2,IFERROR(FIND(".",SUBSTITUTE(SUBSTITUTE(B1,"+",""),"-","")),LEN(SUBSTITUTE(SUBSTITUTE(B1,"+",""),"-",""))+1)&lt;17)</formula1>
    </dataValidation>
    <dataValidation type="custom" allowBlank="1" showInputMessage="1" showErrorMessage="1" errorTitle="Invalid input" error="Please enter valid amount max allowed 999999999999999.99" sqref="G298:L299">
      <formula1>AND(ISNUMBER(VALUE(B1)),LEN(B1)&lt;20,LEFT(B1,1)&lt;&gt;".",RIGHT(B1,1)&lt;&gt;".",IFERROR(FIND(".",B1),LEN(B1)-2)&gt;=LEN(B1)-2,IFERROR(FIND(".",SUBSTITUTE(SUBSTITUTE(B1,"+",""),"-","")),LEN(SUBSTITUTE(SUBSTITUTE(B1,"+",""),"-",""))+1)&lt;17)</formula1>
    </dataValidation>
    <dataValidation type="custom" allowBlank="1" showInputMessage="1" showErrorMessage="1" errorTitle="Invalid input" error="Please enter valid amount max allowed 999999999999999.99" sqref="G304:L307">
      <formula1>AND(ISNUMBER(VALUE(B1)),LEN(B1)&lt;20,LEFT(B1,1)&lt;&gt;".",RIGHT(B1,1)&lt;&gt;".",IFERROR(FIND(".",B1),LEN(B1)-2)&gt;=LEN(B1)-2,IFERROR(FIND(".",SUBSTITUTE(SUBSTITUTE(B1,"+",""),"-","")),LEN(SUBSTITUTE(SUBSTITUTE(B1,"+",""),"-",""))+1)&lt;17)</formula1>
    </dataValidation>
    <dataValidation type="custom" allowBlank="1" showInputMessage="1" showErrorMessage="1" errorTitle="Invalid input" error="Please enter valid amount max allowed 999999999999999.99" sqref="G311:L312">
      <formula1>AND(ISNUMBER(VALUE(B1)),LEN(B1)&lt;20,LEFT(B1,1)&lt;&gt;".",RIGHT(B1,1)&lt;&gt;".",IFERROR(FIND(".",B1),LEN(B1)-2)&gt;=LEN(B1)-2,IFERROR(FIND(".",SUBSTITUTE(SUBSTITUTE(B1,"+",""),"-","")),LEN(SUBSTITUTE(SUBSTITUTE(B1,"+",""),"-",""))+1)&lt;17)</formula1>
    </dataValidation>
    <dataValidation type="custom" allowBlank="1" showInputMessage="1" showErrorMessage="1" errorTitle="Invalid input" error="Please enter valid amount max allowed 999999999999999.99" sqref="G315:L316">
      <formula1>AND(ISNUMBER(VALUE(B1)),LEN(B1)&lt;20,LEFT(B1,1)&lt;&gt;".",RIGHT(B1,1)&lt;&gt;".",IFERROR(FIND(".",B1),LEN(B1)-2)&gt;=LEN(B1)-2,IFERROR(FIND(".",SUBSTITUTE(SUBSTITUTE(B1,"+",""),"-","")),LEN(SUBSTITUTE(SUBSTITUTE(B1,"+",""),"-",""))+1)&lt;17)</formula1>
    </dataValidation>
    <dataValidation type="custom" allowBlank="1" showInputMessage="1" showErrorMessage="1" errorTitle="Invalid input" error="Please enter valid amount max allowed 999999999999999.99" sqref="G321:I322">
      <formula1>AND(ISNUMBER(VALUE(B1)),LEN(B1)&lt;20,LEFT(B1,1)&lt;&gt;".",RIGHT(B1,1)&lt;&gt;".",IFERROR(FIND(".",B1),LEN(B1)-2)&gt;=LEN(B1)-2,IFERROR(FIND(".",SUBSTITUTE(SUBSTITUTE(B1,"+",""),"-","")),LEN(SUBSTITUTE(SUBSTITUTE(B1,"+",""),"-",""))+1)&lt;17)</formula1>
    </dataValidation>
    <dataValidation type="custom" allowBlank="1" showInputMessage="1" showErrorMessage="1" errorTitle="Invalid input" error="Please enter valid amount max allowed 999999999999999.99" sqref="J321">
      <formula1>AND(ISNUMBER(VALUE(B1)),LEN(B1)&lt;20,LEFT(B1,1)&lt;&gt;".",RIGHT(B1,1)&lt;&gt;".",IFERROR(FIND(".",B1),LEN(B1)-2)&gt;=LEN(B1)-2,IFERROR(FIND(".",SUBSTITUTE(SUBSTITUTE(B1,"+",""),"-","")),LEN(SUBSTITUTE(SUBSTITUTE(B1,"+",""),"-",""))+1)&lt;17)</formula1>
    </dataValidation>
    <dataValidation type="custom" allowBlank="1" showInputMessage="1" showErrorMessage="1" errorTitle="Invalid input" error="Please enter valid amount max allowed 999999999999999.99" sqref="J322:L323">
      <formula1>AND(ISNUMBER(VALUE(B1)),LEN(B1)&lt;20,LEFT(B1,1)&lt;&gt;".",RIGHT(B1,1)&lt;&gt;".",IFERROR(FIND(".",B1),LEN(B1)-2)&gt;=LEN(B1)-2,IFERROR(FIND(".",SUBSTITUTE(SUBSTITUTE(B1,"+",""),"-","")),LEN(SUBSTITUTE(SUBSTITUTE(B1,"+",""),"-",""))+1)&lt;17)</formula1>
    </dataValidation>
    <dataValidation type="custom" allowBlank="1" showInputMessage="1" showErrorMessage="1" errorTitle="Invalid input" error="Please enter valid amount max allowed 999999999999999.99" sqref="P328">
      <formula1>AND(ISNUMBER(VALUE(B1)),LEN(B1)&lt;20,LEFT(B1,1)&lt;&gt;".",RIGHT(B1,1)&lt;&gt;".",IFERROR(FIND(".",B1),LEN(B1)-2)&gt;=LEN(B1)-2,IFERROR(FIND(".",SUBSTITUTE(SUBSTITUTE(B1,"+",""),"-","")),LEN(SUBSTITUTE(SUBSTITUTE(B1,"+",""),"-",""))+1)&lt;17)</formula1>
    </dataValidation>
    <dataValidation type="custom" allowBlank="1" showInputMessage="1" showErrorMessage="1" errorTitle="Invalid input" error="Please enter valid amount max allowed 999999999999999.99" sqref="M330:M368">
      <formula1>AND(ISNUMBER(VALUE(B1)),LEN(B1)&lt;20,LEFT(B1,1)&lt;&gt;".",RIGHT(B1,1)&lt;&gt;".",IFERROR(FIND(".",B1),LEN(B1)-2)&gt;=LEN(B1)-2,IFERROR(FIND(".",SUBSTITUTE(SUBSTITUTE(B1,"+",""),"-","")),LEN(SUBSTITUTE(SUBSTITUTE(B1,"+",""),"-",""))+1)&lt;17)</formula1>
    </dataValidation>
    <dataValidation type="custom" allowBlank="1" showInputMessage="1" showErrorMessage="1" errorTitle="Invalid input" error="Please enter valid amount max allowed 999999999999999.99" sqref="N330:O334">
      <formula1>AND(ISNUMBER(VALUE(B1)),LEN(B1)&lt;20,LEFT(B1,1)&lt;&gt;".",RIGHT(B1,1)&lt;&gt;".",IFERROR(FIND(".",B1),LEN(B1)-2)&gt;=LEN(B1)-2,IFERROR(FIND(".",SUBSTITUTE(SUBSTITUTE(B1,"+",""),"-","")),LEN(SUBSTITUTE(SUBSTITUTE(B1,"+",""),"-",""))+1)&lt;17)</formula1>
    </dataValidation>
    <dataValidation type="custom" allowBlank="1" showInputMessage="1" showErrorMessage="1" errorTitle="Invalid input" error="Please enter valid amount max allowed 999999999999999.99" sqref="N337:O368">
      <formula1>AND(ISNUMBER(VALUE(B1)),LEN(B1)&lt;20,LEFT(B1,1)&lt;&gt;".",RIGHT(B1,1)&lt;&gt;".",IFERROR(FIND(".",B1),LEN(B1)-2)&gt;=LEN(B1)-2,IFERROR(FIND(".",SUBSTITUTE(SUBSTITUTE(B1,"+",""),"-","")),LEN(SUBSTITUTE(SUBSTITUTE(B1,"+",""),"-",""))+1)&lt;17)</formula1>
    </dataValidation>
    <dataValidation type="custom" allowBlank="1" showInputMessage="1" showErrorMessage="1" errorTitle="Invalid input" error="Please enter valid amount max allowed 999999999999999.99" sqref="M371:O377">
      <formula1>AND(ISNUMBER(VALUE(B1)),LEN(B1)&lt;20,LEFT(B1,1)&lt;&gt;".",RIGHT(B1,1)&lt;&gt;".",IFERROR(FIND(".",B1),LEN(B1)-2)&gt;=LEN(B1)-2,IFERROR(FIND(".",SUBSTITUTE(SUBSTITUTE(B1,"+",""),"-","")),LEN(SUBSTITUTE(SUBSTITUTE(B1,"+",""),"-",""))+1)&lt;17)</formula1>
    </dataValidation>
    <dataValidation type="custom" allowBlank="1" showInputMessage="1" showErrorMessage="1" errorTitle="Invalid input" error="Please enter valid amount max allowed 999999999999999.99" sqref="E382:O382">
      <formula1>AND(ISNUMBER(VALUE(B1)),LEN(B1)&lt;20,LEFT(B1,1)&lt;&gt;".",RIGHT(B1,1)&lt;&gt;".",IFERROR(FIND(".",B1),LEN(B1)-2)&gt;=LEN(B1)-2,IFERROR(FIND(".",SUBSTITUTE(SUBSTITUTE(B1,"+",""),"-","")),LEN(SUBSTITUTE(SUBSTITUTE(B1,"+",""),"-",""))+1)&lt;17)</formula1>
    </dataValidation>
    <dataValidation type="custom" allowBlank="1" showInputMessage="1" showErrorMessage="1" errorTitle="Invalid input" error="Please enter valid amount max allowed 999999999999999.99" sqref="E383:G400">
      <formula1>AND(ISNUMBER(VALUE(B1)),LEN(B1)&lt;20,LEFT(B1,1)&lt;&gt;".",RIGHT(B1,1)&lt;&gt;".",IFERROR(FIND(".",B1),LEN(B1)-2)&gt;=LEN(B1)-2,IFERROR(FIND(".",SUBSTITUTE(SUBSTITUTE(B1,"+",""),"-","")),LEN(SUBSTITUTE(SUBSTITUTE(B1,"+",""),"-",""))+1)&lt;17)</formula1>
    </dataValidation>
    <dataValidation type="custom" allowBlank="1" showInputMessage="1" showErrorMessage="1" errorTitle="Invalid input" error="Please enter valid amount max allowed 999999999999999.99" sqref="H383:M394">
      <formula1>AND(ISNUMBER(VALUE(B1)),LEN(B1)&lt;20,LEFT(B1,1)&lt;&gt;".",RIGHT(B1,1)&lt;&gt;".",IFERROR(FIND(".",B1),LEN(B1)-2)&gt;=LEN(B1)-2,IFERROR(FIND(".",SUBSTITUTE(SUBSTITUTE(B1,"+",""),"-","")),LEN(SUBSTITUTE(SUBSTITUTE(B1,"+",""),"-",""))+1)&lt;17)</formula1>
    </dataValidation>
    <dataValidation type="custom" allowBlank="1" showInputMessage="1" showErrorMessage="1" errorTitle="Invalid input" error="Please enter valid amount max allowed 999999999999999.99" sqref="N383:O400">
      <formula1>AND(ISNUMBER(VALUE(B1)),LEN(B1)&lt;20,LEFT(B1,1)&lt;&gt;".",RIGHT(B1,1)&lt;&gt;".",IFERROR(FIND(".",B1),LEN(B1)-2)&gt;=LEN(B1)-2,IFERROR(FIND(".",SUBSTITUTE(SUBSTITUTE(B1,"+",""),"-","")),LEN(SUBSTITUTE(SUBSTITUTE(B1,"+",""),"-",""))+1)&lt;17)</formula1>
    </dataValidation>
    <dataValidation type="custom" allowBlank="1" showInputMessage="1" showErrorMessage="1" errorTitle="Invalid input" error="Please enter valid amount max allowed 999999999999999.99" sqref="B395:D395">
      <formula1>AND(ISNUMBER(VALUE(B1)),LEN(B1)&lt;20,LEFT(B1,1)&lt;&gt;".",RIGHT(B1,1)&lt;&gt;".",IFERROR(FIND(".",B1),LEN(B1)-2)&gt;=LEN(B1)-2,IFERROR(FIND(".",SUBSTITUTE(SUBSTITUTE(B1,"+",""),"-","")),LEN(SUBSTITUTE(SUBSTITUTE(B1,"+",""),"-",""))+1)&lt;17)</formula1>
    </dataValidation>
    <dataValidation type="custom" allowBlank="1" showInputMessage="1" showErrorMessage="1" errorTitle="Invalid input" error="Please enter valid amount max allowed 999999999999999.99" sqref="H396:M400">
      <formula1>AND(ISNUMBER(VALUE(B1)),LEN(B1)&lt;20,LEFT(B1,1)&lt;&gt;".",RIGHT(B1,1)&lt;&gt;".",IFERROR(FIND(".",B1),LEN(B1)-2)&gt;=LEN(B1)-2,IFERROR(FIND(".",SUBSTITUTE(SUBSTITUTE(B1,"+",""),"-","")),LEN(SUBSTITUTE(SUBSTITUTE(B1,"+",""),"-",""))+1)&lt;17)</formula1>
    </dataValidation>
    <dataValidation type="custom" allowBlank="1" showInputMessage="1" showErrorMessage="1" errorTitle="Invalid input" error="Please enter valid amount max allowed 999999999999999.99" sqref="B401:D401">
      <formula1>AND(ISNUMBER(VALUE(B1)),LEN(B1)&lt;20,LEFT(B1,1)&lt;&gt;".",RIGHT(B1,1)&lt;&gt;".",IFERROR(FIND(".",B1),LEN(B1)-2)&gt;=LEN(B1)-2,IFERROR(FIND(".",SUBSTITUTE(SUBSTITUTE(B1,"+",""),"-","")),LEN(SUBSTITUTE(SUBSTITUTE(B1,"+",""),"-",""))+1)&lt;17)</formula1>
    </dataValidation>
    <dataValidation type="custom" allowBlank="1" showInputMessage="1" showErrorMessage="1" errorTitle="Invalid input" error="Please enter valid amount max allowed 999999999999999.99" sqref="E403:O403">
      <formula1>AND(ISNUMBER(VALUE(B1)),LEN(B1)&lt;20,LEFT(B1,1)&lt;&gt;".",RIGHT(B1,1)&lt;&gt;".",IFERROR(FIND(".",B1),LEN(B1)-2)&gt;=LEN(B1)-2,IFERROR(FIND(".",SUBSTITUTE(SUBSTITUTE(B1,"+",""),"-","")),LEN(SUBSTITUTE(SUBSTITUTE(B1,"+",""),"-",""))+1)&lt;17)</formula1>
    </dataValidation>
    <dataValidation type="custom" allowBlank="1" showInputMessage="1" showErrorMessage="1" errorTitle="Invalid input" error="Please enter valid amount max allowed 999999999999999.99" sqref="E405:M409">
      <formula1>AND(ISNUMBER(VALUE(B1)),LEN(B1)&lt;20,LEFT(B1,1)&lt;&gt;".",RIGHT(B1,1)&lt;&gt;".",IFERROR(FIND(".",B1),LEN(B1)-2)&gt;=LEN(B1)-2,IFERROR(FIND(".",SUBSTITUTE(SUBSTITUTE(B1,"+",""),"-","")),LEN(SUBSTITUTE(SUBSTITUTE(B1,"+",""),"-",""))+1)&lt;17)</formula1>
    </dataValidation>
    <dataValidation type="custom" allowBlank="1" showInputMessage="1" showErrorMessage="1" errorTitle="Invalid input" error="Please enter valid amount max allowed 999999999999999.99" sqref="N405:O408">
      <formula1>AND(ISNUMBER(VALUE(B1)),LEN(B1)&lt;20,LEFT(B1,1)&lt;&gt;".",RIGHT(B1,1)&lt;&gt;".",IFERROR(FIND(".",B1),LEN(B1)-2)&gt;=LEN(B1)-2,IFERROR(FIND(".",SUBSTITUTE(SUBSTITUTE(B1,"+",""),"-","")),LEN(SUBSTITUTE(SUBSTITUTE(B1,"+",""),"-",""))+1)&lt;17)</formula1>
    </dataValidation>
    <dataValidation type="custom" allowBlank="1" showInputMessage="1" showErrorMessage="1" errorTitle="Invalid input" error="Please enter valid amount max allowed 999999999999999.99" sqref="E410:O414">
      <formula1>AND(ISNUMBER(VALUE(B1)),LEN(B1)&lt;20,LEFT(B1,1)&lt;&gt;".",RIGHT(B1,1)&lt;&gt;".",IFERROR(FIND(".",B1),LEN(B1)-2)&gt;=LEN(B1)-2,IFERROR(FIND(".",SUBSTITUTE(SUBSTITUTE(B1,"+",""),"-","")),LEN(SUBSTITUTE(SUBSTITUTE(B1,"+",""),"-",""))+1)&lt;17)</formula1>
    </dataValidation>
    <dataValidation type="custom" allowBlank="1" showInputMessage="1" showErrorMessage="1" errorTitle="Invalid input" error="Please enter valid amount max allowed 999999999999999.99" sqref="M420:N424">
      <formula1>AND(ISNUMBER(VALUE(B1)),LEN(B1)&lt;20,LEFT(B1,1)&lt;&gt;".",RIGHT(B1,1)&lt;&gt;".",IFERROR(FIND(".",B1),LEN(B1)-2)&gt;=LEN(B1)-2,IFERROR(FIND(".",SUBSTITUTE(SUBSTITUTE(B1,"+",""),"-","")),LEN(SUBSTITUTE(SUBSTITUTE(B1,"+",""),"-",""))+1)&lt;17)</formula1>
    </dataValidation>
    <dataValidation type="custom" allowBlank="1" showInputMessage="1" showErrorMessage="1" errorTitle="Invalid input" error="Please enter valid amount max allowed 999999999999999.99" sqref="G449:L451">
      <formula1>AND(ISNUMBER(VALUE(B1)),LEN(B1)&lt;20,LEFT(B1,1)&lt;&gt;".",RIGHT(B1,1)&lt;&gt;".",IFERROR(FIND(".",B1),LEN(B1)-2)&gt;=LEN(B1)-2,IFERROR(FIND(".",SUBSTITUTE(SUBSTITUTE(B1,"+",""),"-","")),LEN(SUBSTITUTE(SUBSTITUTE(B1,"+",""),"-",""))+1)&lt;17)</formula1>
    </dataValidation>
    <dataValidation type="custom" allowBlank="1" showInputMessage="1" showErrorMessage="1" errorTitle="Invalid input" error="Please enter valid amount max allowed 999999999999999.99" sqref="G453:L455">
      <formula1>AND(ISNUMBER(VALUE(B1)),LEN(B1)&lt;20,LEFT(B1,1)&lt;&gt;".",RIGHT(B1,1)&lt;&gt;".",IFERROR(FIND(".",B1),LEN(B1)-2)&gt;=LEN(B1)-2,IFERROR(FIND(".",SUBSTITUTE(SUBSTITUTE(B1,"+",""),"-","")),LEN(SUBSTITUTE(SUBSTITUTE(B1,"+",""),"-",""))+1)&lt;17)</formula1>
    </dataValidation>
    <dataValidation type="custom" allowBlank="1" showInputMessage="1" showErrorMessage="1" errorTitle="Invalid input" error="Please enter valid amount max allowed 999999999999999.99" sqref="G457:L460">
      <formula1>AND(ISNUMBER(VALUE(B1)),LEN(B1)&lt;20,LEFT(B1,1)&lt;&gt;".",RIGHT(B1,1)&lt;&gt;".",IFERROR(FIND(".",B1),LEN(B1)-2)&gt;=LEN(B1)-2,IFERROR(FIND(".",SUBSTITUTE(SUBSTITUTE(B1,"+",""),"-","")),LEN(SUBSTITUTE(SUBSTITUTE(B1,"+",""),"-",""))+1)&lt;17)</formula1>
    </dataValidation>
    <dataValidation type="custom" allowBlank="1" showInputMessage="1" showErrorMessage="1" errorTitle="Invalid input" error="Please enter valid amount max allowed 999999999999999.99" sqref="G463:L475">
      <formula1>AND(ISNUMBER(VALUE(B1)),LEN(B1)&lt;20,LEFT(B1,1)&lt;&gt;".",RIGHT(B1,1)&lt;&gt;".",IFERROR(FIND(".",B1),LEN(B1)-2)&gt;=LEN(B1)-2,IFERROR(FIND(".",SUBSTITUTE(SUBSTITUTE(B1,"+",""),"-","")),LEN(SUBSTITUTE(SUBSTITUTE(B1,"+",""),"-",""))+1)&lt;17)</formula1>
    </dataValidation>
    <dataValidation type="custom" allowBlank="1" showInputMessage="1" showErrorMessage="1" errorTitle="Invalid input" error="Please enter valid amount max allowed 999999999999999.99" sqref="G478:L478">
      <formula1>AND(ISNUMBER(VALUE(B1)),LEN(B1)&lt;20,LEFT(B1,1)&lt;&gt;".",RIGHT(B1,1)&lt;&gt;".",IFERROR(FIND(".",B1),LEN(B1)-2)&gt;=LEN(B1)-2,IFERROR(FIND(".",SUBSTITUTE(SUBSTITUTE(B1,"+",""),"-","")),LEN(SUBSTITUTE(SUBSTITUTE(B1,"+",""),"-",""))+1)&lt;17)</formula1>
    </dataValidation>
    <dataValidation type="custom" allowBlank="1" showInputMessage="1" showErrorMessage="1" errorTitle="Invalid input" error="Please enter valid amount max allowed 999999999999999.99" sqref="J480:L480">
      <formula1>AND(ISNUMBER(VALUE(B1)),LEN(B1)&lt;20,LEFT(B1,1)&lt;&gt;".",RIGHT(B1,1)&lt;&gt;".",IFERROR(FIND(".",B1),LEN(B1)-2)&gt;=LEN(B1)-2,IFERROR(FIND(".",SUBSTITUTE(SUBSTITUTE(B1,"+",""),"-","")),LEN(SUBSTITUTE(SUBSTITUTE(B1,"+",""),"-",""))+1)&lt;17)</formula1>
    </dataValidation>
    <dataValidation type="custom" allowBlank="1" showInputMessage="1" showErrorMessage="1" errorTitle="Invalid input" error="Please enter valid amount max allowed 999999999999999.99" sqref="G483:L484">
      <formula1>AND(ISNUMBER(VALUE(B1)),LEN(B1)&lt;20,LEFT(B1,1)&lt;&gt;".",RIGHT(B1,1)&lt;&gt;".",IFERROR(FIND(".",B1),LEN(B1)-2)&gt;=LEN(B1)-2,IFERROR(FIND(".",SUBSTITUTE(SUBSTITUTE(B1,"+",""),"-","")),LEN(SUBSTITUTE(SUBSTITUTE(B1,"+",""),"-",""))+1)&lt;17)</formula1>
    </dataValidation>
    <dataValidation type="custom" allowBlank="1" showInputMessage="1" showErrorMessage="1" errorTitle="Invalid input" error="Please enter valid amount max allowed 999999999999999.99" sqref="G486:L487">
      <formula1>AND(ISNUMBER(VALUE(B1)),LEN(B1)&lt;20,LEFT(B1,1)&lt;&gt;".",RIGHT(B1,1)&lt;&gt;".",IFERROR(FIND(".",B1),LEN(B1)-2)&gt;=LEN(B1)-2,IFERROR(FIND(".",SUBSTITUTE(SUBSTITUTE(B1,"+",""),"-","")),LEN(SUBSTITUTE(SUBSTITUTE(B1,"+",""),"-",""))+1)&lt;17)</formula1>
    </dataValidation>
    <dataValidation type="custom" allowBlank="1" showInputMessage="1" showErrorMessage="1" errorTitle="Invalid input" error="Please enter valid amount max allowed 999999999999999.99" sqref="G491:L492">
      <formula1>AND(ISNUMBER(VALUE(B1)),LEN(B1)&lt;20,LEFT(B1,1)&lt;&gt;".",RIGHT(B1,1)&lt;&gt;".",IFERROR(FIND(".",B1),LEN(B1)-2)&gt;=LEN(B1)-2,IFERROR(FIND(".",SUBSTITUTE(SUBSTITUTE(B1,"+",""),"-","")),LEN(SUBSTITUTE(SUBSTITUTE(B1,"+",""),"-",""))+1)&lt;17)</formula1>
    </dataValidation>
    <dataValidation type="custom" allowBlank="1" showInputMessage="1" showErrorMessage="1" errorTitle="Invalid input" error="Please enter valid amount max allowed 999999999999999.99" sqref="G494:L495">
      <formula1>AND(ISNUMBER(VALUE(B1)),LEN(B1)&lt;20,LEFT(B1,1)&lt;&gt;".",RIGHT(B1,1)&lt;&gt;".",IFERROR(FIND(".",B1),LEN(B1)-2)&gt;=LEN(B1)-2,IFERROR(FIND(".",SUBSTITUTE(SUBSTITUTE(B1,"+",""),"-","")),LEN(SUBSTITUTE(SUBSTITUTE(B1,"+",""),"-",""))+1)&lt;17)</formula1>
    </dataValidation>
    <dataValidation type="custom" allowBlank="1" showInputMessage="1" showErrorMessage="1" errorTitle="Invalid input" error="Please enter valid amount max allowed 999999999999999.99" sqref="E500:K505">
      <formula1>AND(ISNUMBER(VALUE(B1)),LEN(B1)&lt;20,LEFT(B1,1)&lt;&gt;".",RIGHT(B1,1)&lt;&gt;".",IFERROR(FIND(".",B1),LEN(B1)-2)&gt;=LEN(B1)-2,IFERROR(FIND(".",SUBSTITUTE(SUBSTITUTE(B1,"+",""),"-","")),LEN(SUBSTITUTE(SUBSTITUTE(B1,"+",""),"-",""))+1)&lt;17)</formula1>
    </dataValidation>
    <dataValidation type="custom" allowBlank="1" showInputMessage="1" showErrorMessage="1" errorTitle="Invalid input" error="Please enter valid amount max allowed 999999999999999.99" sqref="E511:K513">
      <formula1>AND(ISNUMBER(VALUE(B1)),LEN(B1)&lt;20,LEFT(B1,1)&lt;&gt;".",RIGHT(B1,1)&lt;&gt;".",IFERROR(FIND(".",B1),LEN(B1)-2)&gt;=LEN(B1)-2,IFERROR(FIND(".",SUBSTITUTE(SUBSTITUTE(B1,"+",""),"-","")),LEN(SUBSTITUTE(SUBSTITUTE(B1,"+",""),"-",""))+1)&lt;17)</formula1>
    </dataValidation>
    <dataValidation type="custom" allowBlank="1" showInputMessage="1" showErrorMessage="1" errorTitle="Invalid input" error="Please enter valid amount max allowed 999999999999999.99" sqref="E515:K520">
      <formula1>AND(ISNUMBER(VALUE(B1)),LEN(B1)&lt;20,LEFT(B1,1)&lt;&gt;".",RIGHT(B1,1)&lt;&gt;".",IFERROR(FIND(".",B1),LEN(B1)-2)&gt;=LEN(B1)-2,IFERROR(FIND(".",SUBSTITUTE(SUBSTITUTE(B1,"+",""),"-","")),LEN(SUBSTITUTE(SUBSTITUTE(B1,"+",""),"-",""))+1)&lt;17)</formula1>
    </dataValidation>
    <dataValidation type="custom" allowBlank="1" showInputMessage="1" showErrorMessage="1" errorTitle="Invalid input" error="Please enter valid amount max allowed 999999999999999.99" sqref="M524:O524">
      <formula1>AND(ISNUMBER(VALUE(B1)),LEN(B1)&lt;20,LEFT(B1,1)&lt;&gt;".",RIGHT(B1,1)&lt;&gt;".",IFERROR(FIND(".",B1),LEN(B1)-2)&gt;=LEN(B1)-2,IFERROR(FIND(".",SUBSTITUTE(SUBSTITUTE(B1,"+",""),"-","")),LEN(SUBSTITUTE(SUBSTITUTE(B1,"+",""),"-",""))+1)&lt;17)</formula1>
    </dataValidation>
    <dataValidation type="custom" allowBlank="1" showInputMessage="1" showErrorMessage="1" errorTitle="Invalid input" error="Please enter valid amount max allowed 999999999999999.99" sqref="M529:O536">
      <formula1>AND(ISNUMBER(VALUE(B1)),LEN(B1)&lt;20,LEFT(B1,1)&lt;&gt;".",RIGHT(B1,1)&lt;&gt;".",IFERROR(FIND(".",B1),LEN(B1)-2)&gt;=LEN(B1)-2,IFERROR(FIND(".",SUBSTITUTE(SUBSTITUTE(B1,"+",""),"-","")),LEN(SUBSTITUTE(SUBSTITUTE(B1,"+",""),"-",""))+1)&lt;17)</formula1>
    </dataValidation>
    <dataValidation type="custom" allowBlank="1" showInputMessage="1" showErrorMessage="1" errorTitle="Invalid input" error="Please enter valid amount max allowed 999999999999999.99" sqref="S529:U529">
      <formula1>AND(ISNUMBER(VALUE(B1)),LEN(B1)&lt;20,LEFT(B1,1)&lt;&gt;".",RIGHT(B1,1)&lt;&gt;".",IFERROR(FIND(".",B1),LEN(B1)-2)&gt;=LEN(B1)-2,IFERROR(FIND(".",SUBSTITUTE(SUBSTITUTE(B1,"+",""),"-","")),LEN(SUBSTITUTE(SUBSTITUTE(B1,"+",""),"-",""))+1)&lt;17)</formula1>
    </dataValidation>
    <dataValidation type="custom" allowBlank="1" showInputMessage="1" showErrorMessage="1" errorTitle="Invalid input" error="Please enter valid amount max allowed 999999999999999.99" sqref="G543:H557">
      <formula1>AND(ISNUMBER(VALUE(B1)),LEN(B1)&lt;20,LEFT(B1,1)&lt;&gt;".",RIGHT(B1,1)&lt;&gt;".",IFERROR(FIND(".",B1),LEN(B1)-2)&gt;=LEN(B1)-2,IFERROR(FIND(".",SUBSTITUTE(SUBSTITUTE(B1,"+",""),"-","")),LEN(SUBSTITUTE(SUBSTITUTE(B1,"+",""),"-",""))+1)&lt;17)</formula1>
    </dataValidation>
    <dataValidation type="custom" allowBlank="1" showInputMessage="1" showErrorMessage="1" errorTitle="Invalid input" error="Please enter valid amount max allowed 999999999999999.99" sqref="M543:O557">
      <formula1>AND(ISNUMBER(VALUE(B1)),LEN(B1)&lt;20,LEFT(B1,1)&lt;&gt;".",RIGHT(B1,1)&lt;&gt;".",IFERROR(FIND(".",B1),LEN(B1)-2)&gt;=LEN(B1)-2,IFERROR(FIND(".",SUBSTITUTE(SUBSTITUTE(B1,"+",""),"-","")),LEN(SUBSTITUTE(SUBSTITUTE(B1,"+",""),"-",""))+1)&lt;17)</formula1>
    </dataValidation>
    <dataValidation type="date" allowBlank="1" showInputMessage="1" showErrorMessage="1" errorTitle="Invalid date" error="Please enter a valid date (DD/MM/YYY) of signing of financial statements." sqref="Q60">
      <formula1>DATEVALUE($B$30)</formula1>
      <formula2>TODAY()</formula2>
    </dataValidation>
    <dataValidation type="date" allowBlank="1" showInputMessage="1" showErrorMessage="1" errorTitle="Invalid date" error="Please enter a valid date (DD/MM/YYY) of signing of financial statements." sqref="R73">
      <formula1>DATEVALUE($B$30)</formula1>
      <formula2>TODAY()</formula2>
    </dataValidation>
    <dataValidation type="date" allowBlank="1" showInputMessage="1" showErrorMessage="1" errorTitle="Invalid date" error="Please enter a valid date (DD/MM/YYY) of signing of financial statements" sqref="Q70">
      <formula1>DATEVALUE($B$30)</formula1>
      <formula2>TODAY()</formula2>
    </dataValidation>
    <dataValidation type="date" allowBlank="1" showInputMessage="1" showErrorMessage="1" errorTitle="Invalid date" error="Please enter a valid date (DD/MM/YYY) of signing of financial statements" sqref="R83">
      <formula1>DATEVALUE($B$30)</formula1>
      <formula2>TODAY()</formula2>
    </dataValidation>
    <dataValidation type="date" allowBlank="1" showInputMessage="1" showErrorMessage="1" errorTitle="Invalid date" error="Please enter a valid date (DD/MM/YYY) of signing of financial statements" sqref="P84">
      <formula1>DATEVALUE($B$30)</formula1>
      <formula2>TODAY()</formula2>
    </dataValidation>
    <dataValidation type="date" allowBlank="1" showInputMessage="1" showErrorMessage="1" errorTitle="Invalid date" error="Please enter a valid date (DD/MM/YYY)." sqref="P95">
      <formula1>DATEVALUE(O27)</formula1>
      <formula2>TODAY()</formula2>
    </dataValidation>
    <dataValidation type="date" allowBlank="1" showInputMessage="1" showErrorMessage="1" errorTitle="Invalid date" error="Please enter a valid date (DD/MM/YYY) prior to today and later than financial year end date." sqref="P98">
      <formula1>DATEVALUE(O27)</formula1>
      <formula2>TODAY()</formula2>
    </dataValidation>
    <dataValidation type="textLength" operator="equal" allowBlank="1" showInputMessage="1" showErrorMessage="1" errorTitle="Invalid SRN" error="Please enter a valid SRN." sqref="Q89">
      <formula1>10</formula1>
    </dataValidation>
    <dataValidation type="textLength" operator="equal" allowBlank="1" showInputMessage="1" showErrorMessage="1" errorTitle="Invalid SRN" error="Please enter a valid SRN." sqref="R101">
      <formula1>10</formula1>
    </dataValidation>
    <dataValidation type="textLength" operator="equal" allowBlank="1" showInputMessage="1" showErrorMessage="1" errorTitle="Invalid SRN" error="Please enter a valid SRN." sqref="P102">
      <formula1>10</formula1>
    </dataValidation>
    <dataValidation type="textLength" operator="equal" allowBlank="1" showInputMessage="1" showErrorMessage="1" errorTitle="Invalid SRN" error="Please enter a valid SRN." sqref="P104">
      <formula1>10</formula1>
    </dataValidation>
    <dataValidation type="textLength" operator="equal" allowBlank="1" showInputMessage="1" showErrorMessage="1" errorTitle="Invalid CIN" error="Please enter a valid CIN." sqref="Q99">
      <formula1>21</formula1>
    </dataValidation>
    <dataValidation type="textLength" operator="equal" allowBlank="1" showInputMessage="1" showErrorMessage="1" errorTitle="Invalid CIN" error="Please enter a valid CIN." sqref="R109">
      <formula1>21</formula1>
    </dataValidation>
    <dataValidation type="textLength" operator="equal" allowBlank="1" showInputMessage="1" showErrorMessage="1" errorTitle="Invalid CIN" error="Please enter a valid CIN." sqref="P110">
      <formula1>21</formula1>
    </dataValidation>
    <dataValidation type="textLength" operator="equal" allowBlank="1" showInputMessage="1" showErrorMessage="1" errorTitle="Invalid entry" error="Pincode/Zipcode should be maximum 10 characters." sqref="Q175">
      <formula1>10</formula1>
    </dataValidation>
    <dataValidation type="textLength" operator="equal" allowBlank="1" showInputMessage="1" showErrorMessage="1" errorTitle="Invalid entry" error="Pincode/Zipcode should be maximum 10 characters." sqref="P187">
      <formula1>10</formula1>
    </dataValidation>
    <dataValidation type="textLength" operator="equal" allowBlank="1" showInputMessage="1" showErrorMessage="1" errorTitle="Invalid entry" error="Pincode/Zipcode should be maximum 10 characters." sqref="R187">
      <formula1>10</formula1>
    </dataValidation>
    <dataValidation type="textLength" operator="lessThanOrEqual" allowBlank="1" showInputMessage="1" showErrorMessage="1" errorTitle="Invalid entry" error="Area/Locality entry should be maximum 100 characters." sqref="Q177">
      <formula1>100</formula1>
    </dataValidation>
    <dataValidation type="textLength" operator="lessThanOrEqual" allowBlank="1" showInputMessage="1" showErrorMessage="1" errorTitle="Invalid entry" error="Area/Locality entry should be maximum 100 characters." sqref="P189">
      <formula1>100</formula1>
    </dataValidation>
    <dataValidation type="textLength" operator="lessThanOrEqual" allowBlank="1" showInputMessage="1" showErrorMessage="1" errorTitle="Invalid entry" error="Area/Locality entry should be maximum 100 characters." sqref="R189">
      <formula1>100</formula1>
    </dataValidation>
    <dataValidation type="textLength" operator="lessThanOrEqual" allowBlank="1" showInputMessage="1" showErrorMessage="1" errorTitle="Invalid entry" error="District name should be maximum 50 characters." sqref="Q181">
      <formula1>50</formula1>
    </dataValidation>
    <dataValidation type="textLength" operator="lessThanOrEqual" allowBlank="1" showInputMessage="1" showErrorMessage="1" errorTitle="Invalid entry" error="District name should be maximum 50 characters." sqref="P193">
      <formula1>50</formula1>
    </dataValidation>
    <dataValidation type="textLength" operator="lessThanOrEqual" allowBlank="1" showInputMessage="1" showErrorMessage="1" errorTitle="Invalid entry" error="District name should be maximum 50 characters." sqref="R193">
      <formula1>50</formula1>
    </dataValidation>
    <dataValidation type="textLength" operator="lessThanOrEqual" allowBlank="1" showInputMessage="1" showErrorMessage="1" errorTitle="Invalid Entry" error="State/UT name should ve maximum 50 characters." sqref="Q183">
      <formula1>50</formula1>
    </dataValidation>
    <dataValidation type="textLength" operator="lessThanOrEqual" allowBlank="1" showInputMessage="1" showErrorMessage="1" errorTitle="Invalid Entry" error="State/UT name should ve maximum 50 characters." sqref="P195">
      <formula1>50</formula1>
    </dataValidation>
    <dataValidation type="textLength" operator="lessThanOrEqual" allowBlank="1" showInputMessage="1" showErrorMessage="1" errorTitle="Invalid Entry" error="State/UT name should ve maximum 50 characters." sqref="R195">
      <formula1>50</formula1>
    </dataValidation>
    <dataValidation type="textLength" operator="lessThanOrEqual" allowBlank="1" showInputMessage="1" showErrorMessage="1" errorTitle="Invalid entry" error="Name of the service provider should be maximum 160 characters." sqref="Q187">
      <formula1>160</formula1>
    </dataValidation>
    <dataValidation type="textLength" operator="lessThanOrEqual" allowBlank="1" showInputMessage="1" showErrorMessage="1" errorTitle="Invalid entry" error="Name of the service provider should be maximum 160 characters." sqref="P199">
      <formula1>160</formula1>
    </dataValidation>
    <dataValidation type="textLength" operator="lessThanOrEqual" allowBlank="1" showInputMessage="1" showErrorMessage="1" errorTitle="Invalid entry" error="Name of the service provider should be maximum 160 characters." sqref="R199">
      <formula1>160</formula1>
    </dataValidation>
    <dataValidation type="textLength" operator="lessThanOrEqual" allowBlank="1" showInputMessage="1" showErrorMessage="1" errorTitle="Invalid entry" error="IP Address of the service provider should be maximum 100 characters." sqref="Q189">
      <formula1>100</formula1>
    </dataValidation>
    <dataValidation type="textLength" operator="lessThanOrEqual" allowBlank="1" showInputMessage="1" showErrorMessage="1" errorTitle="Invalid entry" error="IP Address of the service provider should be maximum 100 characters." sqref="P201">
      <formula1>100</formula1>
    </dataValidation>
    <dataValidation type="textLength" operator="lessThanOrEqual" allowBlank="1" showInputMessage="1" showErrorMessage="1" errorTitle="Invalid entry" error="Location of the service provider should be maximum 500 characters." sqref="Q191">
      <formula1>500</formula1>
    </dataValidation>
    <dataValidation type="textLength" operator="lessThanOrEqual" allowBlank="1" showInputMessage="1" showErrorMessage="1" errorTitle="Invalid Entry" error="Address of the service provider should be maximum 250 characters." sqref="Q195">
      <formula1>250</formula1>
    </dataValidation>
    <dataValidation type="textLength" operator="lessThanOrEqual" allowBlank="1" showInputMessage="1" showErrorMessage="1" errorTitle="Invalid Entry" error="Address of the service provider should be maximum 250 characters." sqref="R207">
      <formula1>250</formula1>
    </dataValidation>
    <dataValidation type="whole" allowBlank="1" showInputMessage="1" showErrorMessage="1" errorTitle="Invalid input" error="Please enter valid number of members of the company as on the date of filing." sqref="P18:Q18">
      <formula1>1</formula1>
      <formula2>10000</formula2>
    </dataValidation>
    <dataValidation type="whole" allowBlank="1" showInputMessage="1" showErrorMessage="1" errorTitle="Invalid input" error="Please enter valid number of members of the company as on the date of filing." sqref="R20">
      <formula1>1</formula1>
      <formula2>10000</formula2>
    </dataValidation>
    <dataValidation type="custom" operator="lessThan" allowBlank="1" showInputMessage="1" showErrorMessage="1" errorTitle="Invalid email address" error="Please enter a valid email address." sqref="P22:Q22">
      <formula1>ISNUMBER(MATCH("*@*.?*",P22,0))</formula1>
    </dataValidation>
    <dataValidation type="custom" operator="lessThan" allowBlank="1" showInputMessage="1" showErrorMessage="1" errorTitle="Invalid email address" error="Please enter a valid email address." sqref="R24">
      <formula1>ISNUMBER(MATCH("*@*.?*",P22,0))</formula1>
    </dataValidation>
    <dataValidation type="date" operator="greaterThan" allowBlank="1" showInputMessage="1" showErrorMessage="1" sqref="B29:Q29">
      <formula1>DATE(2014,4,1)</formula1>
    </dataValidation>
    <dataValidation type="date" operator="greaterThan" allowBlank="1" showInputMessage="1" showErrorMessage="1" sqref="R31">
      <formula1>DATE(2014,4,1)</formula1>
    </dataValidation>
    <dataValidation type="textLength" operator="equal" allowBlank="1" showInputMessage="1" showErrorMessage="1" errorTitle="Invalid SRN" error="Please enter a valid SRN. SRN should be 10 characters." sqref="R58">
      <formula1>10</formula1>
    </dataValidation>
    <dataValidation type="textLength" operator="equal" allowBlank="1" showInputMessage="1" showErrorMessage="1" errorTitle="Invalid SRN" error="Please enter a valid SRN. SRN should be 10 characters." sqref="M59:P59">
      <formula1>10</formula1>
    </dataValidation>
    <dataValidation type="date" allowBlank="1" showInputMessage="1" showErrorMessage="1" errorTitle="Invalid date" error="Please enter a valid date (DD/MM/YYY)." sqref="R94">
      <formula1>DATEVALUE(P27)</formula1>
      <formula2>TODAY()</formula2>
    </dataValidation>
    <dataValidation type="date" allowBlank="1" showInputMessage="1" showErrorMessage="1" errorTitle="Invalid date" error="Please enter a valid date (DD/MM/YYY)." sqref="Q82">
      <formula1>DATEVALUE(O27)</formula1>
      <formula2>TODAY()</formula2>
    </dataValidation>
    <dataValidation type="date" allowBlank="1" showInputMessage="1" showErrorMessage="1" errorTitle="Invalid date" error="Please enter a valid date (DD/MM/YYY) prior to today and later than financial year end date." sqref="R97">
      <formula1>DATEVALUE(P27)</formula1>
      <formula2>TODAY()</formula2>
    </dataValidation>
    <dataValidation type="date" allowBlank="1" showInputMessage="1" showErrorMessage="1" errorTitle="Invalid date" error="Please enter a valid date (DD/MM/YYY) prior to today and later than financial year end date." sqref="Q85">
      <formula1>DATEVALUE(O27)</formula1>
      <formula2>TODAY()</formula2>
    </dataValidation>
    <dataValidation type="date" allowBlank="1" showInputMessage="1" showErrorMessage="1" errorTitle="Invalid Date" error="Please enter a valid date (DD/MM/YYY) prior to today and later than the date of Board of directors' meeting in which boards' report referred under section 134 was approved" sqref="R76:R77">
      <formula1>DATEVALUE(G30)</formula1>
      <formula2>TODAY()</formula2>
    </dataValidation>
    <dataValidation type="date" operator="greaterThanOrEqual" allowBlank="1" showInputMessage="1" showErrorMessage="1" errorTitle="Invalid date" error="Please enter valid due date (DD/MM/YYY) of AGM after grant of extension which should be later than due date of AGM." sqref="Q91">
      <formula1>Q85</formula1>
    </dataValidation>
    <dataValidation type="date" operator="greaterThanOrEqual" allowBlank="1" showInputMessage="1" showErrorMessage="1" errorTitle="Invalid date" error="Please enter valid due date (DD/MM/YYY) of AGM after grant of extension which should be later than due date of AGM." sqref="R103">
      <formula1>Q85</formula1>
    </dataValidation>
    <dataValidation type="date" allowBlank="1" showInputMessage="1" showErrorMessage="1" errorTitle="Invalid Date" error="Please enter a valid date (DD/MM/YYY) prior to today and later than the date of Board of directors' meeting in which boards' report referred under section 134 was approved" sqref="Q63">
      <formula1>DATEVALUE(F31)</formula1>
      <formula2>TODAY()</formula2>
    </dataValidation>
    <dataValidation operator="equal" allowBlank="1" showInputMessage="1" showErrorMessage="1" errorTitle="Invalid CIN" error="Please enter a valid Active/under CIRP/Under liquidation CIN." sqref="B18:E18"/>
    <dataValidation operator="equal" allowBlank="1" showInputMessage="1" showErrorMessage="1" sqref="G89:J89"/>
    <dataValidation operator="equal" allowBlank="1" showInputMessage="1" showErrorMessage="1" sqref="G91:J91"/>
    <dataValidation operator="equal" allowBlank="1" showInputMessage="1" showErrorMessage="1" sqref="G99:J99"/>
    <dataValidation type="custom" allowBlank="1" showInputMessage="1" showErrorMessage="1" errorTitle="Invalid input" error="Please enter valid amount less than 999999999999999.99" sqref="A1">
      <formula1>AND(ISNUMBER(VALUE(A1)),LEN(A1)&lt;20,LEFT(A1,1)&lt;&gt;".",RIGHT(A1,1)&lt;&gt;".",IFERROR(FIND(".",A1),LEN(A1)-2)&gt;=LEN(A1)-2,IFERROR(FIND(".",SUBSTITUTE(SUBSTITUTE(A1,"+",""),"-","")),LEN(SUBSTITUTE(SUBSTITUTE(A1,"+",""),"-",""))+1)&lt;17)</formula1>
    </dataValidation>
    <dataValidation allowBlank="1" showInputMessage="1" showErrorMessage="1" errorTitle="Invalid input" error="Please enter valid amount max allowed 999999999999999.99" sqref="G224:L224"/>
    <dataValidation allowBlank="1" showInputMessage="1" showErrorMessage="1" errorTitle="Invalid input" error="Please enter valid amount max allowed 999999999999999.99" sqref="G245:L245"/>
    <dataValidation allowBlank="1" showInputMessage="1" showErrorMessage="1" errorTitle="Invalid input" error="Please enter valid amount max allowed 999999999999999.99" sqref="G263:L264"/>
    <dataValidation allowBlank="1" showInputMessage="1" showErrorMessage="1" errorTitle="Invalid input" error="Please enter valid amount max allowed 999999999999999.99" sqref="G278:L279"/>
    <dataValidation allowBlank="1" showInputMessage="1" showErrorMessage="1" errorTitle="Invalid input" error="Please enter valid amount max allowed 999999999999999.99" sqref="G291:L292"/>
    <dataValidation allowBlank="1" showInputMessage="1" showErrorMessage="1" errorTitle="Invalid input" error="Please enter valid amount max allowed 999999999999999.99" sqref="G296:O297"/>
    <dataValidation allowBlank="1" showInputMessage="1" showErrorMessage="1" errorTitle="Invalid input" error="Please enter valid amount max allowed 999999999999999.99" sqref="G308:L309"/>
    <dataValidation allowBlank="1" showInputMessage="1" showErrorMessage="1" errorTitle="Invalid input" error="Please enter valid amount max allowed 999999999999999.99" sqref="G313:L314"/>
    <dataValidation allowBlank="1" showInputMessage="1" showErrorMessage="1" errorTitle="Invalid input" error="Please enter valid amount max allowed 999999999999999.99" sqref="G324:L324"/>
    <dataValidation allowBlank="1" showInputMessage="1" showErrorMessage="1" errorTitle="Invalid input" error="Please enter valid amount max allowed 999999999999999.99" sqref="Q325:R326"/>
    <dataValidation allowBlank="1" showInputMessage="1" showErrorMessage="1" errorTitle="Invalid input" error="Please enter valid amount max allowed 999999999999999.99" sqref="G326"/>
    <dataValidation allowBlank="1" showInputMessage="1" showErrorMessage="1" errorTitle="Invalid input" error="Please enter valid amount max allowed 999999999999999.99" sqref="J326"/>
    <dataValidation allowBlank="1" showInputMessage="1" showErrorMessage="1" errorTitle="Invalid input" error="Please enter valid amount max allowed 999999999999999.99" sqref="P329"/>
    <dataValidation allowBlank="1" showInputMessage="1" showErrorMessage="1" errorTitle="Invalid input" error="Please enter valid amount max allowed 999999999999999.99" sqref="H395:M395"/>
    <dataValidation allowBlank="1" showInputMessage="1" showErrorMessage="1" errorTitle="Invalid input" error="Please enter valid amount max allowed 999999999999999.99" sqref="E401:O401"/>
    <dataValidation allowBlank="1" showInputMessage="1" showErrorMessage="1" errorTitle="Invalid input" error="Please enter valid amount max allowed 999999999999999.99" sqref="E404:O404"/>
    <dataValidation allowBlank="1" showInputMessage="1" showErrorMessage="1" errorTitle="Invalid input" error="Please enter valid amount max allowed 999999999999999.99" sqref="B409:D409"/>
    <dataValidation allowBlank="1" showInputMessage="1" showErrorMessage="1" errorTitle="Invalid input" error="Please enter valid amount max allowed 999999999999999.99" sqref="N409:O409"/>
    <dataValidation allowBlank="1" showInputMessage="1" showErrorMessage="1" errorTitle="Invalid input" error="Please enter valid amount max allowed 999999999999999.99" sqref="B415:O415"/>
    <dataValidation allowBlank="1" showInputMessage="1" showErrorMessage="1" errorTitle="Invalid input" error="Please enter valid amount max allowed 999999999999999.99" sqref="G461:L461"/>
    <dataValidation allowBlank="1" showInputMessage="1" showErrorMessage="1" errorTitle="Invalid input" error="Please enter valid amount max allowed 999999999999999.99" sqref="G476:L477"/>
    <dataValidation allowBlank="1" showInputMessage="1" showErrorMessage="1" errorTitle="Invalid input" error="Please enter valid amount max allowed 999999999999999.99" sqref="G479:L479"/>
    <dataValidation allowBlank="1" showInputMessage="1" showErrorMessage="1" errorTitle="Invalid input" error="Please enter valid amount max allowed 999999999999999.99" sqref="G481:L481"/>
    <dataValidation allowBlank="1" showInputMessage="1" showErrorMessage="1" errorTitle="Invalid input" error="Please enter valid amount max allowed 999999999999999.99" sqref="G485:L485"/>
    <dataValidation allowBlank="1" showInputMessage="1" showErrorMessage="1" errorTitle="Invalid input" error="Please enter valid amount max allowed 999999999999999.99" sqref="G488:L489"/>
    <dataValidation type="textLength" operator="lessThanOrEqual" allowBlank="1" showInputMessage="1" showErrorMessage="1" errorTitle="Invalid input" error="Please enter valid value max length allowed 160. " sqref="G185:J185">
      <formula1>160</formula1>
    </dataValidation>
    <dataValidation type="textLength" operator="lessThanOrEqual" allowBlank="1" showInputMessage="1" showErrorMessage="1" errorTitle="Invalid input" error="Please enter valid value max length allowed 160. " sqref="G598:J598">
      <formula1>160</formula1>
    </dataValidation>
    <dataValidation type="textLength" operator="lessThanOrEqual" allowBlank="1" showInputMessage="1" showErrorMessage="1" errorTitle="Invalid input" error="Please enter valid value max length allowed 160. " sqref="L601:O601">
      <formula1>160</formula1>
    </dataValidation>
    <dataValidation type="textLength" operator="lessThanOrEqual" allowBlank="1" showInputMessage="1" showErrorMessage="1" errorTitle="Invalid input" error="Please enter valid value max length allowed 100. " sqref="G187:J187">
      <formula1>100</formula1>
    </dataValidation>
    <dataValidation type="textLength" operator="lessThanOrEqual" allowBlank="1" showInputMessage="1" showErrorMessage="1" errorTitle="Invalid input" error="Please enter valid value max length allowed 500. " sqref="G189:J189">
      <formula1>500</formula1>
    </dataValidation>
    <dataValidation type="textLength" operator="lessThanOrEqual" allowBlank="1" showInputMessage="1" showErrorMessage="1" errorTitle="Invalid input" error="Please enter valid value max length allowed 500. " sqref="M370:O370">
      <formula1>500</formula1>
    </dataValidation>
    <dataValidation type="textLength" operator="lessThanOrEqual" allowBlank="1" showInputMessage="1" showErrorMessage="1" errorTitle="Invalid input" error="Please enter valid value max length allowed 500. " sqref="B432:E432">
      <formula1>500</formula1>
    </dataValidation>
    <dataValidation type="textLength" operator="lessThanOrEqual" allowBlank="1" showInputMessage="1" showErrorMessage="1" errorTitle="Invalid input" error="Please enter valid value max length allowed 500. " sqref="B438:E438">
      <formula1>500</formula1>
    </dataValidation>
    <dataValidation type="textLength" operator="lessThanOrEqual" allowBlank="1" showInputMessage="1" showErrorMessage="1" errorTitle="Invalid input" error="Please enter valid value max length allowed 500. " sqref="B594:O594">
      <formula1>500</formula1>
    </dataValidation>
    <dataValidation type="textLength" operator="lessThanOrEqual" allowBlank="1" showInputMessage="1" showErrorMessage="1" errorTitle="Invalid input" error="Please enter valid value max length allowed 250. " sqref="G194:J194">
      <formula1>250</formula1>
    </dataValidation>
    <dataValidation type="textLength" operator="lessThanOrEqual" allowBlank="1" showInputMessage="1" showErrorMessage="1" errorTitle="Invalid input" error="Please enter valid value max length allowed 250. " sqref="M204:O209">
      <formula1>250</formula1>
    </dataValidation>
    <dataValidation type="textLength" operator="lessThanOrEqual" allowBlank="1" showInputMessage="1" showErrorMessage="1" errorTitle="Invalid input" error="Please enter valid value max length allowed 250. " sqref="M212:O215">
      <formula1>250</formula1>
    </dataValidation>
    <dataValidation type="textLength" operator="lessThanOrEqual" allowBlank="1" showInputMessage="1" showErrorMessage="1" errorTitle="Invalid input" error="Please enter valid value max length allowed 250. " sqref="M218:O218">
      <formula1>250</formula1>
    </dataValidation>
    <dataValidation type="textLength" operator="lessThanOrEqual" allowBlank="1" showInputMessage="1" showErrorMessage="1" errorTitle="Invalid input" error="Please enter valid value max length allowed 250. " sqref="M220:O224">
      <formula1>250</formula1>
    </dataValidation>
    <dataValidation type="textLength" operator="lessThanOrEqual" allowBlank="1" showInputMessage="1" showErrorMessage="1" errorTitle="Invalid input" error="Please enter valid value max length allowed 250. " sqref="M229:O237">
      <formula1>250</formula1>
    </dataValidation>
    <dataValidation type="textLength" operator="lessThanOrEqual" allowBlank="1" showInputMessage="1" showErrorMessage="1" errorTitle="Invalid input" error="Please enter valid value max length allowed 250. " sqref="M239:O245">
      <formula1>250</formula1>
    </dataValidation>
    <dataValidation type="textLength" operator="lessThanOrEqual" allowBlank="1" showInputMessage="1" showErrorMessage="1" errorTitle="Invalid input" error="Please enter valid value max length allowed 250. " sqref="M252:O252">
      <formula1>250</formula1>
    </dataValidation>
    <dataValidation type="textLength" operator="lessThanOrEqual" allowBlank="1" showInputMessage="1" showErrorMessage="1" errorTitle="Invalid input" error="Please enter valid value max length allowed 250. " sqref="M254:O266">
      <formula1>250</formula1>
    </dataValidation>
    <dataValidation type="textLength" operator="lessThanOrEqual" allowBlank="1" showInputMessage="1" showErrorMessage="1" errorTitle="Invalid input" error="Please enter valid value max length allowed 250. " sqref="M272:O281">
      <formula1>250</formula1>
    </dataValidation>
    <dataValidation type="textLength" operator="lessThanOrEqual" allowBlank="1" showInputMessage="1" showErrorMessage="1" errorTitle="Invalid input" error="Please enter valid value max length allowed 250. " sqref="M287:O292">
      <formula1>250</formula1>
    </dataValidation>
    <dataValidation type="textLength" operator="lessThanOrEqual" allowBlank="1" showInputMessage="1" showErrorMessage="1" errorTitle="Invalid input" error="Please enter valid value max length allowed 250. " sqref="M294:O295">
      <formula1>250</formula1>
    </dataValidation>
    <dataValidation type="textLength" operator="lessThanOrEqual" allowBlank="1" showInputMessage="1" showErrorMessage="1" errorTitle="Invalid input" error="Please enter valid value max length allowed 250. " sqref="M298:O299">
      <formula1>250</formula1>
    </dataValidation>
    <dataValidation type="textLength" operator="lessThanOrEqual" allowBlank="1" showInputMessage="1" showErrorMessage="1" errorTitle="Invalid input" error="Please enter valid value max length allowed 250. " sqref="M304:O309">
      <formula1>250</formula1>
    </dataValidation>
    <dataValidation type="textLength" operator="lessThanOrEqual" allowBlank="1" showInputMessage="1" showErrorMessage="1" errorTitle="Invalid input" error="Please enter valid value max length allowed 250. " sqref="M311:O316">
      <formula1>250</formula1>
    </dataValidation>
    <dataValidation type="textLength" operator="lessThanOrEqual" allowBlank="1" showInputMessage="1" showErrorMessage="1" errorTitle="Invalid input" error="Please enter valid value max length allowed 250. " sqref="M321:O327">
      <formula1>250</formula1>
    </dataValidation>
    <dataValidation type="textLength" operator="lessThanOrEqual" allowBlank="1" showInputMessage="1" showErrorMessage="1" errorTitle="Invalid input" error="Please enter valid value max length allowed 250. " sqref="B394:D394">
      <formula1>250</formula1>
    </dataValidation>
    <dataValidation type="textLength" operator="lessThanOrEqual" allowBlank="1" showInputMessage="1" showErrorMessage="1" errorTitle="Invalid input" error="Please enter valid value max length allowed 250. " sqref="B400:D400">
      <formula1>250</formula1>
    </dataValidation>
    <dataValidation type="textLength" operator="lessThanOrEqual" allowBlank="1" showInputMessage="1" showErrorMessage="1" errorTitle="Invalid input" error="Please enter valid value max length allowed 250. " sqref="B408:D408">
      <formula1>250</formula1>
    </dataValidation>
    <dataValidation type="textLength" operator="lessThanOrEqual" allowBlank="1" showInputMessage="1" showErrorMessage="1" errorTitle="Invalid input" error="Please enter valid value max length allowed 250. " sqref="B414:D414">
      <formula1>250</formula1>
    </dataValidation>
    <dataValidation type="textLength" operator="lessThanOrEqual" allowBlank="1" showInputMessage="1" showErrorMessage="1" errorTitle="Invalid input" error="Please enter valid value max length allowed 250. " sqref="M449:O451">
      <formula1>250</formula1>
    </dataValidation>
    <dataValidation type="textLength" operator="lessThanOrEqual" allowBlank="1" showInputMessage="1" showErrorMessage="1" errorTitle="Invalid input" error="Please enter valid value max length allowed 250. " sqref="M453:O455">
      <formula1>250</formula1>
    </dataValidation>
    <dataValidation type="textLength" operator="lessThanOrEqual" allowBlank="1" showInputMessage="1" showErrorMessage="1" errorTitle="Invalid input" error="Please enter valid value max length allowed 250. " sqref="M457:O461">
      <formula1>250</formula1>
    </dataValidation>
    <dataValidation type="textLength" operator="lessThanOrEqual" allowBlank="1" showInputMessage="1" showErrorMessage="1" errorTitle="Invalid input" error="Please enter valid value max length allowed 250. " sqref="M463:O481">
      <formula1>250</formula1>
    </dataValidation>
    <dataValidation type="textLength" operator="lessThanOrEqual" allowBlank="1" showInputMessage="1" showErrorMessage="1" errorTitle="Invalid input" error="Please enter valid value max length allowed 250. " sqref="M483:O489">
      <formula1>250</formula1>
    </dataValidation>
    <dataValidation type="textLength" operator="lessThanOrEqual" allowBlank="1" showInputMessage="1" showErrorMessage="1" errorTitle="Invalid input" error="Please enter valid value max length allowed 250. " sqref="M491:O492">
      <formula1>250</formula1>
    </dataValidation>
    <dataValidation type="textLength" operator="lessThanOrEqual" allowBlank="1" showInputMessage="1" showErrorMessage="1" errorTitle="Invalid input" error="Please enter valid value max length allowed 250. " sqref="M494:O495">
      <formula1>250</formula1>
    </dataValidation>
    <dataValidation type="textLength" operator="lessThanOrEqual" allowBlank="1" showInputMessage="1" showErrorMessage="1" errorTitle="Invalid input" error="Please enter valid value max length allowed 250. " sqref="L500:O506">
      <formula1>250</formula1>
    </dataValidation>
    <dataValidation type="textLength" operator="lessThanOrEqual" allowBlank="1" showInputMessage="1" showErrorMessage="1" errorTitle="Invalid input" error="Please enter valid value max length allowed 250. " sqref="L511:O513">
      <formula1>250</formula1>
    </dataValidation>
    <dataValidation type="textLength" operator="lessThanOrEqual" allowBlank="1" showInputMessage="1" showErrorMessage="1" errorTitle="Invalid input" error="Please enter valid value max length allowed 250. " sqref="L515:O521">
      <formula1>250</formula1>
    </dataValidation>
    <dataValidation type="whole" allowBlank="1" showInputMessage="1" showErrorMessage="1" errorTitle="Invalid input" error="Please enter valid value between 1 and 15." sqref="B540:C540">
      <formula1>0</formula1>
      <formula2>15</formula2>
    </dataValidation>
    <dataValidation type="textLength" operator="equal" allowBlank="1" showInputMessage="1" showErrorMessage="1" errorTitle="Invalid input" error="Please enter valid 4 digit code." sqref="B543:C557">
      <formula1>4</formula1>
    </dataValidation>
    <dataValidation type="textLength" operator="lessThanOrEqual" allowBlank="1" showInputMessage="1" showErrorMessage="1" errorTitle="Invalid input" error="Please enter valid value max length allowed 50. " sqref="D543:F557">
      <formula1>50</formula1>
    </dataValidation>
    <dataValidation type="textLength" operator="lessThanOrEqual" allowBlank="1" showInputMessage="1" showErrorMessage="1" errorTitle="Invalid input" error="Please enter valid value max length allowed 50. " sqref="K543:L557">
      <formula1>50</formula1>
    </dataValidation>
    <dataValidation type="textLength" operator="equal" allowBlank="1" showInputMessage="1" showErrorMessage="1" errorTitle="Invalid input" error="Please enter valid value max length allowed 8." sqref="I543:J557">
      <formula1>8</formula1>
    </dataValidation>
    <dataValidation type="textLength" operator="lessThanOrEqual" allowBlank="1" showInputMessage="1" showErrorMessage="1" errorTitle="Invalid input" error="Please enter valid value max length allowed 1000. " sqref="C571:O571">
      <formula1>1000</formula1>
    </dataValidation>
    <dataValidation type="whole" allowBlank="1" showInputMessage="1" showErrorMessage="1" errorTitle="Invalid input" error="Please enter valid value between 1 and 20" sqref="B591:E591">
      <formula1>1</formula1>
      <formula2>20</formula2>
    </dataValidation>
    <dataValidation type="textLength" operator="lessThanOrEqual" allowBlank="1" showInputMessage="1" showErrorMessage="1" errorTitle="Invalid input" error="Please enter valid value max length allowed 75. " sqref="B598:E598">
      <formula1>75</formula1>
    </dataValidation>
    <dataValidation type="textLength" operator="lessThanOrEqual" allowBlank="1" showInputMessage="1" showErrorMessage="1" errorTitle="Invalid input" error="Please enter valid value max length allowed 21. " sqref="L598:O598">
      <formula1>21</formula1>
    </dataValidation>
    <dataValidation type="textLength" operator="lessThanOrEqual" allowBlank="1" showInputMessage="1" showErrorMessage="1" errorTitle="Invalid input" error="Please enter valid value max length allowed 21. " sqref="B601:E601">
      <formula1>21</formula1>
    </dataValidation>
    <dataValidation type="textLength" operator="lessThanOrEqual" allowBlank="1" showInputMessage="1" showErrorMessage="1" errorTitle="Invalid input" error="Please enter valid value max length allowed 21. " sqref="G601:J601">
      <formula1>21</formula1>
    </dataValidation>
    <dataValidation type="textLength" operator="lessThanOrEqual" allowBlank="1" showInputMessage="1" showErrorMessage="1" errorTitle="Invalid input" error="Please enter valid value max length allowed 10. " sqref="B604:E604">
      <formula1>10</formula1>
    </dataValidation>
    <dataValidation type="date" allowBlank="1" showInputMessage="1" showErrorMessage="1" errorTitle="Invalid Date" error="Please enter a valid date (DD/MM/YYY) prior to today and later than the date of Board of directors' meeting in which boards' report referred under section 134 was approved" sqref="P77:P78">
      <formula1>DATEVALUE(E30)</formula1>
      <formula2>TODAY()</formula2>
    </dataValidation>
    <dataValidation type="list" operator="equal" allowBlank="1" showInputMessage="1" showErrorMessage="1" sqref="G103:J103">
      <formula1>$BZ$2:$BZ$3</formula1>
    </dataValidation>
    <dataValidation type="textLength" operator="lessThanOrEqual" allowBlank="1" showInputMessage="1" showErrorMessage="1" errorTitle="Invalid entry" error="Address line entry should be max 160 characters" sqref="F129">
      <formula1>160</formula1>
    </dataValidation>
    <dataValidation allowBlank="1" showInputMessage="1" showErrorMessage="1" errorTitle="Invalid input" sqref="O335:O336"/>
    <dataValidation type="custom" allowBlank="1" showInputMessage="1" showErrorMessage="1" error="Please enter valid resolution number." sqref="I609">
      <formula1>AND(LEN(I609)&lt;=10,ISNUMBER(SUMPRODUCT(SEARCH(MID(I609,ROW(INDIRECT("1:10")),1),"0123456789abcdefghijklmnopqrstuvwxyzABCDEFGHIJKLMNOPQRSTUVWXYZ"))))</formula1>
    </dataValidation>
    <dataValidation type="custom" allowBlank="1" showInputMessage="1" showErrorMessage="1" error="Please enter a valid DIN or PAN." sqref="J626">
      <formula1>AND(LEN(J626)&lt;=10,ISNUMBER(SUMPRODUCT(SEARCH(MID(J626,ROW(INDIRECT("1:10")),1),"0123456789abcdefghijklmnopqrstuvwxyzABCDEFGHIJKLMNOPQRSTUVWXYZ"))))</formula1>
    </dataValidation>
    <dataValidation type="custom" allowBlank="1" showInputMessage="1" showErrorMessage="1" error="Please enter a valid membership  number, It should be less than or equal to numeric 6 characters. " sqref="J652:L652">
      <formula1>AND(ISNUMBER(J652+0),LEN(J652)&lt;=6)</formula1>
    </dataValidation>
    <dataValidation type="custom" allowBlank="1" showInputMessage="1" showErrorMessage="1" errorTitle="Invalid input" error="Please enter valid resolution number, It should be less than or equal to alphanumeric 160 characters" sqref="M609">
      <formula1>AND(LEN(M609)&lt;=160,SUMPRODUCT(--ISNUMBER(SEARCH(MID(M609,ROW(INDIRECT("1:"&amp;LEN(M609))),1),"0123456789ABCDEFGHIJKLMNOPQRSTUVWXYZabcdefghijklmnopqrstuvwxyz")))&gt;0)</formula1>
    </dataValidation>
    <dataValidation type="custom" allowBlank="1" showInputMessage="1" showErrorMessage="1" errorTitle="Invalid input" error="Please enter valid resolution number, It should be less than or equal to alphanumeric 10 characters" sqref="J609:L609">
      <formula1>AND(LEN(J609)&lt;=10,SUMPRODUCT(--ISNUMBER(SEARCH(MID(J609,ROW(INDIRECT("1:"&amp;LEN(J609))),1),"0123456789ABCDEFGHIJKLMNOPQRSTUVWXYZabcdefghijklmnopqrstuvwxyz")))&gt;0)</formula1>
    </dataValidation>
    <dataValidation type="custom" allowBlank="1" showInputMessage="1" showErrorMessage="1" errorTitle="Invalid input" error="Please enter valid certificate of practice number, It should be less than or equal to alphanumeric 6 characters" sqref="J654:M654">
      <formula1>AND(LEN(J654)&lt;=6,SUMPRODUCT(--ISNUMBER(SEARCH(MID(J654,ROW(INDIRECT("1:"&amp;LEN(J654))),1),"0123456789ABCDEFGHIJKLMNOPQRSTUVWXYZabcdefghijklmnopqrstuvwxyz")))&gt;0)</formula1>
    </dataValidation>
    <dataValidation type="textLength" allowBlank="1" showInputMessage="1" showErrorMessage="1" error="Please enter valid value max length allowed 160. " sqref="G101:J101">
      <formula1>1</formula1>
      <formula2>160</formula2>
    </dataValidation>
    <dataValidation type="custom" allowBlank="1" showInputMessage="1" showErrorMessage="1" errorTitle="Invalid input" error="Please enter valid amount max allowed 999999.999" sqref="M525:O525">
      <formula1>AND(ISNUMBER(VALUE(M525)),LEN(M525)&lt;20,LEFT(M525,1)&lt;&gt;".",RIGHT(M525,1)&lt;&gt;".",IFERROR(FIND(".",M525),LEN(M525)-3)&gt;=LEN(M525)-3,IFERROR(FIND(".",SUBSTITUTE(SUBSTITUTE(M525,"+",""),"-","")),LEN(SUBSTITUTE(SUBSTITUTE(M525,"+",""),"-",""))+1)&lt;17)</formula1>
    </dataValidation>
  </dataValidations>
  <pageMargins left="0.7" right="0.7" top="0.75" bottom="0.75" header="0.3" footer="0.3"/>
  <pageSetup orientation="portrait" paperSize="9" r:id="rId28"/>
  <drawing r:id="rId26"/>
  <legacyDrawing r:id="rId27"/>
  <mc:AlternateContent xmlns:mc="http://schemas.openxmlformats.org/markup-compatibility/2006">
    <mc:Choice Requires="x14">
      <controls>
        <mc:AlternateContent xmlns:mc="http://schemas.openxmlformats.org/markup-compatibility/2006">
          <mc:Choice Requires="x14">
            <control shapeId="2050" r:id="rId2" name="Label 104">
              <controlPr defaultSize="0" autoLine="0" autoPict="0">
                <anchor moveWithCells="1" sizeWithCells="1">
                  <from>
                    <xdr:col>6</xdr:col>
                    <xdr:colOff>330200</xdr:colOff>
                    <xdr:row>199</xdr:row>
                    <xdr:rowOff>673100</xdr:rowOff>
                  </from>
                  <to>
                    <xdr:col>7</xdr:col>
                    <xdr:colOff>558800</xdr:colOff>
                    <xdr:row>200</xdr:row>
                    <xdr:rowOff>0</xdr:rowOff>
                  </to>
                </anchor>
              </controlPr>
            </control>
          </mc:Choice>
        </mc:AlternateContent>
        <mc:AlternateContent xmlns:mc="http://schemas.openxmlformats.org/markup-compatibility/2006">
          <mc:Choice Requires="x14">
            <control shapeId="2051" r:id="rId3" name="Label 144">
              <controlPr defaultSize="0" autoLine="0" autoPict="0">
                <anchor moveWithCells="1" sizeWithCells="1">
                  <from>
                    <xdr:col>6</xdr:col>
                    <xdr:colOff>330200</xdr:colOff>
                    <xdr:row>198</xdr:row>
                    <xdr:rowOff>673100</xdr:rowOff>
                  </from>
                  <to>
                    <xdr:col>7</xdr:col>
                    <xdr:colOff>558800</xdr:colOff>
                    <xdr:row>199</xdr:row>
                    <xdr:rowOff>0</xdr:rowOff>
                  </to>
                </anchor>
              </controlPr>
            </control>
          </mc:Choice>
        </mc:AlternateContent>
        <mc:AlternateContent xmlns:mc="http://schemas.openxmlformats.org/markup-compatibility/2006">
          <mc:Choice Requires="x14">
            <control shapeId="2052" r:id="rId4" name="Drop Down 151">
              <controlPr defaultSize="0" autoLine="0" linkedCell="$AA$36" listFillRange="$BU$2:$BU$4" autoPict="0">
                <anchor moveWithCells="1">
                  <from>
                    <xdr:col>1</xdr:col>
                    <xdr:colOff>25400</xdr:colOff>
                    <xdr:row>35</xdr:row>
                    <xdr:rowOff>25400</xdr:rowOff>
                  </from>
                  <to>
                    <xdr:col>4</xdr:col>
                    <xdr:colOff>641350</xdr:colOff>
                    <xdr:row>55</xdr:row>
                    <xdr:rowOff>180975</xdr:rowOff>
                  </to>
                </anchor>
              </controlPr>
            </control>
          </mc:Choice>
        </mc:AlternateContent>
        <mc:AlternateContent xmlns:mc="http://schemas.openxmlformats.org/markup-compatibility/2006">
          <mc:Choice Requires="x14">
            <control shapeId="2053" r:id="rId5" name="Drop Down 152">
              <controlPr defaultSize="0" autoLine="0" linkedCell="$AA$39" listFillRange="$BU$2:$BU$4" autoPict="0">
                <anchor moveWithCells="1">
                  <from>
                    <xdr:col>1</xdr:col>
                    <xdr:colOff>25400</xdr:colOff>
                    <xdr:row>38</xdr:row>
                    <xdr:rowOff>25400</xdr:rowOff>
                  </from>
                  <to>
                    <xdr:col>4</xdr:col>
                    <xdr:colOff>641350</xdr:colOff>
                    <xdr:row>55</xdr:row>
                    <xdr:rowOff>180975</xdr:rowOff>
                  </to>
                </anchor>
              </controlPr>
            </control>
          </mc:Choice>
        </mc:AlternateContent>
        <mc:AlternateContent xmlns:mc="http://schemas.openxmlformats.org/markup-compatibility/2006">
          <mc:Choice Requires="x14">
            <control shapeId="2054" r:id="rId6" name="Drop Down 153">
              <controlPr defaultSize="0" autoLine="0" linkedCell="$AA$81" listFillRange="$BU$2:$BU$4" autoPict="0">
                <anchor moveWithCells="1">
                  <from>
                    <xdr:col>6</xdr:col>
                    <xdr:colOff>0</xdr:colOff>
                    <xdr:row>80</xdr:row>
                    <xdr:rowOff>0</xdr:rowOff>
                  </from>
                  <to>
                    <xdr:col>10</xdr:col>
                    <xdr:colOff>0</xdr:colOff>
                    <xdr:row>81</xdr:row>
                    <xdr:rowOff>25400</xdr:rowOff>
                  </to>
                </anchor>
              </controlPr>
            </control>
          </mc:Choice>
        </mc:AlternateContent>
        <mc:AlternateContent xmlns:mc="http://schemas.openxmlformats.org/markup-compatibility/2006">
          <mc:Choice Requires="x14">
            <control shapeId="2055" r:id="rId7" name="Drop Down 154">
              <controlPr defaultSize="0" autoLine="0" linkedCell="$AA$87" listFillRange="$BT$2:$BT$3" autoPict="0">
                <anchor moveWithCells="1">
                  <from>
                    <xdr:col>6</xdr:col>
                    <xdr:colOff>0</xdr:colOff>
                    <xdr:row>86</xdr:row>
                    <xdr:rowOff>25400</xdr:rowOff>
                  </from>
                  <to>
                    <xdr:col>10</xdr:col>
                    <xdr:colOff>25400</xdr:colOff>
                    <xdr:row>87</xdr:row>
                    <xdr:rowOff>25400</xdr:rowOff>
                  </to>
                </anchor>
              </controlPr>
            </control>
          </mc:Choice>
        </mc:AlternateContent>
        <mc:AlternateContent xmlns:mc="http://schemas.openxmlformats.org/markup-compatibility/2006">
          <mc:Choice Requires="x14">
            <control shapeId="2056" r:id="rId8" name="Drop Down 155">
              <controlPr defaultSize="0" autoLine="0" linkedCell="$AA$97" listFillRange="$BT$2:$BT$3" autoPict="0">
                <anchor moveWithCells="1">
                  <from>
                    <xdr:col>1</xdr:col>
                    <xdr:colOff>139700</xdr:colOff>
                    <xdr:row>96</xdr:row>
                    <xdr:rowOff>25400</xdr:rowOff>
                  </from>
                  <to>
                    <xdr:col>5</xdr:col>
                    <xdr:colOff>44450</xdr:colOff>
                    <xdr:row>96</xdr:row>
                    <xdr:rowOff>177800</xdr:rowOff>
                  </to>
                </anchor>
              </controlPr>
            </control>
          </mc:Choice>
        </mc:AlternateContent>
        <mc:AlternateContent xmlns:mc="http://schemas.openxmlformats.org/markup-compatibility/2006">
          <mc:Choice Requires="x14">
            <control shapeId="2057" r:id="rId9" name="Drop Down 156">
              <controlPr defaultSize="0" autoLine="0" linkedCell="$AA$108" listFillRange="$BT$2:$BT$3" autoPict="0">
                <anchor moveWithCells="1">
                  <from>
                    <xdr:col>1</xdr:col>
                    <xdr:colOff>152400</xdr:colOff>
                    <xdr:row>107</xdr:row>
                    <xdr:rowOff>0</xdr:rowOff>
                  </from>
                  <to>
                    <xdr:col>5</xdr:col>
                    <xdr:colOff>63500</xdr:colOff>
                    <xdr:row>108</xdr:row>
                    <xdr:rowOff>0</xdr:rowOff>
                  </to>
                </anchor>
              </controlPr>
            </control>
          </mc:Choice>
        </mc:AlternateContent>
        <mc:AlternateContent xmlns:mc="http://schemas.openxmlformats.org/markup-compatibility/2006">
          <mc:Choice Requires="x14">
            <control shapeId="2058" r:id="rId10" name="Drop Down 158">
              <controlPr defaultSize="0" autoLine="0" linkedCell="$AA$157" listFillRange="$BT$2:$BT$3" autoPict="0">
                <anchor moveWithCells="1">
                  <from>
                    <xdr:col>1</xdr:col>
                    <xdr:colOff>190500</xdr:colOff>
                    <xdr:row>156</xdr:row>
                    <xdr:rowOff>25400</xdr:rowOff>
                  </from>
                  <to>
                    <xdr:col>5</xdr:col>
                    <xdr:colOff>6350</xdr:colOff>
                    <xdr:row>157</xdr:row>
                    <xdr:rowOff>25400</xdr:rowOff>
                  </to>
                </anchor>
              </controlPr>
            </control>
          </mc:Choice>
        </mc:AlternateContent>
        <mc:AlternateContent xmlns:mc="http://schemas.openxmlformats.org/markup-compatibility/2006">
          <mc:Choice Requires="x14">
            <control shapeId="2059" r:id="rId11" name="Drop Down 159">
              <controlPr defaultSize="0" autoLine="0" linkedCell="$AA$160" listFillRange="$BT$2:$BT$3" autoPict="0">
                <anchor moveWithCells="1">
                  <from>
                    <xdr:col>1</xdr:col>
                    <xdr:colOff>190500</xdr:colOff>
                    <xdr:row>159</xdr:row>
                    <xdr:rowOff>25400</xdr:rowOff>
                  </from>
                  <to>
                    <xdr:col>5</xdr:col>
                    <xdr:colOff>6350</xdr:colOff>
                    <xdr:row>160</xdr:row>
                    <xdr:rowOff>25400</xdr:rowOff>
                  </to>
                </anchor>
              </controlPr>
            </control>
          </mc:Choice>
        </mc:AlternateContent>
        <mc:AlternateContent xmlns:mc="http://schemas.openxmlformats.org/markup-compatibility/2006">
          <mc:Choice Requires="x14">
            <control shapeId="2060" r:id="rId12" name="Drop Down 160">
              <controlPr defaultSize="0" autoLine="0" linkedCell="$AA$163" listFillRange="$BT$2:$BT$3" autoPict="0">
                <anchor moveWithCells="1">
                  <from>
                    <xdr:col>1</xdr:col>
                    <xdr:colOff>190500</xdr:colOff>
                    <xdr:row>162</xdr:row>
                    <xdr:rowOff>0</xdr:rowOff>
                  </from>
                  <to>
                    <xdr:col>5</xdr:col>
                    <xdr:colOff>6350</xdr:colOff>
                    <xdr:row>163</xdr:row>
                    <xdr:rowOff>0</xdr:rowOff>
                  </to>
                </anchor>
              </controlPr>
            </control>
          </mc:Choice>
        </mc:AlternateContent>
        <mc:AlternateContent xmlns:mc="http://schemas.openxmlformats.org/markup-compatibility/2006">
          <mc:Choice Requires="x14">
            <control shapeId="2061" r:id="rId13" name="Drop Down 161">
              <controlPr defaultSize="0" autoLine="0" linkedCell="$AA$191" listFillRange="$BT$2:$BT$3" autoPict="0">
                <anchor moveWithCells="1">
                  <from>
                    <xdr:col>6</xdr:col>
                    <xdr:colOff>25400</xdr:colOff>
                    <xdr:row>190</xdr:row>
                    <xdr:rowOff>0</xdr:rowOff>
                  </from>
                  <to>
                    <xdr:col>10</xdr:col>
                    <xdr:colOff>0</xdr:colOff>
                    <xdr:row>196</xdr:row>
                    <xdr:rowOff>25400</xdr:rowOff>
                  </to>
                </anchor>
              </controlPr>
            </control>
          </mc:Choice>
        </mc:AlternateContent>
        <mc:AlternateContent xmlns:mc="http://schemas.openxmlformats.org/markup-compatibility/2006">
          <mc:Choice Requires="x14">
            <control shapeId="2062" r:id="rId14" name="Drop Down 162">
              <controlPr defaultSize="0" autoLine="0" linkedCell="$AA$369" listFillRange="$BT$2:$BT$3" autoPict="0">
                <anchor moveWithCells="1">
                  <from>
                    <xdr:col>12</xdr:col>
                    <xdr:colOff>0</xdr:colOff>
                    <xdr:row>368</xdr:row>
                    <xdr:rowOff>6350</xdr:rowOff>
                  </from>
                  <to>
                    <xdr:col>15</xdr:col>
                    <xdr:colOff>0</xdr:colOff>
                    <xdr:row>369</xdr:row>
                    <xdr:rowOff>0</xdr:rowOff>
                  </to>
                </anchor>
              </controlPr>
            </control>
          </mc:Choice>
        </mc:AlternateContent>
        <mc:AlternateContent xmlns:mc="http://schemas.openxmlformats.org/markup-compatibility/2006">
          <mc:Choice Requires="x14">
            <control shapeId="2063" r:id="rId15" name="Drop Down 163">
              <controlPr defaultSize="0" autoLine="0" linkedCell="$AA$427" listFillRange="$BT$2:$BT$3" autoPict="0">
                <anchor moveWithCells="1">
                  <from>
                    <xdr:col>1</xdr:col>
                    <xdr:colOff>25400</xdr:colOff>
                    <xdr:row>428</xdr:row>
                    <xdr:rowOff>6350</xdr:rowOff>
                  </from>
                  <to>
                    <xdr:col>4</xdr:col>
                    <xdr:colOff>615950</xdr:colOff>
                    <xdr:row>429</xdr:row>
                    <xdr:rowOff>6350</xdr:rowOff>
                  </to>
                </anchor>
              </controlPr>
            </control>
          </mc:Choice>
        </mc:AlternateContent>
        <mc:AlternateContent xmlns:mc="http://schemas.openxmlformats.org/markup-compatibility/2006">
          <mc:Choice Requires="x14">
            <control shapeId="2064" r:id="rId16" name="Drop Down 164">
              <controlPr defaultSize="0" autoLine="0" linkedCell="$AA$433" listFillRange="$BT$2:$BT$3" autoPict="0">
                <anchor moveWithCells="1">
                  <from>
                    <xdr:col>1</xdr:col>
                    <xdr:colOff>0</xdr:colOff>
                    <xdr:row>434</xdr:row>
                    <xdr:rowOff>6350</xdr:rowOff>
                  </from>
                  <to>
                    <xdr:col>4</xdr:col>
                    <xdr:colOff>647700</xdr:colOff>
                    <xdr:row>435</xdr:row>
                    <xdr:rowOff>6350</xdr:rowOff>
                  </to>
                </anchor>
              </controlPr>
            </control>
          </mc:Choice>
        </mc:AlternateContent>
        <mc:AlternateContent xmlns:mc="http://schemas.openxmlformats.org/markup-compatibility/2006">
          <mc:Choice Requires="x14">
            <control shapeId="2065" r:id="rId17" name="Drop Down 165">
              <controlPr defaultSize="0" autoLine="0" linkedCell="$AA$563" listFillRange="$BT$2:$BT$3" autoPict="0">
                <anchor moveWithCells="1">
                  <from>
                    <xdr:col>1</xdr:col>
                    <xdr:colOff>25400</xdr:colOff>
                    <xdr:row>562</xdr:row>
                    <xdr:rowOff>25400</xdr:rowOff>
                  </from>
                  <to>
                    <xdr:col>4</xdr:col>
                    <xdr:colOff>641350</xdr:colOff>
                    <xdr:row>562</xdr:row>
                    <xdr:rowOff>177800</xdr:rowOff>
                  </to>
                </anchor>
              </controlPr>
            </control>
          </mc:Choice>
        </mc:AlternateContent>
        <mc:AlternateContent xmlns:mc="http://schemas.openxmlformats.org/markup-compatibility/2006">
          <mc:Choice Requires="x14">
            <control shapeId="2066" r:id="rId18" name="Drop Down 166">
              <controlPr defaultSize="0" autoLine="0" linkedCell="$AA$574" listFillRange="$BT$2:$BT$3" autoPict="0">
                <anchor moveWithCells="1">
                  <from>
                    <xdr:col>1</xdr:col>
                    <xdr:colOff>25400</xdr:colOff>
                    <xdr:row>573</xdr:row>
                    <xdr:rowOff>0</xdr:rowOff>
                  </from>
                  <to>
                    <xdr:col>4</xdr:col>
                    <xdr:colOff>647700</xdr:colOff>
                    <xdr:row>579</xdr:row>
                    <xdr:rowOff>25400</xdr:rowOff>
                  </to>
                </anchor>
              </controlPr>
            </control>
          </mc:Choice>
        </mc:AlternateContent>
        <mc:AlternateContent xmlns:mc="http://schemas.openxmlformats.org/markup-compatibility/2006">
          <mc:Choice Requires="x14">
            <control shapeId="2067" r:id="rId19" name="Drop Down 167">
              <controlPr defaultSize="0" autoLine="0" linkedCell="$AA$567" listFillRange="$BU$2:$BU$5" autoPict="0">
                <anchor moveWithCells="1">
                  <from>
                    <xdr:col>1</xdr:col>
                    <xdr:colOff>25400</xdr:colOff>
                    <xdr:row>565</xdr:row>
                    <xdr:rowOff>406400</xdr:rowOff>
                  </from>
                  <to>
                    <xdr:col>4</xdr:col>
                    <xdr:colOff>635000</xdr:colOff>
                    <xdr:row>567</xdr:row>
                    <xdr:rowOff>0</xdr:rowOff>
                  </to>
                </anchor>
              </controlPr>
            </control>
          </mc:Choice>
        </mc:AlternateContent>
        <mc:AlternateContent xmlns:mc="http://schemas.openxmlformats.org/markup-compatibility/2006">
          <mc:Choice Requires="x14">
            <control shapeId="2068" r:id="rId20" name="Drop Down 168">
              <controlPr defaultSize="0" autoLine="0" linkedCell="$AA$585" listFillRange="$BT$2:$BT$3" autoPict="0">
                <anchor moveWithCells="1">
                  <from>
                    <xdr:col>1</xdr:col>
                    <xdr:colOff>25400</xdr:colOff>
                    <xdr:row>583</xdr:row>
                    <xdr:rowOff>177800</xdr:rowOff>
                  </from>
                  <to>
                    <xdr:col>4</xdr:col>
                    <xdr:colOff>635000</xdr:colOff>
                    <xdr:row>585</xdr:row>
                    <xdr:rowOff>0</xdr:rowOff>
                  </to>
                </anchor>
              </controlPr>
            </control>
          </mc:Choice>
        </mc:AlternateContent>
        <mc:AlternateContent xmlns:mc="http://schemas.openxmlformats.org/markup-compatibility/2006">
          <mc:Choice Requires="x14">
            <control shapeId="2069" r:id="rId21" name="Drop Down 169">
              <controlPr defaultSize="0" autoLine="0" linkedCell="$AA$588" listFillRange="$BT$2:$BT$3" autoPict="0">
                <anchor moveWithCells="1">
                  <from>
                    <xdr:col>1</xdr:col>
                    <xdr:colOff>25400</xdr:colOff>
                    <xdr:row>587</xdr:row>
                    <xdr:rowOff>0</xdr:rowOff>
                  </from>
                  <to>
                    <xdr:col>4</xdr:col>
                    <xdr:colOff>647700</xdr:colOff>
                    <xdr:row>606</xdr:row>
                    <xdr:rowOff>25400</xdr:rowOff>
                  </to>
                </anchor>
              </controlPr>
            </control>
          </mc:Choice>
        </mc:AlternateContent>
        <mc:AlternateContent xmlns:mc="http://schemas.openxmlformats.org/markup-compatibility/2006">
          <mc:Choice Requires="x14">
            <control shapeId="2070" r:id="rId22" name="Drop Down 174">
              <controlPr defaultSize="0" autoLine="0" linkedCell="$AA$577" listFillRange="$BT$2:$BT$3" autoPict="0">
                <anchor moveWithCells="1">
                  <from>
                    <xdr:col>1</xdr:col>
                    <xdr:colOff>31750</xdr:colOff>
                    <xdr:row>576</xdr:row>
                    <xdr:rowOff>0</xdr:rowOff>
                  </from>
                  <to>
                    <xdr:col>4</xdr:col>
                    <xdr:colOff>635000</xdr:colOff>
                    <xdr:row>579</xdr:row>
                    <xdr:rowOff>0</xdr:rowOff>
                  </to>
                </anchor>
              </controlPr>
            </control>
          </mc:Choice>
        </mc:AlternateContent>
        <mc:AlternateContent xmlns:mc="http://schemas.openxmlformats.org/markup-compatibility/2006">
          <mc:Choice Requires="x14">
            <control shapeId="2071" r:id="rId23" name="Drop Down 177">
              <controlPr defaultSize="0" autoLine="0" linkedCell="$AA$622" listFillRange="$CB$2:$CB$7" autoPict="0">
                <anchor moveWithCells="1">
                  <from>
                    <xdr:col>8</xdr:col>
                    <xdr:colOff>635000</xdr:colOff>
                    <xdr:row>621</xdr:row>
                    <xdr:rowOff>25400</xdr:rowOff>
                  </from>
                  <to>
                    <xdr:col>12</xdr:col>
                    <xdr:colOff>25400</xdr:colOff>
                    <xdr:row>622</xdr:row>
                    <xdr:rowOff>25400</xdr:rowOff>
                  </to>
                </anchor>
              </controlPr>
            </control>
          </mc:Choice>
        </mc:AlternateContent>
        <mc:AlternateContent xmlns:mc="http://schemas.openxmlformats.org/markup-compatibility/2006">
          <mc:Choice Requires="x14">
            <control shapeId="2072" r:id="rId24" name="Drop Down 181">
              <controlPr defaultSize="0" autoLine="0" linkedCell="$AA$650" listFillRange="$CD$2:$CD$3" autoPict="0">
                <anchor moveWithCells="1">
                  <from>
                    <xdr:col>9</xdr:col>
                    <xdr:colOff>6350</xdr:colOff>
                    <xdr:row>649</xdr:row>
                    <xdr:rowOff>12700</xdr:rowOff>
                  </from>
                  <to>
                    <xdr:col>12</xdr:col>
                    <xdr:colOff>6350</xdr:colOff>
                    <xdr:row>649</xdr:row>
                    <xdr:rowOff>177800</xdr:rowOff>
                  </to>
                </anchor>
              </controlPr>
            </control>
          </mc:Choice>
        </mc:AlternateContent>
        <mc:AlternateContent xmlns:mc="http://schemas.openxmlformats.org/markup-compatibility/2006">
          <mc:Choice Requires="x14">
            <control shapeId="2073" r:id="rId25" name="Drop Down 182">
              <controlPr defaultSize="0" autoLine="0" linkedCell="$AA$648" listFillRange="$CC$2:$CC$4" autoPict="0">
                <anchor moveWithCells="1">
                  <from>
                    <xdr:col>9</xdr:col>
                    <xdr:colOff>6350</xdr:colOff>
                    <xdr:row>647</xdr:row>
                    <xdr:rowOff>0</xdr:rowOff>
                  </from>
                  <to>
                    <xdr:col>12</xdr:col>
                    <xdr:colOff>25400</xdr:colOff>
                    <xdr:row>648</xdr:row>
                    <xdr:rowOff>25400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ReadMe</vt:lpstr>
      <vt:lpstr>FORM</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