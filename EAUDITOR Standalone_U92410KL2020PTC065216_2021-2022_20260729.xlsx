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ctrProps/ctrProp1.xml" ContentType="application/vnd.ms-excel.controlproperties+xml"/>
  <Override PartName="/xl/ctrProps/ctrProp2.xml" ContentType="application/vnd.ms-excel.controlproperties+xml"/>
  <Override PartName="/xl/drawings/drawing1.xml" ContentType="application/vnd.openxmlformats-officedocument.drawing+xml"/>
  <Default Extension="vml" ContentType="application/vnd.openxmlformats-officedocument.vmlDrawing"/>
  <Override PartName="/xl/worksheets/sheet2.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workbookProtection workbookPassword="BDC7" lockStructure="1" lockWindows="1"/>
  <bookViews>
    <workbookView xWindow="240" yWindow="120" windowWidth="14940" windowHeight="9225" activeTab="0"/>
  </bookViews>
  <sheets>
    <sheet name="ReadMe" sheetId="2" r:id="rId3"/>
    <sheet name="FORM" sheetId="3" r:id="rId4"/>
  </sheets>
  <definedNames>
    <definedName name="README_HIDDEN_ROWS_CONFIG">ReadMe!$A$1:$A$61</definedName>
    <definedName name="EAUDITORSTANDALONE_BOOK_KEEPING_INFO_CONFIG">FORM!$BN$1:$BP$8</definedName>
    <definedName name="EAUDITORSTANDALONE_DATASOURCE_CONFIG">FORM!$AF$1:$AG$4</definedName>
    <definedName name="EAUDITORSTANDALONE_FIELDS_CONFIG">FORM!$BA$1:$BL$18</definedName>
    <definedName name="EAUDITORSTANDALONE_HIDDEN_ROWS_CONFIG">FORM!$A$1:$A$84</definedName>
    <definedName name="EAUDITORSTANDALONE_SECTION_CONFIG">FORM!$AI$1:$AP$3</definedName>
    <definedName name="EAUDITORSTANDALONE_SECTION_FIELDS_CONFIG">FORM!$AR$1:$AY$48</definedName>
  </definedNames>
  <calcPr fullCalcOnLoad="1"/>
</workbook>
</file>

<file path=xl/calcChain.xml><?xml version="1.0" encoding="utf-8"?>
<calcChain xmlns="http://schemas.openxmlformats.org/spreadsheetml/2006/main">
  <c r="AD2" i="3" l="1"/>
</calcChain>
</file>

<file path=xl/sharedStrings.xml><?xml version="1.0" encoding="utf-8"?>
<sst xmlns="http://schemas.openxmlformats.org/spreadsheetml/2006/main" count="542" uniqueCount="278">
  <si>
    <t>ALL</t>
  </si>
  <si>
    <t>Instructions for filling Excel Form</t>
  </si>
  <si>
    <t>Use MS Excel Version 2021+ / Office 365 to edit this excel. 
Some of the excel features are not supported in older versions of MS Excel. This may result into unwanted/ incorrect data interpretation and may result in to parsing failures or business validation failures.</t>
  </si>
  <si>
    <r>
      <rPr>
        <sz val="12"/>
        <color rgb="FF000000"/>
        <rFont val="Aptos Display"/>
        <family val="2"/>
      </rPr>
      <t xml:space="preserve">This is a </t>
    </r>
    <r>
      <rPr>
        <b/>
        <sz val="12"/>
        <color rgb="FF000000"/>
        <rFont val="Aptos Display"/>
        <family val="2"/>
      </rPr>
      <t>Protected</t>
    </r>
    <r>
      <rPr>
        <sz val="12"/>
        <color rgb="FF000000"/>
        <rFont val="Aptos Display"/>
        <family val="2"/>
      </rPr>
      <t xml:space="preserve"> Excel. Do not attempt to modify structure / formatting of the excel.</t>
    </r>
  </si>
  <si>
    <r>
      <rPr>
        <sz val="12"/>
        <color rgb="FF000000"/>
        <rFont val="Aptos Display"/>
        <family val="2"/>
      </rPr>
      <t xml:space="preserve">Please refrain from using </t>
    </r>
    <r>
      <rPr>
        <b/>
        <sz val="12"/>
        <color rgb="FF000000"/>
        <rFont val="Aptos Display"/>
        <family val="2"/>
      </rPr>
      <t>Cut/Copy/Paste</t>
    </r>
    <r>
      <rPr>
        <sz val="12"/>
        <color rgb="FF000000"/>
        <rFont val="Aptos Display"/>
        <family val="2"/>
      </rPr>
      <t xml:space="preserve"> operations. These may cause </t>
    </r>
    <r>
      <rPr>
        <b/>
        <sz val="12"/>
        <color rgb="FF000000"/>
        <rFont val="Aptos Display"/>
        <family val="2"/>
      </rPr>
      <t>loss modification of internal calculations/formulas</t>
    </r>
    <r>
      <rPr>
        <sz val="12"/>
        <color rgb="FF000000"/>
        <rFont val="Aptos Display"/>
        <family val="2"/>
      </rPr>
      <t xml:space="preserve"> and will result into mal-formed data in the excel file. 
This may result in to upload failure or incorrect data upload/filing.</t>
    </r>
  </si>
  <si>
    <t>Excel data validations: Basic data validations are enforced in excel.</t>
  </si>
  <si>
    <t>Following are some examples of basic data validations –</t>
  </si>
  <si>
    <r>
      <rPr>
        <sz val="12"/>
        <color rgb="FF000000"/>
        <rFont val="Aptos Display"/>
        <family val="2"/>
      </rPr>
      <t xml:space="preserve"> i.</t>
    </r>
    <r>
      <rPr>
        <b/>
        <sz val="12"/>
        <color rgb="FF000000"/>
        <rFont val="Times New Roman"/>
        <family val="1"/>
      </rPr>
      <t xml:space="preserve"> </t>
    </r>
    <r>
      <rPr>
        <sz val="12"/>
        <color rgb="FF000000"/>
        <rFont val="Aptos Display"/>
        <family val="2"/>
      </rPr>
      <t xml:space="preserve">Amount fields must be between </t>
    </r>
    <r>
      <rPr>
        <b/>
        <sz val="12"/>
        <color rgb="FF000000"/>
        <rFont val="Aptos Display"/>
        <family val="2"/>
      </rPr>
      <t>-999999999999999.99 and 999999999999999.99</t>
    </r>
  </si>
  <si>
    <r>
      <rPr>
        <sz val="12"/>
        <color rgb="FF000000"/>
        <rFont val="Aptos Display"/>
        <family val="2"/>
      </rPr>
      <t xml:space="preserve"> ii.</t>
    </r>
    <r>
      <rPr>
        <b/>
        <sz val="12"/>
        <color rgb="FF000000"/>
        <rFont val="Times New Roman"/>
        <family val="1"/>
      </rPr>
      <t xml:space="preserve"> </t>
    </r>
    <r>
      <rPr>
        <sz val="12"/>
        <color rgb="FF000000"/>
        <rFont val="Aptos Display"/>
        <family val="2"/>
      </rPr>
      <t>Text fields with length validations (</t>
    </r>
    <r>
      <rPr>
        <b/>
        <sz val="12"/>
        <color rgb="FF000000"/>
        <rFont val="Aptos Display"/>
        <family val="2"/>
      </rPr>
      <t>maximum 250/500 characters</t>
    </r>
    <r>
      <rPr>
        <sz val="12"/>
        <color rgb="FF000000"/>
        <rFont val="Aptos Display"/>
        <family val="2"/>
      </rPr>
      <t>) etc.</t>
    </r>
  </si>
  <si>
    <r>
      <rPr>
        <sz val="12"/>
        <color rgb="FF000000"/>
        <rFont val="Aptos Display"/>
        <family val="2"/>
      </rPr>
      <t>'</t>
    </r>
    <r>
      <rPr>
        <b/>
        <sz val="12"/>
        <color rgb="FF000000"/>
        <rFont val="Aptos Display"/>
        <family val="2"/>
      </rPr>
      <t>0' (zero)</t>
    </r>
    <r>
      <rPr>
        <sz val="12"/>
        <color rgb="FF000000"/>
        <rFont val="Aptos Display"/>
        <family val="2"/>
      </rPr>
      <t xml:space="preserve"> is considered as a valid value. If user does not want to provide any value, then user should leave the field blank.</t>
    </r>
  </si>
  <si>
    <r>
      <rPr>
        <sz val="12"/>
        <color rgb="FF000000"/>
        <rFont val="Aptos Display"/>
        <family val="2"/>
      </rPr>
      <t xml:space="preserve">Fields marked in </t>
    </r>
    <r>
      <rPr>
        <b/>
        <sz val="12"/>
        <color rgb="FF000000"/>
        <rFont val="Aptos Display"/>
        <family val="2"/>
      </rPr>
      <t>Grey</t>
    </r>
    <r>
      <rPr>
        <sz val="12"/>
        <color rgb="FF000000"/>
        <rFont val="Aptos Display"/>
        <family val="2"/>
      </rPr>
      <t xml:space="preserve"> colour are read only fields. User will not be able to edit these fields.</t>
    </r>
  </si>
  <si>
    <r>
      <rPr>
        <sz val="12"/>
        <color rgb="FF000000"/>
        <rFont val="Aptos Display"/>
        <family val="2"/>
      </rPr>
      <t>Fields marked in</t>
    </r>
    <r>
      <rPr>
        <b/>
        <sz val="12"/>
        <color rgb="FF000000"/>
        <rFont val="Aptos Display"/>
        <family val="2"/>
      </rPr>
      <t xml:space="preserve"> Blue</t>
    </r>
    <r>
      <rPr>
        <sz val="12"/>
        <color rgb="FF000000"/>
        <rFont val="Aptos Display"/>
        <family val="2"/>
      </rPr>
      <t xml:space="preserve"> colour are editable fields. User should enter a valid value.</t>
    </r>
  </si>
  <si>
    <r>
      <rPr>
        <sz val="12"/>
        <color rgb="FF000000"/>
        <rFont val="Aptos Display"/>
        <family val="2"/>
      </rPr>
      <t xml:space="preserve">Please enter date in </t>
    </r>
    <r>
      <rPr>
        <b/>
        <sz val="12"/>
        <color rgb="FF000000"/>
        <rFont val="Aptos Display"/>
        <family val="2"/>
      </rPr>
      <t>DD/MM/YYYY</t>
    </r>
    <r>
      <rPr>
        <sz val="12"/>
        <color rgb="FF000000"/>
        <rFont val="Aptos Display"/>
        <family val="2"/>
      </rPr>
      <t xml:space="preserve"> Format</t>
    </r>
  </si>
  <si>
    <t>After filling in all the data and uploading the excel, the Excel will be validated for-</t>
  </si>
  <si>
    <r>
      <rPr>
        <b/>
        <sz val="12"/>
        <color rgb="FF000000"/>
        <rFont val="Aptos Display"/>
        <family val="2"/>
      </rPr>
      <t>a.</t>
    </r>
    <r>
      <rPr>
        <sz val="12"/>
        <color rgb="FF000000"/>
        <rFont val="Times New Roman"/>
        <family val="1"/>
      </rPr>
      <t> </t>
    </r>
    <r>
      <rPr>
        <b/>
        <sz val="12"/>
        <color rgb="FF000000"/>
        <rFont val="Aptos Display"/>
        <family val="2"/>
      </rPr>
      <t>Malicious content</t>
    </r>
    <r>
      <rPr>
        <sz val="12"/>
        <color rgb="FF000000"/>
        <rFont val="Aptos Display"/>
        <family val="2"/>
      </rPr>
      <t xml:space="preserve"> - Do not attempt to </t>
    </r>
    <r>
      <rPr>
        <b/>
        <sz val="12"/>
        <color rgb="FF000000"/>
        <rFont val="Aptos Display"/>
        <family val="2"/>
      </rPr>
      <t>alter the format</t>
    </r>
    <r>
      <rPr>
        <sz val="12"/>
        <color rgb="FF000000"/>
        <rFont val="Aptos Display"/>
        <family val="2"/>
      </rPr>
      <t xml:space="preserve">, add any </t>
    </r>
    <r>
      <rPr>
        <b/>
        <sz val="12"/>
        <color rgb="FF000000"/>
        <rFont val="Aptos Display"/>
        <family val="2"/>
      </rPr>
      <t>macros</t>
    </r>
    <r>
      <rPr>
        <sz val="12"/>
        <color rgb="FF000000"/>
        <rFont val="Aptos Display"/>
        <family val="2"/>
      </rPr>
      <t xml:space="preserve"> to the excel. (Macros are not allowed)</t>
    </r>
  </si>
  <si>
    <t xml:space="preserve">b. Version number -   User should update the latest downloaded file and upload the same. Every time user submits the form in offline portal, new excel gets generated with new version number. </t>
  </si>
  <si>
    <t>c. Excel validations -  Every time user uploads the filled excel, it will be validated for integrity and structure of the excel. If case the validations fail, user will not be able to proceed with the file and is expected to 
   download the latest file, fill it and resubmit.</t>
  </si>
  <si>
    <r>
      <rPr>
        <b/>
        <sz val="12"/>
        <color rgb="FF000000"/>
        <rFont val="Aptos Display"/>
        <family val="2"/>
      </rPr>
      <t>Data Enrichment</t>
    </r>
    <r>
      <rPr>
        <sz val="12"/>
        <color rgb="FF000000"/>
        <rFont val="Aptos Display"/>
        <family val="2"/>
      </rPr>
      <t xml:space="preserve"> - After uploading the excel, data enrichment will be performed it two phases - </t>
    </r>
  </si>
  <si>
    <t>a. Before business validations - Populating data based on key fields. For example - Populating product details depending on product code, company details using CIN, director details using din  
   etc. 
   Any failures / errors in this scenario will result in upload failure and user will be prompted to correct those errors. 
   *The Business validations will trigger only when all such enrichment errors are resolved.
   Please refer to below mentioned list of fields specific to this form and make sure that all the fields are filled with proper data before uploading the excel.</t>
  </si>
  <si>
    <t>b. After business validation - Adjusting the date time to corrected format for PDF generations, clearing unwanted data etc. Any failures in this scenario will result into technical error. 
   In this scenario user is requested to connect with support to resolve the issue</t>
  </si>
  <si>
    <r>
      <rPr>
        <b/>
        <sz val="12"/>
        <color rgb="FF000000"/>
        <rFont val="Aptos Display"/>
        <family val="2"/>
      </rPr>
      <t>Business validations</t>
    </r>
    <r>
      <rPr>
        <sz val="12"/>
        <color rgb="FF000000"/>
        <rFont val="Aptos Display"/>
        <family val="2"/>
      </rPr>
      <t xml:space="preserve"> - After uploading the excel, business validations will be performed to validate the data according to the business / functional rules specified by the Honourable Ministry of Corporate Affairs.</t>
    </r>
  </si>
  <si>
    <r>
      <rPr>
        <b/>
        <sz val="12"/>
        <color rgb="FF000000"/>
        <rFont val="Aptos Display"/>
        <family val="2"/>
      </rPr>
      <t>a.</t>
    </r>
    <r>
      <rPr>
        <sz val="12"/>
        <color rgb="FF000000"/>
        <rFont val="Times New Roman"/>
        <family val="1"/>
      </rPr>
      <t xml:space="preserve"> </t>
    </r>
    <r>
      <rPr>
        <sz val="12"/>
        <color rgb="FF000000"/>
        <rFont val="Aptos Display"/>
        <family val="2"/>
      </rPr>
      <t>If any of the rules fail, an error text file will be generated which user can download.</t>
    </r>
  </si>
  <si>
    <r>
      <rPr>
        <b/>
        <sz val="12"/>
        <color rgb="FF000000"/>
        <rFont val="Aptos Display"/>
        <family val="2"/>
      </rPr>
      <t>b.</t>
    </r>
    <r>
      <rPr>
        <sz val="12"/>
        <color rgb="FF000000"/>
        <rFont val="Times New Roman"/>
        <family val="1"/>
      </rPr>
      <t xml:space="preserve"> </t>
    </r>
    <r>
      <rPr>
        <sz val="12"/>
        <color rgb="FF000000"/>
        <rFont val="Aptos Display"/>
        <family val="2"/>
      </rPr>
      <t>User will have to fix the errors specified in the text file and re-upload the updated excel file.</t>
    </r>
  </si>
  <si>
    <r>
      <rPr>
        <b/>
        <sz val="12"/>
        <color rgb="FF000000"/>
        <rFont val="Aptos Display"/>
        <family val="2"/>
      </rPr>
      <t>c.</t>
    </r>
    <r>
      <rPr>
        <sz val="12"/>
        <color rgb="FF000000"/>
        <rFont val="Times New Roman"/>
        <family val="1"/>
      </rPr>
      <t xml:space="preserve"> </t>
    </r>
    <r>
      <rPr>
        <sz val="12"/>
        <color rgb="FF000000"/>
        <rFont val="Aptos Display"/>
        <family val="2"/>
      </rPr>
      <t xml:space="preserve">Steps </t>
    </r>
    <r>
      <rPr>
        <b/>
        <sz val="12"/>
        <color rgb="FF000000"/>
        <rFont val="Aptos Display"/>
        <family val="2"/>
      </rPr>
      <t>a</t>
    </r>
    <r>
      <rPr>
        <sz val="12"/>
        <color rgb="FF000000"/>
        <rFont val="Aptos Display"/>
        <family val="2"/>
      </rPr>
      <t xml:space="preserve"> and </t>
    </r>
    <r>
      <rPr>
        <b/>
        <sz val="12"/>
        <color rgb="FF000000"/>
        <rFont val="Aptos Display"/>
        <family val="2"/>
      </rPr>
      <t>b</t>
    </r>
    <r>
      <rPr>
        <sz val="12"/>
        <color rgb="FF000000"/>
        <rFont val="Aptos Display"/>
        <family val="2"/>
      </rPr>
      <t xml:space="preserve"> will be repeated un-till all the business validation errors are fixed by the user.</t>
    </r>
  </si>
  <si>
    <t>After successful upload of the excel, user will then be prompted to update the declaration section on the portal and proceed with further filing journey.</t>
  </si>
  <si>
    <t>Business validations will be triggered only after valid data is filled in below mentioned fields before uploading the excel</t>
  </si>
  <si>
    <t>AOC4</t>
  </si>
  <si>
    <r>
      <rPr>
        <sz val="12"/>
        <color rgb="FF000000"/>
        <rFont val="Aptos Display"/>
        <family val="2"/>
      </rPr>
      <t xml:space="preserve">Please enter valid </t>
    </r>
    <r>
      <rPr>
        <b/>
        <sz val="12"/>
        <color rgb="FF000000"/>
        <rFont val="Aptos Display"/>
        <family val="2"/>
      </rPr>
      <t>Product or service category code (ITC/ NPCS 4 digit code)</t>
    </r>
    <r>
      <rPr>
        <sz val="12"/>
        <color rgb="FF000000"/>
        <rFont val="Aptos Display"/>
        <family val="2"/>
      </rPr>
      <t xml:space="preserve"> under IV Details related to principal products or services of the company for all the applicable rows if 
*Total number of product/ services category(ies) is greater than zero</t>
    </r>
  </si>
  <si>
    <t>2</t>
  </si>
  <si>
    <r>
      <rPr>
        <sz val="12"/>
        <color rgb="FF000000"/>
        <rFont val="Aptos Display"/>
        <family val="2"/>
      </rPr>
      <t xml:space="preserve">Please enter valid </t>
    </r>
    <r>
      <rPr>
        <b/>
        <sz val="12"/>
        <color rgb="FF000000"/>
        <rFont val="Aptos Display"/>
        <family val="2"/>
      </rPr>
      <t>*Director identification number of the director; or PAN of the manager or CEO or CFO or Interim Resolution Professional (IRP) or Resolution Professional (RP) or Liquidator or Membership number of the secretary</t>
    </r>
    <r>
      <rPr>
        <sz val="12"/>
        <color rgb="FF000000"/>
        <rFont val="Aptos Display"/>
        <family val="2"/>
      </rPr>
      <t xml:space="preserve"> under Declaration</t>
    </r>
  </si>
  <si>
    <t>AOC1</t>
  </si>
  <si>
    <r>
      <rPr>
        <sz val="12"/>
        <color rgb="FF000000"/>
        <rFont val="Aptos Display"/>
        <family val="2"/>
      </rPr>
      <t xml:space="preserve">Please enter valid </t>
    </r>
    <r>
      <rPr>
        <b/>
        <sz val="12"/>
        <color rgb="FF000000"/>
        <rFont val="Aptos Display"/>
        <family val="2"/>
      </rPr>
      <t xml:space="preserve">*CIN/ any other registration number </t>
    </r>
    <r>
      <rPr>
        <sz val="12"/>
        <color rgb="FF000000"/>
        <rFont val="Aptos Display"/>
        <family val="2"/>
      </rPr>
      <t>of subsidiary company under Details of Subsidiaries for all applicable rows if 1. Number of subsidiaries is greater than zero</t>
    </r>
  </si>
  <si>
    <r>
      <rPr>
        <sz val="12"/>
        <color rgb="FF000000"/>
        <rFont val="Aptos Display"/>
        <family val="2"/>
      </rPr>
      <t xml:space="preserve">Please enter valid </t>
    </r>
    <r>
      <rPr>
        <b/>
        <sz val="12"/>
        <color rgb="FF000000"/>
        <rFont val="Aptos Display"/>
        <family val="2"/>
      </rPr>
      <t xml:space="preserve">*CIN/ any other registration number </t>
    </r>
    <r>
      <rPr>
        <sz val="12"/>
        <color rgb="FF000000"/>
        <rFont val="Aptos Display"/>
        <family val="2"/>
      </rPr>
      <t>under Details of Subsidiaries for all applicable rows if 2 Number of subsidiaries which are yet to commence operations is greater than zero</t>
    </r>
  </si>
  <si>
    <r>
      <rPr>
        <sz val="12"/>
        <color rgb="FF000000"/>
        <rFont val="Aptos Display"/>
        <family val="2"/>
      </rPr>
      <t xml:space="preserve">Please enter valid </t>
    </r>
    <r>
      <rPr>
        <b/>
        <sz val="12"/>
        <color rgb="FF000000"/>
        <rFont val="Aptos Display"/>
        <family val="2"/>
      </rPr>
      <t xml:space="preserve">*CIN/ any other registration number </t>
    </r>
    <r>
      <rPr>
        <sz val="12"/>
        <color rgb="FF000000"/>
        <rFont val="Aptos Display"/>
        <family val="2"/>
      </rPr>
      <t>under Details of Subsidiaries for all applicable rows if 3 Number of subsidiaries which have been liquidated or have ceased to be a subsidiary during the year is greater than zero</t>
    </r>
  </si>
  <si>
    <r>
      <rPr>
        <sz val="12"/>
        <color rgb="FF000000"/>
        <rFont val="Aptos Display"/>
        <family val="2"/>
      </rPr>
      <t xml:space="preserve">Please enter valid </t>
    </r>
    <r>
      <rPr>
        <b/>
        <sz val="12"/>
        <color rgb="FF000000"/>
        <rFont val="Aptos Display"/>
        <family val="2"/>
      </rPr>
      <t>*CIN/ any other registration number</t>
    </r>
    <r>
      <rPr>
        <sz val="12"/>
        <color rgb="FF000000"/>
        <rFont val="Aptos Display"/>
        <family val="2"/>
      </rPr>
      <t xml:space="preserve"> under Details of Subsidiaries for all applicable rows if 5 Number of associates or joint ventures which are yet to commence operations is greater than zero</t>
    </r>
  </si>
  <si>
    <r>
      <rPr>
        <sz val="12"/>
        <color rgb="FF000000"/>
        <rFont val="Aptos Display"/>
        <family val="2"/>
      </rPr>
      <t xml:space="preserve">Please enter valid </t>
    </r>
    <r>
      <rPr>
        <b/>
        <sz val="12"/>
        <color rgb="FF000000"/>
        <rFont val="Aptos Display"/>
        <family val="2"/>
      </rPr>
      <t>*CIN/ any other registration number</t>
    </r>
    <r>
      <rPr>
        <sz val="12"/>
        <color rgb="FF000000"/>
        <rFont val="Aptos Display"/>
        <family val="2"/>
      </rPr>
      <t xml:space="preserve"> under Details of Subsidiaries for all applicable rows if 6 Number of associates or joint ventures which have been liquidated or have ceased to be associate or joint venture during the year is greater than zero</t>
    </r>
  </si>
  <si>
    <t>6</t>
  </si>
  <si>
    <t>AOC2</t>
  </si>
  <si>
    <r>
      <rPr>
        <sz val="12"/>
        <color rgb="FF000000"/>
        <rFont val="Aptos Display"/>
        <family val="2"/>
      </rPr>
      <t xml:space="preserve">Please enter valid </t>
    </r>
    <r>
      <rPr>
        <b/>
        <sz val="12"/>
        <color rgb="FF000000"/>
        <rFont val="Aptos Display"/>
        <family val="2"/>
      </rPr>
      <t>*Corporate identity number (CIN) or foreign company registration number (FCRN) or Limited Liability Partnership number (LLPIN) or Foreign Limited Liability Partnership number (FLLPIN) or Permanent Account Number (PAN)/Passport for individuals or any other registration number under</t>
    </r>
    <r>
      <rPr>
        <sz val="12"/>
        <color rgb="FF000000"/>
        <rFont val="Aptos Display"/>
        <family val="2"/>
      </rPr>
      <t xml:space="preserve"> 1.Details of contracts or arrangements or transactions not at arm's length basis. for all applicable rows if *Number of contracts or arrangements or transactions not at arm’s length basis is greater than zero</t>
    </r>
  </si>
  <si>
    <r>
      <rPr>
        <sz val="12"/>
        <color rgb="FF000000"/>
        <rFont val="Aptos Display"/>
        <family val="2"/>
      </rPr>
      <t xml:space="preserve">Please enter valid </t>
    </r>
    <r>
      <rPr>
        <b/>
        <sz val="12"/>
        <color rgb="FF000000"/>
        <rFont val="Aptos Display"/>
        <family val="2"/>
      </rPr>
      <t>*Corporate identity number (CIN) or foreign company registration number (FCRN) or Limited Liability Partnership number (LLPIN) or Foreign Limited Liability Partnership number (FLLPIN) or Permanent Account Number (PAN)/Passport for individuals or any other registration number</t>
    </r>
    <r>
      <rPr>
        <sz val="12"/>
        <color rgb="FF000000"/>
        <rFont val="Aptos Display"/>
        <family val="2"/>
      </rPr>
      <t xml:space="preserve"> under 2.Details of material contracts or arrangement or transactions at arm's length basis. for all applicable rows if Number of material contracts or arrangements or transactions at arm’s length basis is greater than zero</t>
    </r>
  </si>
  <si>
    <t>3</t>
  </si>
  <si>
    <t>AOC4NBFC</t>
  </si>
  <si>
    <r>
      <rPr>
        <sz val="12"/>
        <color rgb="FF000000"/>
        <rFont val="Aptos Display"/>
        <family val="2"/>
      </rPr>
      <t xml:space="preserve">Please enter valid </t>
    </r>
    <r>
      <rPr>
        <b/>
        <sz val="12"/>
        <color rgb="FF000000"/>
        <rFont val="Aptos Display"/>
        <family val="2"/>
      </rPr>
      <t xml:space="preserve">Product or service category code (ITC/ NPCS 4 digit code) </t>
    </r>
    <r>
      <rPr>
        <sz val="12"/>
        <color rgb="FF000000"/>
        <rFont val="Aptos Display"/>
        <family val="2"/>
      </rPr>
      <t>under III Details related to principal products or services of the company for all the applicable rows if 
*Total number of product/ services category(ies) is greater than zero</t>
    </r>
  </si>
  <si>
    <t>AOC4CFSNBFC</t>
  </si>
  <si>
    <t>1</t>
  </si>
  <si>
    <t>AOC4CFS</t>
  </si>
  <si>
    <t>EAuditorStandalone</t>
  </si>
  <si>
    <r>
      <rPr>
        <sz val="12"/>
        <color rgb="FF000000"/>
        <rFont val="Aptos Display"/>
        <family val="2"/>
      </rPr>
      <t xml:space="preserve">Please enter valid </t>
    </r>
    <r>
      <rPr>
        <b/>
        <sz val="12"/>
        <color rgb="FF000000"/>
        <rFont val="Aptos Display"/>
        <family val="2"/>
      </rPr>
      <t>*Director identification number of the director or PAN of the Interim Resolution Professional (IRP)/ Resolution Professional (RP)/ Liquidator</t>
    </r>
    <r>
      <rPr>
        <sz val="12"/>
        <color rgb="FF000000"/>
        <rFont val="Aptos Display"/>
        <family val="2"/>
      </rPr>
      <t xml:space="preserve"> under Declaration by Director</t>
    </r>
  </si>
  <si>
    <t>EAuditorConsolidated</t>
  </si>
  <si>
    <t>Edirector</t>
  </si>
  <si>
    <r>
      <rPr>
        <sz val="12"/>
        <color rgb="FF000000"/>
        <rFont val="Aptos Display"/>
        <family val="2"/>
      </rPr>
      <t xml:space="preserve">Please enter valid </t>
    </r>
    <r>
      <rPr>
        <b/>
        <sz val="12"/>
        <color rgb="FF000000"/>
        <rFont val="Aptos Display"/>
        <family val="2"/>
      </rPr>
      <t>*Director identification number of the director or PAN of the Interim Resolution Professional (IRP)/ Resolution Professional (RP)/ Liquidator</t>
    </r>
    <r>
      <rPr>
        <sz val="12"/>
        <color rgb="FF000000"/>
        <rFont val="Aptos Display"/>
        <family val="2"/>
      </rPr>
      <t xml:space="preserve"> under Declaration</t>
    </r>
  </si>
  <si>
    <t>MGT7</t>
  </si>
  <si>
    <r>
      <rPr>
        <sz val="12"/>
        <color rgb="FF000000"/>
        <rFont val="Aptos Display"/>
        <family val="2"/>
      </rPr>
      <t xml:space="preserve">Please enter valid </t>
    </r>
    <r>
      <rPr>
        <b/>
        <sz val="12"/>
        <color rgb="FF000000"/>
        <rFont val="Aptos Display"/>
        <family val="2"/>
      </rPr>
      <t xml:space="preserve">CIN of the Registrar and Transfer Agent </t>
    </r>
    <r>
      <rPr>
        <sz val="12"/>
        <color rgb="FF000000"/>
        <rFont val="Aptos Display"/>
        <family val="2"/>
      </rPr>
      <t>under viii Number of Registrar and Transfer Agent for all the applicable rows if viii Number of Registrar and Transfer Agent is greater than zero</t>
    </r>
  </si>
  <si>
    <r>
      <rPr>
        <sz val="12"/>
        <color rgb="FF000000"/>
        <rFont val="Aptos Display"/>
        <family val="2"/>
      </rPr>
      <t xml:space="preserve">Please enter valid </t>
    </r>
    <r>
      <rPr>
        <b/>
        <sz val="12"/>
        <color rgb="FF000000"/>
        <rFont val="Aptos Display"/>
        <family val="2"/>
      </rPr>
      <t xml:space="preserve">CIN /FCRN </t>
    </r>
    <r>
      <rPr>
        <sz val="12"/>
        <color rgb="FF000000"/>
        <rFont val="Aptos Display"/>
        <family val="2"/>
      </rPr>
      <t xml:space="preserve"> under II PRINCIPAL BUSINESS ACTIVITIES OF THE COMPANY for all applicable rows if i *No. of Companies for which information is to be given is greater than zero</t>
    </r>
  </si>
  <si>
    <r>
      <rPr>
        <sz val="12"/>
        <color rgb="FF000000"/>
        <rFont val="Aptos Display"/>
        <family val="2"/>
      </rPr>
      <t xml:space="preserve">Please enter valid </t>
    </r>
    <r>
      <rPr>
        <b/>
        <sz val="12"/>
        <color rgb="FF000000"/>
        <rFont val="Aptos Display"/>
        <family val="2"/>
      </rPr>
      <t xml:space="preserve">(a) DIN/PAN/Membership number of Designated Person </t>
    </r>
    <r>
      <rPr>
        <sz val="12"/>
        <color rgb="FF000000"/>
        <rFont val="Aptos Display"/>
        <family val="2"/>
      </rPr>
      <t>under XVI Declaration under Rule 9(4) of the Companies (Management and Administration) Rules, 2014</t>
    </r>
  </si>
  <si>
    <t>4</t>
  </si>
  <si>
    <t>MGT7A</t>
  </si>
  <si>
    <r>
      <rPr>
        <sz val="12"/>
        <color rgb="FF000000"/>
        <rFont val="Aptos Display"/>
        <family val="2"/>
      </rPr>
      <t xml:space="preserve">Please enter valid </t>
    </r>
    <r>
      <rPr>
        <b/>
        <sz val="12"/>
        <color rgb="FF000000"/>
        <rFont val="Aptos Display"/>
        <family val="2"/>
      </rPr>
      <t xml:space="preserve">CIN /FCRN </t>
    </r>
    <r>
      <rPr>
        <sz val="12"/>
        <color rgb="FF000000"/>
        <rFont val="Aptos Display"/>
        <family val="2"/>
      </rPr>
      <t xml:space="preserve"> under III PARTICULARS OF ASSOCIATE COMPANIES (INCLUDING JOINT VENTURES) (not applicable for OPC) for all applicable rows if i *No. of Companies for which information is to be given is greater than zero</t>
    </r>
  </si>
  <si>
    <r>
      <rPr>
        <sz val="12"/>
        <color rgb="FF000000"/>
        <rFont val="Aptos Display"/>
        <family val="2"/>
      </rPr>
      <t xml:space="preserve">Please enter valid </t>
    </r>
    <r>
      <rPr>
        <b/>
        <sz val="12"/>
        <color rgb="FF000000"/>
        <rFont val="Aptos Display"/>
        <family val="2"/>
      </rPr>
      <t xml:space="preserve">DIN </t>
    </r>
    <r>
      <rPr>
        <sz val="12"/>
        <color rgb="FF000000"/>
        <rFont val="Aptos Display"/>
        <family val="2"/>
      </rPr>
      <t>under C ATTENDANCE OF DIRECTORS (not applicable for OPC) in VII NUMBER OF PROMOTERS, MEMBERS, DEBENTURE HOLDERS for all applicable rows</t>
    </r>
  </si>
  <si>
    <r>
      <rPr>
        <sz val="12"/>
        <color rgb="FF000000"/>
        <rFont val="Aptos Display"/>
        <family val="2"/>
      </rPr>
      <t xml:space="preserve">Please enter valid </t>
    </r>
    <r>
      <rPr>
        <b/>
        <sz val="12"/>
        <color rgb="FF000000"/>
        <rFont val="Aptos Display"/>
        <family val="2"/>
      </rPr>
      <t>(a) DIN/PAN/Membership number of Designated Person</t>
    </r>
    <r>
      <rPr>
        <sz val="12"/>
        <color rgb="FF000000"/>
        <rFont val="Aptos Display"/>
        <family val="2"/>
      </rPr>
      <t xml:space="preserve"> under XV Declaration under Rule 9(4) of the Companies (Management and Administration) Rules, 2014 </t>
    </r>
  </si>
  <si>
    <t>CSR2</t>
  </si>
  <si>
    <r>
      <rPr>
        <sz val="12"/>
        <color rgb="FF000000"/>
        <rFont val="Aptos Display"/>
        <family val="2"/>
      </rPr>
      <t xml:space="preserve">Please enter valid </t>
    </r>
    <r>
      <rPr>
        <b/>
        <sz val="12"/>
        <color rgb="FF000000"/>
        <rFont val="Aptos Display"/>
        <family val="2"/>
      </rPr>
      <t>CSR Registration No</t>
    </r>
    <r>
      <rPr>
        <sz val="12"/>
        <color rgb="FF000000"/>
        <rFont val="Aptos Display"/>
        <family val="2"/>
      </rPr>
      <t xml:space="preserve"> under </t>
    </r>
    <r>
      <rPr>
        <b/>
        <sz val="12"/>
        <color rgb="FF000000"/>
        <rFont val="Aptos Display"/>
        <family val="2"/>
      </rPr>
      <t>Mode of Implementation - Through Implementing Agency</t>
    </r>
    <r>
      <rPr>
        <sz val="12"/>
        <color rgb="FF000000"/>
        <rFont val="Aptos Display"/>
        <family val="2"/>
      </rPr>
      <t xml:space="preserve"> for all applicable Project Details under 7 (b)(I) Details of CSR amount spent against ongoing projects for the financial year if Number of Ongoing Projects for the financial year is greater than zero and if "</t>
    </r>
    <r>
      <rPr>
        <b/>
        <sz val="12"/>
        <color rgb="FF000000"/>
        <rFont val="Aptos Display"/>
        <family val="2"/>
      </rPr>
      <t>No</t>
    </r>
    <r>
      <rPr>
        <sz val="12"/>
        <color rgb="FF000000"/>
        <rFont val="Aptos Display"/>
        <family val="2"/>
      </rPr>
      <t xml:space="preserve">" is selected in </t>
    </r>
    <r>
      <rPr>
        <b/>
        <sz val="12"/>
        <color rgb="FF000000"/>
        <rFont val="Aptos Display"/>
        <family val="2"/>
      </rPr>
      <t>Mode of Implementation - Direct</t>
    </r>
    <r>
      <rPr>
        <sz val="12"/>
        <color rgb="FF000000"/>
        <rFont val="Aptos Display"/>
        <family val="2"/>
      </rPr>
      <t>.</t>
    </r>
  </si>
  <si>
    <r>
      <rPr>
        <sz val="12"/>
        <color rgb="FF000000"/>
        <rFont val="Aptos Display"/>
        <family val="2"/>
      </rPr>
      <t xml:space="preserve">Please enter valid </t>
    </r>
    <r>
      <rPr>
        <b/>
        <sz val="12"/>
        <color rgb="FF000000"/>
        <rFont val="Aptos Display"/>
        <family val="2"/>
      </rPr>
      <t>CSR Registration No</t>
    </r>
    <r>
      <rPr>
        <sz val="12"/>
        <color rgb="FF000000"/>
        <rFont val="Aptos Display"/>
        <family val="2"/>
      </rPr>
      <t xml:space="preserve"> under </t>
    </r>
    <r>
      <rPr>
        <b/>
        <sz val="12"/>
        <color rgb="FF000000"/>
        <rFont val="Aptos Display"/>
        <family val="2"/>
      </rPr>
      <t>Mode of Implementation - Through Implementing Agency</t>
    </r>
    <r>
      <rPr>
        <sz val="12"/>
        <color rgb="FF000000"/>
        <rFont val="Aptos Display"/>
        <family val="2"/>
      </rPr>
      <t xml:space="preserve"> for all applicable Project Details under 7 (b)(ii) Details of CSR amount spent against other than ongoing projects for the financial year if Number of Ongoing Projects for the financial year is greater than zero and if "</t>
    </r>
    <r>
      <rPr>
        <b/>
        <sz val="12"/>
        <color rgb="FF000000"/>
        <rFont val="Aptos Display"/>
        <family val="2"/>
      </rPr>
      <t>No</t>
    </r>
    <r>
      <rPr>
        <sz val="12"/>
        <color rgb="FF000000"/>
        <rFont val="Aptos Display"/>
        <family val="2"/>
      </rPr>
      <t xml:space="preserve">" is selected in </t>
    </r>
    <r>
      <rPr>
        <b/>
        <sz val="12"/>
        <color rgb="FF000000"/>
        <rFont val="Aptos Display"/>
        <family val="2"/>
      </rPr>
      <t>Mode of Implementation - Direct</t>
    </r>
    <r>
      <rPr>
        <sz val="12"/>
        <color rgb="FF000000"/>
        <rFont val="Aptos Display"/>
        <family val="2"/>
      </rPr>
      <t xml:space="preserve">. </t>
    </r>
  </si>
  <si>
    <r>
      <rPr>
        <sz val="12"/>
        <color rgb="FF000000"/>
        <rFont val="Aptos Display"/>
        <family val="2"/>
      </rPr>
      <t xml:space="preserve">Please enter valid </t>
    </r>
    <r>
      <rPr>
        <b/>
        <sz val="12"/>
        <color rgb="FF000000"/>
        <rFont val="Aptos Display"/>
        <family val="2"/>
      </rPr>
      <t>Project ID</t>
    </r>
    <r>
      <rPr>
        <sz val="12"/>
        <color rgb="FF000000"/>
        <rFont val="Aptos Display"/>
        <family val="2"/>
      </rPr>
      <t xml:space="preserve"> under 10 (b) Details of CSR amount spent in the financial year for ongoing projects of the preceding financial year(s) for all applicable rows if Number of Ongoing Projects for the financial year is greater than zero Project Id shall be in the format FY&lt;Financial year end date&gt;__Sr No for each company. Project related information will be populated based on the given Project ID</t>
    </r>
  </si>
  <si>
    <r>
      <rPr>
        <sz val="12"/>
        <color rgb="FF000000"/>
        <rFont val="Aptos Display"/>
        <family val="2"/>
      </rPr>
      <t xml:space="preserve">Please enter valid </t>
    </r>
    <r>
      <rPr>
        <b/>
        <sz val="12"/>
        <color rgb="FF000000"/>
        <rFont val="Aptos Display"/>
        <family val="2"/>
      </rPr>
      <t>CSR Registration No</t>
    </r>
    <r>
      <rPr>
        <sz val="12"/>
        <color rgb="FF000000"/>
        <rFont val="Aptos Display"/>
        <family val="2"/>
      </rPr>
      <t xml:space="preserve"> under </t>
    </r>
    <r>
      <rPr>
        <b/>
        <sz val="12"/>
        <color rgb="FF000000"/>
        <rFont val="Aptos Display"/>
        <family val="2"/>
      </rPr>
      <t>Mode of Implementation - Through Implementing Agency</t>
    </r>
    <r>
      <rPr>
        <sz val="12"/>
        <color rgb="FF000000"/>
        <rFont val="Aptos Display"/>
        <family val="2"/>
      </rPr>
      <t xml:space="preserve"> for all applicable Project Details under 10 (c)(iii) Details of amount spent against new ongoing CSR project in the financial year if Number of Ongoing Projects for the financial year is greater than zero and if "</t>
    </r>
    <r>
      <rPr>
        <b/>
        <sz val="12"/>
        <color rgb="FF000000"/>
        <rFont val="Aptos Display"/>
        <family val="2"/>
      </rPr>
      <t>No</t>
    </r>
    <r>
      <rPr>
        <sz val="12"/>
        <color rgb="FF000000"/>
        <rFont val="Aptos Display"/>
        <family val="2"/>
      </rPr>
      <t xml:space="preserve">" is selected in </t>
    </r>
    <r>
      <rPr>
        <b/>
        <sz val="12"/>
        <color rgb="FF000000"/>
        <rFont val="Aptos Display"/>
        <family val="2"/>
      </rPr>
      <t>Mode of Implementation - Direct</t>
    </r>
    <r>
      <rPr>
        <sz val="12"/>
        <color rgb="FF000000"/>
        <rFont val="Aptos Display"/>
        <family val="2"/>
      </rPr>
      <t>.</t>
    </r>
  </si>
  <si>
    <r>
      <rPr>
        <sz val="12"/>
        <color rgb="FF000000"/>
        <rFont val="Aptos Display"/>
        <family val="2"/>
      </rPr>
      <t xml:space="preserve">Please enter valid </t>
    </r>
    <r>
      <rPr>
        <b/>
        <sz val="12"/>
        <color rgb="FF000000"/>
        <rFont val="Aptos Display"/>
        <family val="2"/>
      </rPr>
      <t>CSR Registration No</t>
    </r>
    <r>
      <rPr>
        <sz val="12"/>
        <color rgb="FF000000"/>
        <rFont val="Aptos Display"/>
        <family val="2"/>
      </rPr>
      <t xml:space="preserve"> under </t>
    </r>
    <r>
      <rPr>
        <b/>
        <sz val="12"/>
        <color rgb="FF000000"/>
        <rFont val="Aptos Display"/>
        <family val="2"/>
      </rPr>
      <t>Mode of Implementation - Through Implementing Agency</t>
    </r>
    <r>
      <rPr>
        <sz val="12"/>
        <color rgb="FF000000"/>
        <rFont val="Aptos Display"/>
        <family val="2"/>
      </rPr>
      <t xml:space="preserve"> for all applicable Project Details under 10 (c)(iv) Details of amount spent against new other than ongoing projects in the financial year if Number of Ongoing Projects for the financial year is greater than zero and if "</t>
    </r>
    <r>
      <rPr>
        <b/>
        <sz val="12"/>
        <color rgb="FF000000"/>
        <rFont val="Aptos Display"/>
        <family val="2"/>
      </rPr>
      <t>No</t>
    </r>
    <r>
      <rPr>
        <sz val="12"/>
        <color rgb="FF000000"/>
        <rFont val="Aptos Display"/>
        <family val="2"/>
      </rPr>
      <t xml:space="preserve">" is selected in </t>
    </r>
    <r>
      <rPr>
        <b/>
        <sz val="12"/>
        <color rgb="FF000000"/>
        <rFont val="Aptos Display"/>
        <family val="2"/>
      </rPr>
      <t>Mode of Implementation - Direct</t>
    </r>
    <r>
      <rPr>
        <sz val="12"/>
        <color rgb="FF000000"/>
        <rFont val="Aptos Display"/>
        <family val="2"/>
      </rPr>
      <t xml:space="preserve">. </t>
    </r>
  </si>
  <si>
    <r>
      <rPr>
        <sz val="12"/>
        <color rgb="FF000000"/>
        <rFont val="Aptos Display"/>
        <family val="2"/>
      </rPr>
      <t xml:space="preserve">Please enter valid </t>
    </r>
    <r>
      <rPr>
        <b/>
        <sz val="12"/>
        <color rgb="FF000000"/>
        <rFont val="Aptos Display"/>
        <family val="2"/>
      </rPr>
      <t>CSR Registration No</t>
    </r>
    <r>
      <rPr>
        <sz val="12"/>
        <color rgb="FF000000"/>
        <rFont val="Aptos Display"/>
        <family val="2"/>
      </rPr>
      <t xml:space="preserve"> under </t>
    </r>
    <r>
      <rPr>
        <b/>
        <sz val="12"/>
        <color rgb="FF000000"/>
        <rFont val="Aptos Display"/>
        <family val="2"/>
      </rPr>
      <t>Mode of Implementation - Through Implementing Agency</t>
    </r>
    <r>
      <rPr>
        <sz val="12"/>
        <color rgb="FF000000"/>
        <rFont val="Aptos Display"/>
        <family val="2"/>
      </rPr>
      <t xml:space="preserve"> for all applicable Project Details under 11 Details of amount spent against CSR projects in the financial year if Number of CSR Projects is greater than zero and if "No" is selected in </t>
    </r>
    <r>
      <rPr>
        <b/>
        <sz val="12"/>
        <color rgb="FF000000"/>
        <rFont val="Aptos Display"/>
        <family val="2"/>
      </rPr>
      <t>Mode of Implementation - Direct</t>
    </r>
    <r>
      <rPr>
        <sz val="12"/>
        <color rgb="FF000000"/>
        <rFont val="Aptos Display"/>
        <family val="2"/>
      </rPr>
      <t xml:space="preserve">. </t>
    </r>
  </si>
  <si>
    <r>
      <rPr>
        <sz val="12"/>
        <color rgb="FF000000"/>
        <rFont val="Aptos Display"/>
        <family val="2"/>
      </rPr>
      <t xml:space="preserve">Please enter valid </t>
    </r>
    <r>
      <rPr>
        <b/>
        <sz val="12"/>
        <color rgb="FF000000"/>
        <rFont val="Aptos Display"/>
        <family val="2"/>
      </rPr>
      <t>Pin code</t>
    </r>
    <r>
      <rPr>
        <sz val="12"/>
        <color rgb="FF000000"/>
        <rFont val="Aptos Display"/>
        <family val="2"/>
      </rPr>
      <t xml:space="preserve"> of the property or asset(s) under Details of entity/ Authority/ beneficiary of the registered owner Mode of Implementation - Through Implementing Agency for all applicable Asset Details under Capital assets acquired through CSR if 12 Whether any capital assets have been created or acquired through CSR spent in the financial year is set to "</t>
    </r>
    <r>
      <rPr>
        <b/>
        <sz val="12"/>
        <color rgb="FF000000"/>
        <rFont val="Aptos Display"/>
        <family val="2"/>
      </rPr>
      <t>Yes</t>
    </r>
    <r>
      <rPr>
        <sz val="12"/>
        <color rgb="FF000000"/>
        <rFont val="Aptos Display"/>
        <family val="2"/>
      </rPr>
      <t>" and If yes, enter the number of Capital assets created/ acquired is greater than zero.</t>
    </r>
  </si>
  <si>
    <r>
      <rPr>
        <sz val="12"/>
        <color rgb="FF000000"/>
        <rFont val="Aptos Display"/>
        <family val="2"/>
      </rPr>
      <t xml:space="preserve">Please enter valid </t>
    </r>
    <r>
      <rPr>
        <b/>
        <sz val="12"/>
        <color rgb="FF000000"/>
        <rFont val="Aptos Display"/>
        <family val="2"/>
      </rPr>
      <t>CSR Registration Number, if applicable</t>
    </r>
    <r>
      <rPr>
        <sz val="12"/>
        <color rgb="FF000000"/>
        <rFont val="Aptos Display"/>
        <family val="2"/>
      </rPr>
      <t xml:space="preserve"> under Details of entity/ Authority/ beneficiary of the registered owner Mode of Implementation - Through Implementing Agency for all applicable Asset Details under Capital assets acquired through CSR if 12 Whether any capital assets have been created or acquired through CSR spent in the financial year is set to "</t>
    </r>
    <r>
      <rPr>
        <b/>
        <sz val="12"/>
        <color rgb="FF000000"/>
        <rFont val="Aptos Display"/>
        <family val="2"/>
      </rPr>
      <t>Yes</t>
    </r>
    <r>
      <rPr>
        <sz val="12"/>
        <color rgb="FF000000"/>
        <rFont val="Aptos Display"/>
        <family val="2"/>
      </rPr>
      <t>" and If yes, enter the number of Capital assets created/ acquired is greater than zero.</t>
    </r>
  </si>
  <si>
    <t>9</t>
  </si>
  <si>
    <r>
      <rPr>
        <sz val="12"/>
        <color rgb="FF000000"/>
        <rFont val="Aptos Display"/>
        <family val="2"/>
      </rPr>
      <t xml:space="preserve">Please enter valid </t>
    </r>
    <r>
      <rPr>
        <b/>
        <sz val="12"/>
        <color rgb="FF000000"/>
        <rFont val="Aptos Display"/>
        <family val="2"/>
      </rPr>
      <t>*Director identification number of the director or PAN of the Interim Resolution Professional (IRP) or Resolution Professional (RP) or Liquidator</t>
    </r>
    <r>
      <rPr>
        <sz val="12"/>
        <color rgb="FF000000"/>
        <rFont val="Aptos Display"/>
        <family val="2"/>
      </rPr>
      <t xml:space="preserve"> under Declaration</t>
    </r>
  </si>
  <si>
    <t>For form filing proceed to next tab</t>
  </si>
  <si>
    <t>Linked Cell</t>
  </si>
  <si>
    <t>Formula</t>
  </si>
  <si>
    <t>Smart Marker</t>
  </si>
  <si>
    <r>
      <rPr>
        <b/>
        <sz val="12"/>
        <color rgb="FF000000"/>
        <rFont val="Calibri"/>
        <family val="2"/>
      </rPr>
      <t>Row Numbe</t>
    </r>
    <r>
      <rPr>
        <b/>
        <sz val="11"/>
        <color rgb="FF000000"/>
        <rFont val="Calibri"/>
        <family val="2"/>
      </rPr>
      <t>r</t>
    </r>
  </si>
  <si>
    <t>datasource</t>
  </si>
  <si>
    <t>datasourceTarget</t>
  </si>
  <si>
    <t>sectionName</t>
  </si>
  <si>
    <t>collectionProperty</t>
  </si>
  <si>
    <t>multiline</t>
  </si>
  <si>
    <t>startRow</t>
  </si>
  <si>
    <t>startCol</t>
  </si>
  <si>
    <t>endRow</t>
  </si>
  <si>
    <t>endCol</t>
  </si>
  <si>
    <t>actualEndRow</t>
  </si>
  <si>
    <t>fieldName</t>
  </si>
  <si>
    <t>startRowOffset</t>
  </si>
  <si>
    <t>valueColumn</t>
  </si>
  <si>
    <t>numeric</t>
  </si>
  <si>
    <t>validations</t>
  </si>
  <si>
    <t>editable</t>
  </si>
  <si>
    <t>target</t>
  </si>
  <si>
    <t>type</t>
  </si>
  <si>
    <t>valueToRef</t>
  </si>
  <si>
    <t>valueToSet</t>
  </si>
  <si>
    <t>restrictEditIfPrePropulated</t>
  </si>
  <si>
    <t>prePopVal</t>
  </si>
  <si>
    <t>linkedRef</t>
  </si>
  <si>
    <t>cellRefEditabilty</t>
  </si>
  <si>
    <t>cellRefErrMsg</t>
  </si>
  <si>
    <t>TypeOfRemark</t>
  </si>
  <si>
    <t>AuditorsComments</t>
  </si>
  <si>
    <t>Designation</t>
  </si>
  <si>
    <t>YesNo</t>
  </si>
  <si>
    <t>Extract of Auditor's Report (Standalone)</t>
  </si>
  <si>
    <t>BookKeepingInfo</t>
  </si>
  <si>
    <t>bookKeepingInfo</t>
  </si>
  <si>
    <t>AuditorDetails</t>
  </si>
  <si>
    <t>currenteAuditorStandalone.formData.auditorDetails</t>
  </si>
  <si>
    <t>B</t>
  </si>
  <si>
    <t>K</t>
  </si>
  <si>
    <t>sno</t>
  </si>
  <si>
    <t>requestBody.formData.auditorDetails</t>
  </si>
  <si>
    <t>requestBody.formData.opinionOfTheAuditor1</t>
  </si>
  <si>
    <t>Field</t>
  </si>
  <si>
    <t>excelVersionNumber</t>
  </si>
  <si>
    <t>Qualification</t>
  </si>
  <si>
    <t>Favourable Remark</t>
  </si>
  <si>
    <t>Director</t>
  </si>
  <si>
    <t>Yes</t>
  </si>
  <si>
    <t>[Pursuant to Section 143(2) of the Companies Act, 2013 read with Rule 12 of the Companies (Accounts) Rules, 2014 and Rule 11 of the Companies (Audit and Auditors) Rules, 2014 ]</t>
  </si>
  <si>
    <t>FormData</t>
  </si>
  <si>
    <t>currenteAuditorStandalone.formData</t>
  </si>
  <si>
    <t>AuditorComments</t>
  </si>
  <si>
    <t>currenteAuditorStandalone.formData.auditorCommentOnItemsSpecifiedUnderComapnies</t>
  </si>
  <si>
    <t>N</t>
  </si>
  <si>
    <t>typeOfRemark</t>
  </si>
  <si>
    <t>C</t>
  </si>
  <si>
    <t>requestBody.formData.basisOfOpinion1</t>
  </si>
  <si>
    <t>offlineRefNum</t>
  </si>
  <si>
    <t>Reservation</t>
  </si>
  <si>
    <t>Unfavourable remark</t>
  </si>
  <si>
    <t>IRP/RP/Liquidator</t>
  </si>
  <si>
    <t>No</t>
  </si>
  <si>
    <t>HideRow</t>
  </si>
  <si>
    <t>rowHideShowMarkers</t>
  </si>
  <si>
    <t>auditorComment1</t>
  </si>
  <si>
    <t>F</t>
  </si>
  <si>
    <t>requestBody.formData.emphasisOfMatter1</t>
  </si>
  <si>
    <t>templateVersionNumber</t>
  </si>
  <si>
    <t>Adverse remarks</t>
  </si>
  <si>
    <t>Disclaimer remark</t>
  </si>
  <si>
    <t>auditorCommonOnPlantAndEquip</t>
  </si>
  <si>
    <t>requestBody.formData.auditorCommentOnItemsSpecifiedUnderComapnies</t>
  </si>
  <si>
    <t>G</t>
  </si>
  <si>
    <t>requestBody.formData.keyAuditMatter1</t>
  </si>
  <si>
    <t>onlineRefNum</t>
  </si>
  <si>
    <t>1-26784797343</t>
  </si>
  <si>
    <t>Disclaimer</t>
  </si>
  <si>
    <t>Clause not applicable</t>
  </si>
  <si>
    <t>Refer instruction kit for filing the form                                                                                                                                                                                                                                   All fields marked in * are mandatory</t>
  </si>
  <si>
    <t>auditorCommentOnInventories</t>
  </si>
  <si>
    <t>requestBody.formData.otherInformation1</t>
  </si>
  <si>
    <t>startColumnToHide</t>
  </si>
  <si>
    <t>auditorCommentOnLoansGivenToCompany</t>
  </si>
  <si>
    <t>requestBody.formData.noOfQualification</t>
  </si>
  <si>
    <t>numberOfColumnToHide</t>
  </si>
  <si>
    <t xml:space="preserve">*Name of the Company </t>
  </si>
  <si>
    <t>M/s VIBESEK VENTURES PRIVATE LIMITED</t>
  </si>
  <si>
    <t>auditorCommentOnLoansToDirectors</t>
  </si>
  <si>
    <t>requestBody.formData.mamagementResponsibility1</t>
  </si>
  <si>
    <t>storageRandomId</t>
  </si>
  <si>
    <t>RIQAcxLNaRKD7E3axrwm6HuXoB3+gmeg</t>
  </si>
  <si>
    <t>auditorCommentOnAcceptance</t>
  </si>
  <si>
    <t>requestBody.formData.auditorResponsibility1</t>
  </si>
  <si>
    <t>1 Report of the auditor</t>
  </si>
  <si>
    <t>auditorCommentOnMaintenanceOfCostRecords</t>
  </si>
  <si>
    <t>requestBody.formData.stateAnyMatter1</t>
  </si>
  <si>
    <t>auditorCommentOnStatDues</t>
  </si>
  <si>
    <t>requestBody.formData.reportOnLegalAndRegulatory1</t>
  </si>
  <si>
    <t>(a) *Opinion of the auditor</t>
  </si>
  <si>
    <t>auditorCommentOnTermLoans</t>
  </si>
  <si>
    <t>requestBody.formData.reportingOnInternetFinancialControls1</t>
  </si>
  <si>
    <t>auditorCommentOnUtiliztnOfFunds</t>
  </si>
  <si>
    <t>requestBody.formData.otherMattersAsPerRule11I</t>
  </si>
  <si>
    <t>auditorCommentOnFraudNoticed</t>
  </si>
  <si>
    <t>requestBody.formData.declaration.decalartionDSC</t>
  </si>
  <si>
    <t>(b) *Basis of Opinion</t>
  </si>
  <si>
    <t>disUnrecIncomeAudCmnts</t>
  </si>
  <si>
    <t>requestBody.formData.declaration.name</t>
  </si>
  <si>
    <t>auditorCommentOnNidhiCompany</t>
  </si>
  <si>
    <t>requestBody.formData.declaration.designation</t>
  </si>
  <si>
    <t>Dropdown</t>
  </si>
  <si>
    <t>*Designation</t>
  </si>
  <si>
    <t>auditorCommentOnRelatedParty</t>
  </si>
  <si>
    <t>requestBody.formData.declaration.decalartionId</t>
  </si>
  <si>
    <t>(c) *Emphasis of matter</t>
  </si>
  <si>
    <t>auditorCommentOnPvtPlacement</t>
  </si>
  <si>
    <t>requestBody.formData.isCaroApplicable</t>
  </si>
  <si>
    <t>auditorCommentOnNonCashTransctns</t>
  </si>
  <si>
    <t>auditorCommentOnRegst</t>
  </si>
  <si>
    <t>(d) *Key audit matters</t>
  </si>
  <si>
    <t>internalAuditAudCmnts</t>
  </si>
  <si>
    <t>cashLossesAudCmnts</t>
  </si>
  <si>
    <t>(e) *Other information (if any)</t>
  </si>
  <si>
    <t>resigStatutoryAudCmnts</t>
  </si>
  <si>
    <t>materialUncertaintyAudCmnts</t>
  </si>
  <si>
    <t>Auditor's remarks</t>
  </si>
  <si>
    <t>transferUspCSRToFundAudCmnts</t>
  </si>
  <si>
    <t>disUnrecIncomeDetailsCmntsI</t>
  </si>
  <si>
    <t>I</t>
  </si>
  <si>
    <t>2 Number of qualification, reservation or adverse remark or disclaimer</t>
  </si>
  <si>
    <t>0</t>
  </si>
  <si>
    <t>detailsOnCommentProvided1PlantAndEquip</t>
  </si>
  <si>
    <t>detailsOnCommentProvided1Inventories</t>
  </si>
  <si>
    <t>S. No.</t>
  </si>
  <si>
    <t>Type of remark</t>
  </si>
  <si>
    <t>Auditor's comments based on the remark</t>
  </si>
  <si>
    <t>detailsOnCommentProvided1LoansGivenToCompany</t>
  </si>
  <si>
    <t/>
  </si>
  <si>
    <t>detailsOnCommentProvided1LoansToDirectors</t>
  </si>
  <si>
    <t>detailsOnCommentProvided1Acceptance</t>
  </si>
  <si>
    <t>detailsOnCommentProvided1MaintenanceOfCostRecords</t>
  </si>
  <si>
    <t>Management responsibility</t>
  </si>
  <si>
    <t>detailsOnCommentProvided1StatDues</t>
  </si>
  <si>
    <t>detailsOnCommentProvided1TermLoans</t>
  </si>
  <si>
    <t>3 *Responsibilities of Management and Those Charged with Governance for the Financial Statements</t>
  </si>
  <si>
    <t>detailsOnCommentProvided1UtiliztnOfFunds</t>
  </si>
  <si>
    <t>detailsOnCommentProvided1FraudNoticed</t>
  </si>
  <si>
    <t>detailsOnCommentProvided1NidhiCompany</t>
  </si>
  <si>
    <t>Auditor responsibility</t>
  </si>
  <si>
    <t>detailsOnCommentProvided1RelatedParty</t>
  </si>
  <si>
    <t>detailsOnCommentProvided1PvtPlacement</t>
  </si>
  <si>
    <t>4 *Auditor’s Responsibilities for the Audit of the Standalone Financial Statements</t>
  </si>
  <si>
    <t>detailsOnCommentProvided1NonCashTransctns</t>
  </si>
  <si>
    <t>detailsOnCommentProvided1Regst</t>
  </si>
  <si>
    <t>internalAuditDetailsCmntsI</t>
  </si>
  <si>
    <t>Other details</t>
  </si>
  <si>
    <t>cashLossesDetailsCmntsI</t>
  </si>
  <si>
    <t>resigStatutoryDetailsCmntsI</t>
  </si>
  <si>
    <t>5 (a) *State  other matters as per Rule 11 of Companies (Audit and Auditors) Rules, 2014.</t>
  </si>
  <si>
    <t>materialUncertaintyDetailsCmntsI</t>
  </si>
  <si>
    <t>transferUspCSRToFundDetailsCmntsI</t>
  </si>
  <si>
    <t>M</t>
  </si>
  <si>
    <t>5 (b)  State any other matters, if any</t>
  </si>
  <si>
    <t>6 (a) *Report on Other Legal and Regulatory requirements</t>
  </si>
  <si>
    <t xml:space="preserve">6 (b) *Whether companies auditors report order(CARO) is applicable on company     </t>
  </si>
  <si>
    <t xml:space="preserve">   (c) *Auditors’ comment on the items specified under Companies (Auditors’ Report) Order (CARO)</t>
  </si>
  <si>
    <r>
      <rPr>
        <b/>
        <sz val="10"/>
        <color rgb="FF000000"/>
        <rFont val="Calibri"/>
        <family val="2"/>
      </rPr>
      <t>Particulars</t>
    </r>
    <r>
      <rPr>
        <sz val="11"/>
        <color theme="1"/>
        <rFont val="Aptos Narrow"/>
        <family val="2"/>
        <scheme val="minor"/>
      </rPr>
      <t xml:space="preserve"> </t>
    </r>
  </si>
  <si>
    <t xml:space="preserve">Auditors’ comments on the report </t>
  </si>
  <si>
    <t>Details on the comments provided</t>
  </si>
  <si>
    <t>Property Plant and Equipment and Intangible  Assets</t>
  </si>
  <si>
    <t>Eauditor Auditor Comments</t>
  </si>
  <si>
    <t>Inventories</t>
  </si>
  <si>
    <t>Loans given by the company</t>
  </si>
  <si>
    <t>Loan to Directors and Investment by the Company</t>
  </si>
  <si>
    <t>Acceptance of Public Deposits</t>
  </si>
  <si>
    <t>Maintenance of Cost records</t>
  </si>
  <si>
    <t>Statutory dues</t>
  </si>
  <si>
    <t>Term loans</t>
  </si>
  <si>
    <t>The utilisation of funds</t>
  </si>
  <si>
    <t>Fraud noticed</t>
  </si>
  <si>
    <t>Disclosure of unrecorded Income</t>
  </si>
  <si>
    <t>Nidhi Company</t>
  </si>
  <si>
    <t>Related Party Transactions</t>
  </si>
  <si>
    <t>Private placement of Preferential Issues</t>
  </si>
  <si>
    <t>Non-Cash Transactions</t>
  </si>
  <si>
    <t>Registration under RBI Act</t>
  </si>
  <si>
    <t>Internal Audit</t>
  </si>
  <si>
    <t>Cash Losses</t>
  </si>
  <si>
    <t>Resignation of the Statutory Auditor</t>
  </si>
  <si>
    <t>Material uncertaininty</t>
  </si>
  <si>
    <t>Transfer of unspent CSR amount to  Fund specified in Schedule VII/ special account</t>
  </si>
  <si>
    <t>(d) *Reporting on the Internal Financial Controls</t>
  </si>
  <si>
    <t>Declaration by Director</t>
  </si>
  <si>
    <t xml:space="preserve">I am authorised to sign this form and declare that all the requirements of Companies Act, 2013 and the rules made thereunder </t>
  </si>
  <si>
    <t>in respect of the subject matter of this form and matters incidental thereto have been compiled with.</t>
  </si>
  <si>
    <t>I also declare that the information stated in this form is in line with the Auditor's Report attached with form AOC-4.</t>
  </si>
  <si>
    <r>
      <rPr>
        <sz val="11"/>
        <color theme="1"/>
        <rFont val="Calibri"/>
        <family val="2"/>
      </rPr>
      <t xml:space="preserve">* </t>
    </r>
    <r>
      <rPr>
        <b/>
        <sz val="11"/>
        <color theme="1"/>
        <rFont val="Calibri"/>
        <family val="2"/>
      </rPr>
      <t>To be digitally signed by</t>
    </r>
  </si>
  <si>
    <t>DSC BOX</t>
  </si>
  <si>
    <t>*Name</t>
  </si>
  <si>
    <r>
      <rPr>
        <sz val="10"/>
        <color theme="1"/>
        <rFont val="Calibri"/>
        <family val="2"/>
      </rPr>
      <t xml:space="preserve">*Designation </t>
    </r>
    <r>
      <rPr>
        <i/>
        <sz val="10"/>
        <color theme="1"/>
        <rFont val="Calibri"/>
        <family val="2"/>
      </rPr>
      <t>(Director/Liquidator/Interim Resolution Professional (IRP)/</t>
    </r>
    <r>
      <rPr>
        <i/>
        <sz val="11"/>
        <color theme="1"/>
        <rFont val="Calibri"/>
        <family val="2"/>
      </rPr>
      <t xml:space="preserve"> </t>
    </r>
  </si>
  <si>
    <r>
      <rPr>
        <i/>
        <sz val="10"/>
        <color theme="1"/>
        <rFont val="Calibri"/>
        <family val="2"/>
      </rPr>
      <t>Resolution Professional (RP))</t>
    </r>
    <r>
      <rPr>
        <sz val="10"/>
        <color theme="1"/>
        <rFont val="Calibri"/>
        <family val="2"/>
      </rPr>
      <t xml:space="preserve"> </t>
    </r>
  </si>
  <si>
    <t xml:space="preserve">*Director identification number of the director or </t>
  </si>
  <si>
    <t>PAN of the Interim Resolution Professional (IRP)/ Resolution Professional (RP)/ Liquidator</t>
  </si>
  <si>
    <t xml:space="preserve">Note: Attention is drawn to provisions of Section 448 and 449 of the Companies Act, 2013 which provide for punishment for false </t>
  </si>
  <si>
    <t>statement / certificate and punishment for false evidence respectively.</t>
  </si>
</sst>
</file>

<file path=xl/styles.xml><?xml version="1.0" encoding="utf-8"?>
<styleSheet xmlns="http://schemas.openxmlformats.org/spreadsheetml/2006/main">
  <numFmts count="1">
    <numFmt numFmtId="177" formatCode=";;;"/>
  </numFmts>
  <fonts count="31">
    <font>
      <sz val="10"/>
      <color theme="1"/>
      <name val="Arial"/>
      <family val="2"/>
    </font>
    <font>
      <b/>
      <sz val="12"/>
      <color rgb="FF000000"/>
      <name val="Aptos Display"/>
      <family val="2"/>
    </font>
    <font>
      <sz val="11"/>
      <color theme="1"/>
      <name val="Aptos Narrow"/>
      <family val="2"/>
      <scheme val="minor"/>
    </font>
    <font>
      <sz val="12"/>
      <color rgb="FF000000"/>
      <name val="Aptos Display"/>
      <family val="2"/>
    </font>
    <font>
      <sz val="12"/>
      <color theme="1"/>
      <name val="Aptos Narrow"/>
      <family val="2"/>
      <scheme val="minor"/>
    </font>
    <font>
      <sz val="11"/>
      <color rgb="FF3F3F3F"/>
      <name val="Calibri"/>
      <family val="2"/>
    </font>
    <font>
      <sz val="11"/>
      <color rgb="FF3F3F3F"/>
      <name val="Aptos Narrow"/>
      <family val="2"/>
      <scheme val="minor"/>
    </font>
    <font>
      <b/>
      <sz val="10"/>
      <color theme="1"/>
      <name val="Calibri"/>
      <family val="2"/>
    </font>
    <font>
      <sz val="10"/>
      <color theme="1"/>
      <name val="Calibri"/>
      <family val="2"/>
    </font>
    <font>
      <sz val="10"/>
      <color rgb="FF3F3F3F"/>
      <name val="Calibri"/>
      <family val="2"/>
    </font>
    <font>
      <b/>
      <sz val="10"/>
      <color theme="1"/>
      <name val="Aptos Narrow"/>
      <family val="2"/>
      <scheme val="minor"/>
    </font>
    <font>
      <i/>
      <sz val="10"/>
      <color theme="1"/>
      <name val="Calibri"/>
      <family val="2"/>
    </font>
    <font>
      <sz val="11"/>
      <color theme="1"/>
      <name val="Calibri"/>
      <family val="2"/>
    </font>
    <font>
      <sz val="10"/>
      <color rgb="FF000000"/>
      <name val="Calibri"/>
      <family val="2"/>
    </font>
    <font>
      <sz val="10"/>
      <color theme="1"/>
      <name val="Aptos Narrow"/>
      <family val="2"/>
      <scheme val="minor"/>
    </font>
    <font>
      <b/>
      <sz val="11"/>
      <color rgb="FF666666"/>
      <name val="Arial"/>
      <family val="2"/>
    </font>
    <font>
      <b/>
      <sz val="11"/>
      <color rgb="FF3F3F3F"/>
      <name val="Aptos Narrow"/>
      <family val="2"/>
      <scheme val="minor"/>
    </font>
    <font>
      <sz val="10"/>
      <color rgb="FF333333"/>
      <name val="Arial"/>
      <family val="2"/>
    </font>
    <font>
      <sz val="11"/>
      <color rgb="FF000000"/>
      <name val="Calibri"/>
      <family val="2"/>
    </font>
    <font>
      <b/>
      <sz val="18"/>
      <color theme="1"/>
      <name val="Calibri"/>
      <family val="2"/>
    </font>
    <font>
      <b/>
      <sz val="11"/>
      <color theme="1"/>
      <name val="Aptos Narrow"/>
      <family val="2"/>
      <scheme val="minor"/>
    </font>
    <font>
      <b/>
      <sz val="12"/>
      <color theme="1"/>
      <name val="Aptos Narrow"/>
      <family val="2"/>
      <scheme val="minor"/>
    </font>
    <font>
      <b/>
      <u val="single"/>
      <sz val="12"/>
      <color rgb="FF000000"/>
      <name val="Aptos Display"/>
      <family val="2"/>
    </font>
    <font>
      <b/>
      <u val="single"/>
      <sz val="14"/>
      <color rgb="FF000000"/>
      <name val="Aptos Display"/>
      <family val="2"/>
    </font>
    <font>
      <b/>
      <sz val="12"/>
      <color rgb="FF000000"/>
      <name val="Calibri"/>
      <family val="2"/>
    </font>
    <font>
      <b/>
      <sz val="11"/>
      <color rgb="FF000000"/>
      <name val="Calibri"/>
      <family val="2"/>
    </font>
    <font>
      <b/>
      <sz val="10"/>
      <color rgb="FF000000"/>
      <name val="Calibri"/>
      <family val="2"/>
    </font>
    <font>
      <b/>
      <sz val="11"/>
      <color theme="1"/>
      <name val="Calibri"/>
      <family val="2"/>
    </font>
    <font>
      <i/>
      <sz val="11"/>
      <color theme="1"/>
      <name val="Calibri"/>
      <family val="2"/>
    </font>
    <font>
      <b/>
      <sz val="12"/>
      <color rgb="FF000000"/>
      <name val="Times New Roman"/>
      <family val="1"/>
    </font>
    <font>
      <sz val="12"/>
      <color rgb="FF000000"/>
      <name val="Times New Roman"/>
      <family val="1"/>
    </font>
  </fonts>
  <fills count="11">
    <fill>
      <patternFill patternType="none"/>
    </fill>
    <fill>
      <patternFill patternType="gray125"/>
    </fill>
    <fill>
      <patternFill patternType="solid">
        <fgColor rgb="FFC1E5F5"/>
        <bgColor indexed="64"/>
      </patternFill>
    </fill>
    <fill>
      <patternFill patternType="solid">
        <fgColor rgb="FFFBE3D6"/>
        <bgColor indexed="64"/>
      </patternFill>
    </fill>
    <fill>
      <patternFill patternType="solid">
        <fgColor rgb="FFC2F1C8"/>
        <bgColor indexed="64"/>
      </patternFill>
    </fill>
    <fill>
      <patternFill patternType="solid">
        <fgColor rgb="FFE8E8E8"/>
        <bgColor indexed="64"/>
      </patternFill>
    </fill>
    <fill>
      <patternFill patternType="solid">
        <fgColor rgb="FFF2F2F2"/>
        <bgColor indexed="64"/>
      </patternFill>
    </fill>
    <fill>
      <patternFill patternType="solid">
        <fgColor rgb="FFDCEAF7"/>
        <bgColor indexed="64"/>
      </patternFill>
    </fill>
    <fill>
      <patternFill patternType="solid">
        <fgColor rgb="FFE0FFFF"/>
        <bgColor indexed="64"/>
      </patternFill>
    </fill>
    <fill>
      <patternFill patternType="solid">
        <fgColor rgb="FFD3D3D3"/>
        <bgColor indexed="64"/>
      </patternFill>
    </fill>
    <fill>
      <patternFill patternType="solid">
        <fgColor indexed="65"/>
        <bgColor indexed="64"/>
      </patternFill>
    </fill>
  </fills>
  <borders count="22">
    <border>
      <left/>
      <right/>
      <top/>
      <bottom/>
      <diagonal/>
    </border>
    <border>
      <left style="thin">
        <color auto="1"/>
      </left>
      <right style="thin">
        <color auto="1"/>
      </right>
      <top style="thin">
        <color auto="1"/>
      </top>
      <bottom style="thin">
        <color auto="1"/>
      </bottom>
    </border>
    <border>
      <left style="thin">
        <color auto="1"/>
      </left>
      <right/>
      <top style="thin">
        <color auto="1"/>
      </top>
      <bottom/>
    </border>
    <border>
      <left/>
      <right style="thin">
        <color auto="1"/>
      </right>
      <top style="thin">
        <color auto="1"/>
      </top>
      <bottom/>
    </border>
    <border>
      <left style="thin">
        <color auto="1"/>
      </left>
      <right style="thin">
        <color auto="1"/>
      </right>
      <top style="thin">
        <color auto="1"/>
      </top>
      <bottom/>
    </border>
    <border>
      <left style="thin">
        <color auto="1"/>
      </left>
      <right style="thin">
        <color auto="1"/>
      </right>
      <top/>
      <bottom/>
    </border>
    <border>
      <left style="thin">
        <color auto="1"/>
      </left>
      <right style="thin">
        <color auto="1"/>
      </right>
      <top/>
      <bottom style="thin">
        <color auto="1"/>
      </bottom>
    </border>
    <border>
      <left style="thin">
        <color auto="1"/>
      </left>
      <right/>
      <top style="thin">
        <color auto="1"/>
      </top>
      <bottom style="thin">
        <color auto="1"/>
      </bottom>
    </border>
    <border>
      <left/>
      <right style="thin">
        <color auto="1"/>
      </right>
      <top style="thin">
        <color auto="1"/>
      </top>
      <bottom style="thin">
        <color auto="1"/>
      </bottom>
    </border>
    <border>
      <left style="thin">
        <color auto="1"/>
      </left>
      <right/>
      <top/>
      <bottom style="thin">
        <color auto="1"/>
      </bottom>
    </border>
    <border>
      <left style="thin">
        <color rgb="FF3F3F3F"/>
      </left>
      <right style="thin">
        <color rgb="FF3F3F3F"/>
      </right>
      <top style="thin">
        <color rgb="FF3F3F3F"/>
      </top>
      <bottom style="thin">
        <color rgb="FF3F3F3F"/>
      </bottom>
    </border>
    <border>
      <left/>
      <right/>
      <top style="thin">
        <color auto="1"/>
      </top>
      <bottom style="thin">
        <color auto="1"/>
      </bottom>
    </border>
    <border>
      <left style="thin">
        <color auto="1"/>
      </left>
      <right style="thin">
        <color auto="1"/>
      </right>
      <top style="thin">
        <color rgb="FF000000"/>
      </top>
      <bottom style="thin">
        <color auto="1"/>
      </bottom>
    </border>
    <border>
      <left/>
      <right/>
      <top/>
      <bottom style="thin">
        <color rgb="FF000000"/>
      </bottom>
    </border>
    <border>
      <left style="thin">
        <color auto="1"/>
      </left>
      <right style="thin">
        <color auto="1"/>
      </right>
      <top style="thin">
        <color rgb="FF000000"/>
      </top>
      <bottom style="thin">
        <color rgb="FF000000"/>
      </bottom>
    </border>
    <border>
      <left style="thin">
        <color rgb="FF000000"/>
      </left>
      <right style="thin">
        <color auto="1"/>
      </right>
      <top style="thin">
        <color rgb="FF000000"/>
      </top>
      <bottom style="thin">
        <color rgb="FF000000"/>
      </bottom>
    </border>
    <border>
      <left style="thin">
        <color auto="1"/>
      </left>
      <right style="thin">
        <color rgb="FF000000"/>
      </right>
      <top style="thin">
        <color rgb="FF000000"/>
      </top>
      <bottom style="thin">
        <color rgb="FF000000"/>
      </bottom>
    </border>
    <border>
      <left style="thin">
        <color auto="1"/>
      </left>
      <right/>
      <top style="thin">
        <color rgb="FF000000"/>
      </top>
      <bottom style="thin">
        <color auto="1"/>
      </bottom>
    </border>
    <border>
      <left style="thin">
        <color auto="1"/>
      </left>
      <right/>
      <top style="thin">
        <color rgb="FF000000"/>
      </top>
      <bottom style="thin">
        <color rgb="FF000000"/>
      </bottom>
    </border>
    <border>
      <left style="thin">
        <color rgb="FF000000"/>
      </left>
      <right/>
      <top style="thin">
        <color rgb="FF000000"/>
      </top>
      <bottom style="thin">
        <color rgb="FF000000"/>
      </bottom>
    </border>
    <border>
      <left style="thin">
        <color auto="1"/>
      </left>
      <right style="thin">
        <color auto="1"/>
      </right>
      <top style="thin">
        <color auto="1"/>
      </top>
      <bottom style="thin">
        <color rgb="FF000000"/>
      </bottom>
    </border>
    <border>
      <left style="thin">
        <color rgb="FF000000"/>
      </left>
      <right/>
      <top/>
      <bottom/>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16" fillId="6" borderId="10" applyNumberFormat="0" applyAlignment="0" applyProtection="0"/>
  </cellStyleXfs>
  <cellXfs count="145">
    <xf numFmtId="0" fontId="0" fillId="0" borderId="0" xfId="0"/>
    <xf numFmtId="0" fontId="2" fillId="0" borderId="0" xfId="0"/>
    <xf numFmtId="49" fontId="4" fillId="2" borderId="1" xfId="0" applyNumberFormat="1" applyFont="1" applyFill="1" applyBorder="1" applyAlignment="1">
      <alignment horizontal="left" vertical="top"/>
    </xf>
    <xf numFmtId="49" fontId="22" fillId="3" borderId="2" xfId="0" applyNumberFormat="1" applyFont="1" applyFill="1" applyBorder="1" applyAlignment="1">
      <alignment horizontal="center" vertical="center" wrapText="1"/>
    </xf>
    <xf numFmtId="49" fontId="22" fillId="3" borderId="3" xfId="0" applyNumberFormat="1" applyFont="1" applyFill="1" applyBorder="1" applyAlignment="1">
      <alignment horizontal="center" vertical="center" wrapText="1"/>
    </xf>
    <xf numFmtId="49" fontId="23" fillId="0" borderId="1" xfId="0" applyNumberFormat="1" applyFont="1" applyBorder="1" applyAlignment="1">
      <alignment vertical="center"/>
    </xf>
    <xf numFmtId="49" fontId="1" fillId="4" borderId="1" xfId="0" applyNumberFormat="1" applyFont="1" applyFill="1" applyBorder="1" applyAlignment="1">
      <alignment horizontal="right" vertical="top" wrapText="1"/>
    </xf>
    <xf numFmtId="49" fontId="3" fillId="4" borderId="1" xfId="0" applyNumberFormat="1" applyFont="1" applyFill="1" applyBorder="1" applyAlignment="1">
      <alignment vertical="top" wrapText="1"/>
    </xf>
    <xf numFmtId="49" fontId="1" fillId="4" borderId="4" xfId="0" applyNumberFormat="1" applyFont="1" applyFill="1" applyBorder="1" applyAlignment="1">
      <alignment horizontal="right" vertical="top" wrapText="1"/>
    </xf>
    <xf numFmtId="49" fontId="1" fillId="4" borderId="5" xfId="0" applyNumberFormat="1" applyFont="1" applyFill="1" applyBorder="1" applyAlignment="1">
      <alignment horizontal="right" vertical="top" wrapText="1"/>
    </xf>
    <xf numFmtId="49" fontId="1" fillId="4" borderId="6" xfId="0" applyNumberFormat="1" applyFont="1" applyFill="1" applyBorder="1" applyAlignment="1">
      <alignment horizontal="right" vertical="top" wrapText="1"/>
    </xf>
    <xf numFmtId="49" fontId="3" fillId="4" borderId="1" xfId="0" applyNumberFormat="1" applyFont="1" applyFill="1" applyBorder="1" applyAlignment="1" quotePrefix="1">
      <alignment vertical="top" wrapText="1"/>
    </xf>
    <xf numFmtId="49" fontId="22" fillId="3" borderId="7" xfId="0" applyNumberFormat="1" applyFont="1" applyFill="1" applyBorder="1" applyAlignment="1">
      <alignment horizontal="center" vertical="center" wrapText="1"/>
    </xf>
    <xf numFmtId="49" fontId="22" fillId="3" borderId="8" xfId="0" applyNumberFormat="1" applyFont="1" applyFill="1" applyBorder="1" applyAlignment="1">
      <alignment horizontal="center" vertical="center" wrapText="1"/>
    </xf>
    <xf numFmtId="49" fontId="1" fillId="2" borderId="6" xfId="0" applyNumberFormat="1" applyFont="1" applyFill="1" applyBorder="1" applyAlignment="1">
      <alignment horizontal="right" vertical="top" wrapText="1"/>
    </xf>
    <xf numFmtId="49" fontId="3" fillId="2" borderId="1" xfId="0" applyNumberFormat="1" applyFont="1" applyFill="1" applyBorder="1" applyAlignment="1">
      <alignment vertical="top" wrapText="1"/>
    </xf>
    <xf numFmtId="49" fontId="1" fillId="2" borderId="9" xfId="0" applyNumberFormat="1" applyFont="1" applyFill="1" applyBorder="1" applyAlignment="1">
      <alignment horizontal="right" vertical="top" wrapText="1"/>
    </xf>
    <xf numFmtId="49" fontId="4" fillId="0" borderId="1" xfId="0" applyNumberFormat="1" applyFont="1" applyBorder="1" applyAlignment="1">
      <alignment horizontal="left" vertical="top"/>
    </xf>
    <xf numFmtId="49" fontId="2" fillId="0" borderId="1" xfId="0" applyNumberFormat="1" applyBorder="1" applyAlignment="1">
      <alignment horizontal="left" vertical="top"/>
    </xf>
    <xf numFmtId="49" fontId="2" fillId="0" borderId="1" xfId="0" applyNumberFormat="1" applyBorder="1"/>
    <xf numFmtId="49" fontId="2" fillId="0" borderId="1" xfId="0" applyNumberFormat="1" applyBorder="1" applyAlignment="1">
      <alignment wrapText="1"/>
    </xf>
    <xf numFmtId="0" fontId="21" fillId="0" borderId="0" xfId="0" applyFont="1" applyProtection="1">
      <protection hidden="1"/>
    </xf>
    <xf numFmtId="0" fontId="20" fillId="0" borderId="0" xfId="0" applyFont="1" applyProtection="1">
      <protection hidden="1"/>
    </xf>
    <xf numFmtId="0" fontId="19" fillId="0" borderId="0" xfId="0" applyFont="1" applyAlignment="1" applyProtection="1">
      <alignment horizontal="left"/>
      <protection hidden="1"/>
    </xf>
    <xf numFmtId="0" fontId="2" fillId="0" borderId="0" xfId="0" applyProtection="1">
      <protection hidden="1"/>
    </xf>
    <xf numFmtId="0" fontId="12" fillId="0" borderId="0" xfId="0" applyFont="1" applyProtection="1">
      <protection hidden="1"/>
    </xf>
    <xf numFmtId="0" fontId="8" fillId="0" borderId="0" xfId="0" applyFont="1" applyAlignment="1" applyProtection="1">
      <alignment horizontal="left" wrapText="1"/>
      <protection hidden="1"/>
    </xf>
    <xf numFmtId="0" fontId="2" fillId="0" borderId="0" xfId="0" applyAlignment="1">
      <alignment vertical="center" wrapText="1"/>
    </xf>
    <xf numFmtId="0" fontId="11" fillId="0" borderId="0" xfId="0" applyFont="1" applyAlignment="1" applyProtection="1">
      <alignment wrapText="1"/>
      <protection hidden="1"/>
    </xf>
    <xf numFmtId="0" fontId="11" fillId="0" borderId="0" xfId="0" applyFont="1" applyAlignment="1" applyProtection="1">
      <alignment vertical="top"/>
      <protection hidden="1"/>
    </xf>
    <xf numFmtId="49" fontId="12" fillId="5" borderId="1" xfId="0" applyNumberFormat="1" applyFont="1" applyFill="1" applyBorder="1" applyAlignment="1">
      <alignment horizontal="left" vertical="top" wrapText="1"/>
    </xf>
    <xf numFmtId="0" fontId="18" fillId="0" borderId="0" xfId="0" applyFont="1"/>
    <xf numFmtId="0" fontId="7" fillId="0" borderId="0" xfId="0" applyFont="1" applyProtection="1">
      <protection hidden="1"/>
    </xf>
    <xf numFmtId="0" fontId="8" fillId="0" borderId="0" xfId="0" applyFont="1" applyProtection="1">
      <protection hidden="1"/>
    </xf>
    <xf numFmtId="49" fontId="5" fillId="0" borderId="1" xfId="20" applyNumberFormat="1" applyFont="1" applyFill="1" applyBorder="1" applyAlignment="1" applyProtection="1">
      <alignment horizontal="left" vertical="top" wrapText="1"/>
      <protection locked="0"/>
    </xf>
    <xf numFmtId="49" fontId="2" fillId="0" borderId="0" xfId="0" applyNumberFormat="1" applyProtection="1">
      <protection hidden="1"/>
    </xf>
    <xf numFmtId="0" fontId="16" fillId="0" borderId="0" xfId="20" applyFill="1" applyBorder="1" applyProtection="1">
      <protection hidden="1"/>
    </xf>
    <xf numFmtId="0" fontId="2" fillId="0" borderId="0" xfId="0" applyAlignment="1" applyProtection="1">
      <alignment wrapText="1"/>
      <protection hidden="1"/>
    </xf>
    <xf numFmtId="0" fontId="17" fillId="0" borderId="0" xfId="0" applyFont="1"/>
    <xf numFmtId="49" fontId="16" fillId="6" borderId="1" xfId="20" applyNumberFormat="1" applyBorder="1" applyAlignment="1" applyProtection="1">
      <alignment horizontal="right"/>
      <protection hidden="1"/>
    </xf>
    <xf numFmtId="0" fontId="7" fillId="7" borderId="1" xfId="0" applyFont="1" applyFill="1" applyBorder="1" applyProtection="1">
      <protection hidden="1"/>
    </xf>
    <xf numFmtId="0" fontId="7" fillId="7" borderId="1" xfId="0" applyFont="1" applyFill="1" applyBorder="1" applyAlignment="1" applyProtection="1">
      <alignment horizontal="center"/>
      <protection hidden="1"/>
    </xf>
    <xf numFmtId="49" fontId="16" fillId="5" borderId="1" xfId="20" applyNumberFormat="1" applyFill="1" applyBorder="1" applyAlignment="1" applyProtection="1">
      <alignment horizontal="right" vertical="center"/>
      <protection hidden="1"/>
    </xf>
    <xf numFmtId="49" fontId="6" fillId="0" borderId="1" xfId="20" applyNumberFormat="1" applyFont="1" applyFill="1" applyBorder="1" applyAlignment="1" applyProtection="1">
      <alignment horizontal="left" vertical="center"/>
      <protection locked="0"/>
    </xf>
    <xf numFmtId="177" fontId="2" fillId="0" borderId="0" xfId="0" applyNumberFormat="1" applyProtection="1">
      <protection hidden="1"/>
    </xf>
    <xf numFmtId="0" fontId="16" fillId="0" borderId="0" xfId="20" applyFill="1" applyBorder="1" applyAlignment="1" applyProtection="1">
      <alignment vertical="center"/>
      <protection hidden="1"/>
    </xf>
    <xf numFmtId="49" fontId="6" fillId="0" borderId="1" xfId="20" applyNumberFormat="1" applyFont="1" applyFill="1" applyBorder="1" applyAlignment="1" applyProtection="1">
      <alignment horizontal="left" vertical="top" wrapText="1"/>
      <protection locked="0"/>
    </xf>
    <xf numFmtId="49" fontId="8" fillId="0" borderId="1" xfId="0" applyNumberFormat="1" applyFont="1" applyBorder="1" applyAlignment="1" applyProtection="1">
      <alignment vertical="top" wrapText="1"/>
      <protection locked="0"/>
    </xf>
    <xf numFmtId="49" fontId="8" fillId="0" borderId="1" xfId="0" applyNumberFormat="1" applyFont="1" applyBorder="1" applyAlignment="1" applyProtection="1">
      <alignment horizontal="left" vertical="top" wrapText="1"/>
      <protection locked="0"/>
    </xf>
    <xf numFmtId="49" fontId="9" fillId="0" borderId="1" xfId="20" applyNumberFormat="1" applyFont="1" applyFill="1" applyBorder="1" applyAlignment="1" applyProtection="1">
      <alignment horizontal="left" vertical="top" wrapText="1"/>
      <protection locked="0"/>
    </xf>
    <xf numFmtId="49" fontId="9" fillId="0" borderId="0" xfId="20" applyNumberFormat="1" applyFont="1" applyFill="1" applyBorder="1" applyAlignment="1" applyProtection="1">
      <alignment horizontal="left" vertical="top" wrapText="1"/>
      <protection hidden="1"/>
    </xf>
    <xf numFmtId="0" fontId="8" fillId="0" borderId="0" xfId="0" applyFont="1"/>
    <xf numFmtId="0" fontId="16" fillId="0" borderId="0" xfId="20" applyFill="1" applyBorder="1" applyAlignment="1" applyProtection="1">
      <alignment horizontal="center"/>
      <protection hidden="1"/>
    </xf>
    <xf numFmtId="0" fontId="2" fillId="7" borderId="1" xfId="0" applyFill="1" applyBorder="1" applyAlignment="1" applyProtection="1">
      <alignment horizontal="center" vertical="center"/>
      <protection hidden="1"/>
    </xf>
    <xf numFmtId="0" fontId="7" fillId="7" borderId="1" xfId="0" applyFont="1" applyFill="1" applyBorder="1" applyAlignment="1" applyProtection="1">
      <alignment horizontal="center" vertical="center" wrapText="1"/>
      <protection hidden="1"/>
    </xf>
    <xf numFmtId="0" fontId="2" fillId="7" borderId="1" xfId="0" applyFill="1" applyBorder="1" applyAlignment="1" applyProtection="1">
      <alignment horizontal="center" vertical="center" wrapText="1"/>
      <protection hidden="1"/>
    </xf>
    <xf numFmtId="0" fontId="7" fillId="7" borderId="1" xfId="0" applyFont="1" applyFill="1" applyBorder="1" applyAlignment="1" applyProtection="1">
      <alignment horizontal="center" vertical="center"/>
      <protection hidden="1"/>
    </xf>
    <xf numFmtId="0" fontId="8" fillId="5" borderId="1" xfId="0" applyFont="1" applyFill="1" applyBorder="1" applyAlignment="1" applyProtection="1">
      <alignment horizontal="left" vertical="top" wrapText="1"/>
      <protection hidden="1"/>
    </xf>
    <xf numFmtId="49" fontId="5" fillId="0" borderId="7" xfId="20" applyNumberFormat="1" applyFont="1" applyFill="1" applyBorder="1" applyAlignment="1" applyProtection="1">
      <alignment horizontal="left" vertical="top" wrapText="1"/>
      <protection locked="0"/>
    </xf>
    <xf numFmtId="49" fontId="5" fillId="0" borderId="11" xfId="20" applyNumberFormat="1" applyFont="1" applyFill="1" applyBorder="1" applyAlignment="1" applyProtection="1">
      <alignment horizontal="left" vertical="top" wrapText="1"/>
      <protection locked="0"/>
    </xf>
    <xf numFmtId="49" fontId="5" fillId="0" borderId="8" xfId="20" applyNumberFormat="1" applyFont="1" applyFill="1" applyBorder="1" applyAlignment="1" applyProtection="1">
      <alignment horizontal="left" vertical="top" wrapText="1"/>
      <protection locked="0"/>
    </xf>
    <xf numFmtId="0" fontId="15" fillId="0" borderId="0" xfId="0" applyFont="1"/>
    <xf numFmtId="0" fontId="13" fillId="0" borderId="0" xfId="0" applyFont="1" applyAlignment="1">
      <alignment vertical="center"/>
    </xf>
    <xf numFmtId="0" fontId="14" fillId="0" borderId="0" xfId="0" applyFont="1" applyProtection="1">
      <protection hidden="1"/>
    </xf>
    <xf numFmtId="0" fontId="13" fillId="0" borderId="0" xfId="0" applyFont="1"/>
    <xf numFmtId="0" fontId="12" fillId="0" borderId="0" xfId="0" applyFont="1" applyAlignment="1">
      <alignment vertical="center"/>
    </xf>
    <xf numFmtId="49" fontId="2" fillId="0" borderId="1" xfId="0" applyNumberFormat="1" applyBorder="1" applyAlignment="1">
      <alignment horizontal="left"/>
    </xf>
    <xf numFmtId="0" fontId="8" fillId="0" borderId="0" xfId="0" applyFont="1" applyAlignment="1">
      <alignment vertical="center"/>
    </xf>
    <xf numFmtId="49" fontId="2" fillId="0" borderId="7" xfId="0" applyNumberFormat="1" applyBorder="1" applyAlignment="1" applyProtection="1">
      <alignment horizontal="left"/>
      <protection hidden="1"/>
    </xf>
    <xf numFmtId="49" fontId="2" fillId="0" borderId="11" xfId="0" applyNumberFormat="1" applyBorder="1" applyAlignment="1" applyProtection="1">
      <alignment horizontal="left"/>
      <protection hidden="1"/>
    </xf>
    <xf numFmtId="49" fontId="2" fillId="0" borderId="8" xfId="0" applyNumberFormat="1" applyBorder="1" applyAlignment="1" applyProtection="1">
      <alignment horizontal="left"/>
      <protection hidden="1"/>
    </xf>
    <xf numFmtId="0" fontId="11" fillId="0" borderId="0" xfId="0" applyFont="1" applyAlignment="1">
      <alignment vertical="center"/>
    </xf>
    <xf numFmtId="0" fontId="7" fillId="0" borderId="0" xfId="0" applyFont="1" applyAlignment="1">
      <alignment vertical="center"/>
    </xf>
    <xf numFmtId="0" fontId="10" fillId="0" borderId="0" xfId="0" applyFont="1" applyProtection="1">
      <protection hidden="1"/>
    </xf>
    <xf numFmtId="49" fontId="5" fillId="8" borderId="1" xfId="20" applyNumberFormat="1" applyFont="1" applyFill="1" applyBorder="1" applyAlignment="1" applyProtection="1">
      <alignment horizontal="left" vertical="top" wrapText="1"/>
      <protection locked="0"/>
    </xf>
    <xf numFmtId="49" fontId="5" fillId="8" borderId="12" xfId="20" applyNumberFormat="1" applyFont="1" applyFill="1" applyBorder="1" applyAlignment="1" applyProtection="1">
      <alignment horizontal="left" vertical="top" wrapText="1"/>
      <protection locked="0"/>
    </xf>
    <xf numFmtId="0" fontId="8" fillId="0" borderId="13" xfId="0" applyFont="1" applyBorder="1" applyProtection="1">
      <protection hidden="1"/>
    </xf>
    <xf numFmtId="49" fontId="5" fillId="8" borderId="14" xfId="20" applyNumberFormat="1" applyFont="1" applyFill="1" applyBorder="1" applyAlignment="1" applyProtection="1">
      <alignment horizontal="left" vertical="top" wrapText="1"/>
      <protection locked="0"/>
    </xf>
    <xf numFmtId="49" fontId="5" fillId="8" borderId="15" xfId="20" applyNumberFormat="1" applyFont="1" applyFill="1" applyBorder="1" applyAlignment="1" applyProtection="1">
      <alignment horizontal="left" vertical="top" wrapText="1"/>
      <protection locked="0"/>
    </xf>
    <xf numFmtId="49" fontId="5" fillId="8" borderId="16" xfId="20" applyNumberFormat="1" applyFont="1" applyFill="1" applyBorder="1" applyAlignment="1" applyProtection="1">
      <alignment horizontal="left" vertical="top" wrapText="1"/>
      <protection locked="0"/>
    </xf>
    <xf numFmtId="49" fontId="6" fillId="8" borderId="1" xfId="20" applyNumberFormat="1" applyFont="1" applyFill="1" applyBorder="1" applyAlignment="1" applyProtection="1">
      <alignment horizontal="left" vertical="top" wrapText="1"/>
      <protection locked="0"/>
    </xf>
    <xf numFmtId="49" fontId="6" fillId="8" borderId="12" xfId="20" applyNumberFormat="1" applyFont="1" applyFill="1" applyBorder="1" applyAlignment="1" applyProtection="1">
      <alignment horizontal="left" vertical="top" wrapText="1"/>
      <protection locked="0"/>
    </xf>
    <xf numFmtId="49" fontId="6" fillId="8" borderId="14" xfId="20" applyNumberFormat="1" applyFont="1" applyFill="1" applyBorder="1" applyAlignment="1" applyProtection="1">
      <alignment horizontal="left" vertical="top" wrapText="1"/>
      <protection locked="0"/>
    </xf>
    <xf numFmtId="49" fontId="6" fillId="8" borderId="15" xfId="20" applyNumberFormat="1" applyFont="1" applyFill="1" applyBorder="1" applyAlignment="1" applyProtection="1">
      <alignment horizontal="left" vertical="top" wrapText="1"/>
      <protection locked="0"/>
    </xf>
    <xf numFmtId="49" fontId="6" fillId="8" borderId="16" xfId="20" applyNumberFormat="1" applyFont="1" applyFill="1" applyBorder="1" applyAlignment="1" applyProtection="1">
      <alignment horizontal="left" vertical="top" wrapText="1"/>
      <protection locked="0"/>
    </xf>
    <xf numFmtId="49" fontId="8" fillId="8" borderId="1" xfId="0" applyNumberFormat="1" applyFont="1" applyFill="1" applyBorder="1" applyAlignment="1" applyProtection="1">
      <alignment horizontal="left" vertical="top" wrapText="1"/>
      <protection locked="0"/>
    </xf>
    <xf numFmtId="49" fontId="8" fillId="8" borderId="12" xfId="0" applyNumberFormat="1" applyFont="1" applyFill="1" applyBorder="1" applyAlignment="1" applyProtection="1">
      <alignment horizontal="left" vertical="top" wrapText="1"/>
      <protection locked="0"/>
    </xf>
    <xf numFmtId="49" fontId="8" fillId="8" borderId="14" xfId="0" applyNumberFormat="1" applyFont="1" applyFill="1" applyBorder="1" applyAlignment="1" applyProtection="1">
      <alignment horizontal="left" vertical="top" wrapText="1"/>
      <protection locked="0"/>
    </xf>
    <xf numFmtId="49" fontId="8" fillId="8" borderId="15" xfId="0" applyNumberFormat="1" applyFont="1" applyFill="1" applyBorder="1" applyAlignment="1" applyProtection="1">
      <alignment horizontal="left" vertical="top" wrapText="1"/>
      <protection locked="0"/>
    </xf>
    <xf numFmtId="49" fontId="8" fillId="8" borderId="16" xfId="0" applyNumberFormat="1" applyFont="1" applyFill="1" applyBorder="1" applyAlignment="1" applyProtection="1">
      <alignment horizontal="left" vertical="top" wrapText="1"/>
      <protection locked="0"/>
    </xf>
    <xf numFmtId="49" fontId="9" fillId="8" borderId="1" xfId="20" applyNumberFormat="1" applyFont="1" applyFill="1" applyBorder="1" applyAlignment="1" applyProtection="1">
      <alignment horizontal="left" vertical="top" wrapText="1"/>
      <protection locked="0"/>
    </xf>
    <xf numFmtId="49" fontId="9" fillId="8" borderId="12" xfId="20" applyNumberFormat="1" applyFont="1" applyFill="1" applyBorder="1" applyAlignment="1" applyProtection="1">
      <alignment horizontal="left" vertical="top" wrapText="1"/>
      <protection locked="0"/>
    </xf>
    <xf numFmtId="49" fontId="9" fillId="8" borderId="14" xfId="20" applyNumberFormat="1" applyFont="1" applyFill="1" applyBorder="1" applyAlignment="1" applyProtection="1">
      <alignment horizontal="left" vertical="top" wrapText="1"/>
      <protection locked="0"/>
    </xf>
    <xf numFmtId="49" fontId="9" fillId="8" borderId="15" xfId="20" applyNumberFormat="1" applyFont="1" applyFill="1" applyBorder="1" applyAlignment="1" applyProtection="1">
      <alignment horizontal="left" vertical="top" wrapText="1"/>
      <protection locked="0"/>
    </xf>
    <xf numFmtId="49" fontId="9" fillId="8" borderId="16" xfId="20" applyNumberFormat="1" applyFont="1" applyFill="1" applyBorder="1" applyAlignment="1" applyProtection="1">
      <alignment horizontal="left" vertical="top" wrapText="1"/>
      <protection locked="0"/>
    </xf>
    <xf numFmtId="49" fontId="5" fillId="8" borderId="7" xfId="20" applyNumberFormat="1" applyFont="1" applyFill="1" applyBorder="1" applyAlignment="1" applyProtection="1">
      <alignment horizontal="left" vertical="top" wrapText="1"/>
      <protection locked="0"/>
    </xf>
    <xf numFmtId="49" fontId="5" fillId="8" borderId="17" xfId="20" applyNumberFormat="1" applyFont="1" applyFill="1" applyBorder="1" applyAlignment="1" applyProtection="1">
      <alignment horizontal="left" vertical="top" wrapText="1"/>
      <protection locked="0"/>
    </xf>
    <xf numFmtId="49" fontId="5" fillId="8" borderId="18" xfId="20" applyNumberFormat="1" applyFont="1" applyFill="1" applyBorder="1" applyAlignment="1" applyProtection="1">
      <alignment horizontal="left" vertical="top" wrapText="1"/>
      <protection locked="0"/>
    </xf>
    <xf numFmtId="49" fontId="5" fillId="8" borderId="19" xfId="20" applyNumberFormat="1" applyFont="1" applyFill="1" applyBorder="1" applyAlignment="1" applyProtection="1">
      <alignment horizontal="left" vertical="top" wrapText="1"/>
      <protection locked="0"/>
    </xf>
    <xf numFmtId="49" fontId="8" fillId="8" borderId="1" xfId="0" applyNumberFormat="1" applyFont="1" applyFill="1" applyBorder="1" applyAlignment="1" applyProtection="1">
      <alignment vertical="top" wrapText="1"/>
      <protection locked="0"/>
    </xf>
    <xf numFmtId="49" fontId="8" fillId="8" borderId="12" xfId="0" applyNumberFormat="1" applyFont="1" applyFill="1" applyBorder="1" applyAlignment="1" applyProtection="1">
      <alignment vertical="top" wrapText="1"/>
      <protection locked="0"/>
    </xf>
    <xf numFmtId="49" fontId="8" fillId="8" borderId="14" xfId="0" applyNumberFormat="1" applyFont="1" applyFill="1" applyBorder="1" applyAlignment="1" applyProtection="1">
      <alignment vertical="top" wrapText="1"/>
      <protection locked="0"/>
    </xf>
    <xf numFmtId="49" fontId="8" fillId="8" borderId="15" xfId="0" applyNumberFormat="1" applyFont="1" applyFill="1" applyBorder="1" applyAlignment="1" applyProtection="1">
      <alignment vertical="top" wrapText="1"/>
      <protection locked="0"/>
    </xf>
    <xf numFmtId="49" fontId="8" fillId="8" borderId="16" xfId="0" applyNumberFormat="1" applyFont="1" applyFill="1" applyBorder="1" applyAlignment="1" applyProtection="1">
      <alignment vertical="top" wrapText="1"/>
      <protection locked="0"/>
    </xf>
    <xf numFmtId="0" fontId="2" fillId="8" borderId="0" xfId="0" applyFont="1" applyFill="1" applyProtection="1">
      <protection hidden="1" locked="0"/>
    </xf>
    <xf numFmtId="49" fontId="2" fillId="8" borderId="1" xfId="0" applyNumberFormat="1" applyFont="1" applyFill="1" applyBorder="1" applyAlignment="1" applyProtection="1">
      <alignment horizontal="left"/>
      <protection locked="0"/>
    </xf>
    <xf numFmtId="49" fontId="2" fillId="8" borderId="12" xfId="0" applyNumberFormat="1" applyFont="1" applyFill="1" applyBorder="1" applyAlignment="1" applyProtection="1">
      <alignment horizontal="left"/>
      <protection locked="0"/>
    </xf>
    <xf numFmtId="49" fontId="2" fillId="8" borderId="14" xfId="0" applyNumberFormat="1" applyFont="1" applyFill="1" applyBorder="1" applyAlignment="1" applyProtection="1">
      <alignment horizontal="left"/>
      <protection locked="0"/>
    </xf>
    <xf numFmtId="49" fontId="2" fillId="8" borderId="15" xfId="0" applyNumberFormat="1" applyFont="1" applyFill="1" applyBorder="1" applyAlignment="1" applyProtection="1">
      <alignment horizontal="left"/>
      <protection locked="0"/>
    </xf>
    <xf numFmtId="49" fontId="2" fillId="8" borderId="16" xfId="0" applyNumberFormat="1" applyFont="1" applyFill="1" applyBorder="1" applyAlignment="1" applyProtection="1">
      <alignment horizontal="left"/>
      <protection locked="0"/>
    </xf>
    <xf numFmtId="49" fontId="6" fillId="9" borderId="1" xfId="20" applyNumberFormat="1" applyFont="1" applyFill="1" applyBorder="1" applyAlignment="1" applyProtection="1">
      <alignment horizontal="right"/>
      <protection hidden="1"/>
    </xf>
    <xf numFmtId="49" fontId="2" fillId="9" borderId="1" xfId="0" applyNumberFormat="1" applyFont="1" applyFill="1" applyBorder="1" applyAlignment="1" applyProtection="1">
      <alignment horizontal="left"/>
      <protection/>
    </xf>
    <xf numFmtId="49" fontId="2" fillId="9" borderId="12" xfId="0" applyNumberFormat="1" applyFont="1" applyFill="1" applyBorder="1" applyAlignment="1" applyProtection="1">
      <alignment horizontal="left"/>
      <protection/>
    </xf>
    <xf numFmtId="49" fontId="2" fillId="9" borderId="14" xfId="0" applyNumberFormat="1" applyFont="1" applyFill="1" applyBorder="1" applyAlignment="1" applyProtection="1">
      <alignment horizontal="left"/>
      <protection/>
    </xf>
    <xf numFmtId="49" fontId="2" fillId="9" borderId="15" xfId="0" applyNumberFormat="1" applyFont="1" applyFill="1" applyBorder="1" applyAlignment="1" applyProtection="1">
      <alignment horizontal="left"/>
      <protection/>
    </xf>
    <xf numFmtId="49" fontId="2" fillId="9" borderId="16" xfId="0" applyNumberFormat="1" applyFont="1" applyFill="1" applyBorder="1" applyAlignment="1" applyProtection="1">
      <alignment horizontal="left"/>
      <protection/>
    </xf>
    <xf numFmtId="49" fontId="2" fillId="9" borderId="7" xfId="0" applyNumberFormat="1" applyFont="1" applyFill="1" applyBorder="1" applyAlignment="1" applyProtection="1">
      <alignment horizontal="left"/>
      <protection hidden="1"/>
    </xf>
    <xf numFmtId="49" fontId="2" fillId="9" borderId="17" xfId="0" applyNumberFormat="1" applyFont="1" applyFill="1" applyBorder="1" applyAlignment="1" applyProtection="1">
      <alignment horizontal="left"/>
      <protection hidden="1"/>
    </xf>
    <xf numFmtId="49" fontId="2" fillId="9" borderId="18" xfId="0" applyNumberFormat="1" applyFont="1" applyFill="1" applyBorder="1" applyAlignment="1" applyProtection="1">
      <alignment horizontal="left"/>
      <protection hidden="1"/>
    </xf>
    <xf numFmtId="49" fontId="2" fillId="9" borderId="19" xfId="0" applyNumberFormat="1" applyFont="1" applyFill="1" applyBorder="1" applyAlignment="1" applyProtection="1">
      <alignment horizontal="left"/>
      <protection hidden="1"/>
    </xf>
    <xf numFmtId="49" fontId="2" fillId="9" borderId="16" xfId="0" applyNumberFormat="1" applyFont="1" applyFill="1" applyBorder="1" applyAlignment="1" applyProtection="1">
      <alignment horizontal="left"/>
      <protection hidden="1"/>
    </xf>
    <xf numFmtId="0" fontId="2" fillId="9" borderId="0" xfId="0" applyFont="1" applyFill="1" applyProtection="1">
      <protection hidden="1"/>
    </xf>
    <xf numFmtId="49" fontId="6" fillId="9" borderId="1" xfId="20" applyNumberFormat="1" applyFont="1" applyFill="1" applyBorder="1" applyAlignment="1" applyProtection="1">
      <alignment horizontal="right" vertical="center"/>
      <protection hidden="1"/>
    </xf>
    <xf numFmtId="49" fontId="6" fillId="8" borderId="1" xfId="20" applyNumberFormat="1" applyFont="1" applyFill="1" applyBorder="1" applyAlignment="1" applyProtection="1">
      <alignment horizontal="left" vertical="center"/>
      <protection locked="0"/>
    </xf>
    <xf numFmtId="49" fontId="6" fillId="8" borderId="12" xfId="20" applyNumberFormat="1" applyFont="1" applyFill="1" applyBorder="1" applyAlignment="1" applyProtection="1">
      <alignment horizontal="left" vertical="center"/>
      <protection locked="0"/>
    </xf>
    <xf numFmtId="0" fontId="7" fillId="7" borderId="20" xfId="0" applyFont="1" applyFill="1" applyBorder="1" applyAlignment="1" applyProtection="1">
      <alignment horizontal="center"/>
      <protection hidden="1"/>
    </xf>
    <xf numFmtId="49" fontId="6" fillId="8" borderId="14" xfId="20" applyNumberFormat="1" applyFont="1" applyFill="1" applyBorder="1" applyAlignment="1" applyProtection="1">
      <alignment horizontal="left" vertical="center"/>
      <protection locked="0"/>
    </xf>
    <xf numFmtId="49" fontId="6" fillId="8" borderId="15" xfId="20" applyNumberFormat="1" applyFont="1" applyFill="1" applyBorder="1" applyAlignment="1" applyProtection="1">
      <alignment horizontal="left" vertical="center"/>
      <protection locked="0"/>
    </xf>
    <xf numFmtId="49" fontId="6" fillId="8" borderId="16" xfId="20" applyNumberFormat="1" applyFont="1" applyFill="1" applyBorder="1" applyAlignment="1" applyProtection="1">
      <alignment horizontal="left" vertical="center"/>
      <protection locked="0"/>
    </xf>
    <xf numFmtId="177" fontId="2" fillId="10" borderId="21" xfId="0" applyNumberFormat="1" applyFont="1" applyFill="1" applyBorder="1" applyProtection="1">
      <protection hidden="1"/>
    </xf>
    <xf numFmtId="0" fontId="2" fillId="7" borderId="20" xfId="0" applyFill="1" applyBorder="1" applyAlignment="1" applyProtection="1">
      <alignment horizontal="center" vertical="center" wrapText="1"/>
      <protection hidden="1"/>
    </xf>
    <xf numFmtId="49" fontId="5" fillId="0" borderId="20" xfId="20" applyNumberFormat="1" applyFont="1" applyFill="1" applyBorder="1" applyAlignment="1" applyProtection="1">
      <alignment horizontal="left" vertical="top" wrapText="1"/>
      <protection locked="0"/>
    </xf>
    <xf numFmtId="0" fontId="2" fillId="7" borderId="20" xfId="0" applyFill="1" applyBorder="1" applyAlignment="1" applyProtection="1">
      <alignment horizontal="center" vertical="center"/>
      <protection hidden="1"/>
    </xf>
    <xf numFmtId="49" fontId="5" fillId="8" borderId="20" xfId="20" applyNumberFormat="1" applyFont="1" applyFill="1" applyBorder="1" applyAlignment="1" applyProtection="1">
      <alignment horizontal="left" vertical="top" wrapText="1"/>
      <protection locked="0"/>
    </xf>
    <xf numFmtId="49" fontId="6" fillId="8" borderId="15" xfId="20" applyNumberFormat="1" applyFont="1" applyFill="1" applyBorder="1" applyAlignment="1" applyProtection="1">
      <alignment horizontal="left" vertical="center"/>
      <protection/>
    </xf>
    <xf numFmtId="49" fontId="6" fillId="8" borderId="14" xfId="20" applyNumberFormat="1" applyFont="1" applyFill="1" applyBorder="1" applyAlignment="1" applyProtection="1">
      <alignment horizontal="left" vertical="center"/>
      <protection/>
    </xf>
    <xf numFmtId="49" fontId="6" fillId="8" borderId="16" xfId="20" applyNumberFormat="1" applyFont="1" applyFill="1" applyBorder="1" applyAlignment="1" applyProtection="1">
      <alignment horizontal="left" vertical="center"/>
      <protection/>
    </xf>
    <xf numFmtId="49" fontId="5" fillId="8" borderId="15" xfId="20" applyNumberFormat="1" applyFont="1" applyFill="1" applyBorder="1" applyAlignment="1" applyProtection="1">
      <alignment horizontal="left" vertical="top" wrapText="1"/>
      <protection/>
    </xf>
    <xf numFmtId="49" fontId="5" fillId="8" borderId="14" xfId="20" applyNumberFormat="1" applyFont="1" applyFill="1" applyBorder="1" applyAlignment="1" applyProtection="1">
      <alignment horizontal="left" vertical="top" wrapText="1"/>
      <protection/>
    </xf>
    <xf numFmtId="49" fontId="5" fillId="8" borderId="16" xfId="20" applyNumberFormat="1" applyFont="1" applyFill="1" applyBorder="1" applyAlignment="1" applyProtection="1">
      <alignment horizontal="left" vertical="top" wrapText="1"/>
      <protection/>
    </xf>
    <xf numFmtId="49" fontId="4" fillId="2" borderId="1" xfId="0" applyNumberFormat="1" applyFont="1" applyFill="1" applyBorder="1" applyAlignment="1" applyProtection="1">
      <alignment horizontal="left" vertical="top"/>
      <protection/>
    </xf>
    <xf numFmtId="49" fontId="1" fillId="2" borderId="6" xfId="0" applyNumberFormat="1" applyFont="1" applyFill="1" applyBorder="1" applyAlignment="1" applyProtection="1">
      <alignment horizontal="right" vertical="top" wrapText="1"/>
      <protection/>
    </xf>
    <xf numFmtId="49" fontId="3" fillId="2" borderId="1" xfId="0" applyNumberFormat="1" applyFont="1" applyFill="1" applyBorder="1" applyAlignment="1" applyProtection="1">
      <alignment vertical="top" wrapText="1"/>
      <protection/>
    </xf>
    <xf numFmtId="49" fontId="2" fillId="0" borderId="1" xfId="0" applyNumberFormat="1" applyBorder="1" applyProtection="1">
      <protection/>
    </xf>
    <xf numFmtId="49" fontId="1" fillId="2" borderId="9" xfId="0" applyNumberFormat="1" applyFont="1" applyFill="1" applyBorder="1" applyAlignment="1" applyProtection="1">
      <alignment horizontal="right" vertical="top" wrapText="1"/>
      <protection/>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Output" xfId="2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sharedStrings" Target="sharedStrings.xml" /><Relationship Id="rId6" Type="http://schemas.openxmlformats.org/officeDocument/2006/relationships/calcChain" Target="calcChain.xml" /></Relationships>
</file>

<file path=xl/ctrProps/ctrProp1.xml><?xml version="1.0" encoding="utf-8"?>
<formControlPr xmlns="http://schemas.microsoft.com/office/spreadsheetml/2009/9/main" objectType="Drop" dropLines="8" dropStyle="Combo" dx="15" noThreeD="1" sel="1" fmlaLink="$AA$96" fmlaRange="$BT$2:$BT$3"/>
</file>

<file path=xl/ctrProps/ctrProp2.xml><?xml version="1.0" encoding="utf-8"?>
<formControlPr xmlns="http://schemas.microsoft.com/office/spreadsheetml/2009/9/main" objectType="Drop" dropLines="8" dropStyle="Combo" dx="15" noThreeD="1" sel="2" fmlaLink="$AA$54" fmlaRange="$BU$2:$BU$3"/>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mc:AlternateContent xmlns:mc="http://schemas.openxmlformats.org/markup-compatibility/2006">
    <mc:Choice xmlns:a14="http://schemas.microsoft.com/office/drawing/2010/main" Requires="a14">
      <xdr:twoCellAnchor editAs="oneCell">
        <xdr:from>
          <xdr:col>9</xdr:col>
          <xdr:colOff>6350</xdr:colOff>
          <xdr:row>95</xdr:row>
          <xdr:rowOff>0</xdr:rowOff>
        </xdr:from>
        <xdr:to>
          <xdr:col>12</xdr:col>
          <xdr:colOff>6350</xdr:colOff>
          <xdr:row>96</xdr:row>
          <xdr:rowOff>6350</xdr:rowOff>
        </xdr:to>
        <xdr:sp>
          <xdr:nvSpPr>
            <xdr:cNvPr id="2049" name="Drop Down 1" hidden="1">
              <a:extLst>
                <a:ext uri="{63B3BB69-23CF-44E3-9099-C40C66FF867C}">
                  <a14:compatExt spid="_x0000_s2049"/>
                </a:ext>
                <a:ext uri="{FF2B5EF4-FFF2-40B4-BE49-F238E27FC236}">
                  <a16:creationId xmlns:a16="http://schemas.microsoft.com/office/drawing/2014/main" id="{a799bbe3-33db-4b7a-932c-4d2131df3afc}"/>
                </a:ext>
              </a:extLst>
            </xdr:cNvPr>
            <xdr:cNvSpPr>
              <a:spLocks noRot="1" noTextEdit="1"/>
            </xdr:cNvSpPr>
          </xdr:nvSpPr>
          <xdr:spPr>
            <a:xfrm>
              <a:off x="6267450" y="14192250"/>
              <a:ext cx="2085975" cy="190500"/>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6350</xdr:colOff>
          <xdr:row>53</xdr:row>
          <xdr:rowOff>0</xdr:rowOff>
        </xdr:from>
        <xdr:to>
          <xdr:col>12</xdr:col>
          <xdr:colOff>6350</xdr:colOff>
          <xdr:row>54</xdr:row>
          <xdr:rowOff>6350</xdr:rowOff>
        </xdr:to>
        <xdr:sp>
          <xdr:nvSpPr>
            <xdr:cNvPr id="2050" name="Drop Down 2" hidden="1">
              <a:extLst>
                <a:ext uri="{63B3BB69-23CF-44E3-9099-C40C66FF867C}">
                  <a14:compatExt spid="_x0000_s2050"/>
                </a:ext>
                <a:ext uri="{FF2B5EF4-FFF2-40B4-BE49-F238E27FC236}">
                  <a16:creationId xmlns:a16="http://schemas.microsoft.com/office/drawing/2014/main" id="{99f883d4-f7fd-423f-9c0d-45b5c3b34ef3}"/>
                </a:ext>
              </a:extLst>
            </xdr:cNvPr>
            <xdr:cNvSpPr>
              <a:spLocks noRot="1" noTextEdit="1"/>
            </xdr:cNvSpPr>
          </xdr:nvSpPr>
          <xdr:spPr>
            <a:xfrm>
              <a:off x="6267450" y="11296650"/>
              <a:ext cx="2085975" cy="190500"/>
            </a:xfrm>
            <a:prstGeom prst="rect"/>
            <a:ln>
              <a:noFill/>
            </a:ln>
          </xdr:spPr>
          <xdr:txBody>
            <a:bodyPr lIns="91440" tIns="45720" rIns="91440" bIns="45720"/>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Relationships xmlns="http://schemas.openxmlformats.org/package/2006/relationships"><Relationship Id="rId1" Type="http://schemas.openxmlformats.org/officeDocument/2006/relationships/ctrlProp" Target="../ctrProps/ctrProp1.xml" /><Relationship Id="rId2" Type="http://schemas.openxmlformats.org/officeDocument/2006/relationships/ctrlProp" Target="../ctrProps/ctrProp2.xml" /><Relationship Id="rId3" Type="http://schemas.openxmlformats.org/officeDocument/2006/relationships/drawing" Target="../drawings/drawing1.xml" /><Relationship Id="rId4" Type="http://schemas.openxmlformats.org/officeDocument/2006/relationships/vmlDrawing" Target="../drawings/vmlDrawing1.vml" /><Relationship Id="rId5"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ec5d6eb-9673-44a2-aa43-1f4479009f9b}">
  <sheetPr>
    <tabColor theme="6" tint="0.5999900102615356"/>
  </sheetPr>
  <dimension ref="A1:R61"/>
  <sheetViews>
    <sheetView windowProtection="1" showGridLines="0" workbookViewId="0" topLeftCell="B1">
      <selection pane="topLeft" activeCell="B1" sqref="B1:C1"/>
    </sheetView>
  </sheetViews>
  <sheetFormatPr defaultColWidth="0" defaultRowHeight="14.4" customHeight="1" zeroHeight="1"/>
  <cols>
    <col min="1" max="1" width="14.714285714285714" style="18" hidden="1" customWidth="1"/>
    <col min="2" max="2" width="9.142857142857142" style="19" customWidth="1"/>
    <col min="3" max="3" width="202.71428571428572" style="20" customWidth="1"/>
    <col min="4" max="16384" width="9.142857142857142" style="19" hidden="1"/>
  </cols>
  <sheetData>
    <row r="1" spans="1:18" ht="18">
      <c r="A1" s="2" t="s">
        <v>0</v>
      </c>
      <c r="B1" s="3" t="s">
        <v>1</v>
      </c>
      <c r="C1" s="4"/>
      <c r="D1" s="5"/>
      <c r="E1" s="5"/>
      <c r="F1" s="5"/>
      <c r="G1" s="5"/>
      <c r="H1" s="5"/>
      <c r="I1" s="5"/>
      <c r="J1" s="5"/>
      <c r="K1" s="5"/>
      <c r="L1" s="5"/>
      <c r="M1" s="5"/>
      <c r="N1" s="5"/>
      <c r="O1" s="5"/>
      <c r="P1" s="5"/>
      <c r="Q1" s="5"/>
      <c r="R1" s="5"/>
    </row>
    <row r="2" spans="1:3" ht="31.2">
      <c r="A2" s="2" t="s">
        <v>0</v>
      </c>
      <c r="B2" s="6">
        <v>1</v>
      </c>
      <c r="C2" s="7" t="s">
        <v>2</v>
      </c>
    </row>
    <row r="3" spans="1:3" ht="15.6">
      <c r="A3" s="2" t="s">
        <v>0</v>
      </c>
      <c r="B3" s="6">
        <v>2</v>
      </c>
      <c r="C3" s="7" t="s">
        <v>3</v>
      </c>
    </row>
    <row r="4" spans="1:3" ht="31.2">
      <c r="A4" s="2" t="s">
        <v>0</v>
      </c>
      <c r="B4" s="6">
        <v>3</v>
      </c>
      <c r="C4" s="7" t="s">
        <v>4</v>
      </c>
    </row>
    <row r="5" spans="1:3" ht="15.6">
      <c r="A5" s="2" t="s">
        <v>0</v>
      </c>
      <c r="B5" s="8">
        <v>4</v>
      </c>
      <c r="C5" s="7" t="s">
        <v>5</v>
      </c>
    </row>
    <row r="6" spans="1:3" ht="15.6">
      <c r="A6" s="2" t="s">
        <v>0</v>
      </c>
      <c r="B6" s="9"/>
      <c r="C6" s="7" t="s">
        <v>6</v>
      </c>
    </row>
    <row r="7" spans="1:3" ht="15.6">
      <c r="A7" s="2" t="s">
        <v>0</v>
      </c>
      <c r="B7" s="9"/>
      <c r="C7" s="7" t="s">
        <v>7</v>
      </c>
    </row>
    <row r="8" spans="1:3" ht="15.6">
      <c r="A8" s="2" t="s">
        <v>0</v>
      </c>
      <c r="B8" s="10"/>
      <c r="C8" s="7" t="s">
        <v>8</v>
      </c>
    </row>
    <row r="9" spans="1:3" ht="15.6">
      <c r="A9" s="2" t="s">
        <v>0</v>
      </c>
      <c r="B9" s="6">
        <v>5</v>
      </c>
      <c r="C9" s="11" t="s">
        <v>9</v>
      </c>
    </row>
    <row r="10" spans="1:3" ht="15.6">
      <c r="A10" s="2" t="s">
        <v>0</v>
      </c>
      <c r="B10" s="6">
        <v>6</v>
      </c>
      <c r="C10" s="7" t="s">
        <v>10</v>
      </c>
    </row>
    <row r="11" spans="1:3" ht="15.6">
      <c r="A11" s="2" t="s">
        <v>0</v>
      </c>
      <c r="B11" s="6">
        <v>7</v>
      </c>
      <c r="C11" s="7" t="s">
        <v>11</v>
      </c>
    </row>
    <row r="12" spans="1:3" ht="15.6">
      <c r="A12" s="2" t="s">
        <v>0</v>
      </c>
      <c r="B12" s="6">
        <v>8</v>
      </c>
      <c r="C12" s="7" t="s">
        <v>12</v>
      </c>
    </row>
    <row r="13" spans="1:3" ht="15.6">
      <c r="A13" s="2" t="s">
        <v>0</v>
      </c>
      <c r="B13" s="8">
        <v>9</v>
      </c>
      <c r="C13" s="7" t="s">
        <v>13</v>
      </c>
    </row>
    <row r="14" spans="1:3" ht="15.6">
      <c r="A14" s="2" t="s">
        <v>0</v>
      </c>
      <c r="B14" s="9"/>
      <c r="C14" s="7" t="s">
        <v>14</v>
      </c>
    </row>
    <row r="15" spans="1:3" ht="15.6">
      <c r="A15" s="2" t="s">
        <v>0</v>
      </c>
      <c r="B15" s="9"/>
      <c r="C15" s="7" t="s">
        <v>15</v>
      </c>
    </row>
    <row r="16" spans="1:3" ht="31.8" customHeight="1">
      <c r="A16" s="2" t="s">
        <v>0</v>
      </c>
      <c r="B16" s="10"/>
      <c r="C16" s="7" t="s">
        <v>16</v>
      </c>
    </row>
    <row r="17" spans="1:3" ht="15.6">
      <c r="A17" s="2" t="s">
        <v>0</v>
      </c>
      <c r="B17" s="8">
        <v>10</v>
      </c>
      <c r="C17" s="7" t="s">
        <v>17</v>
      </c>
    </row>
    <row r="18" spans="1:3" ht="78">
      <c r="A18" s="2" t="s">
        <v>0</v>
      </c>
      <c r="B18" s="9"/>
      <c r="C18" s="7" t="s">
        <v>18</v>
      </c>
    </row>
    <row r="19" spans="1:3" ht="31.2">
      <c r="A19" s="2" t="s">
        <v>0</v>
      </c>
      <c r="B19" s="10"/>
      <c r="C19" s="7" t="s">
        <v>19</v>
      </c>
    </row>
    <row r="20" spans="1:3" ht="16.8" customHeight="1">
      <c r="A20" s="2" t="s">
        <v>0</v>
      </c>
      <c r="B20" s="8">
        <v>11</v>
      </c>
      <c r="C20" s="7" t="s">
        <v>20</v>
      </c>
    </row>
    <row r="21" spans="1:3" ht="15.6">
      <c r="A21" s="2" t="s">
        <v>0</v>
      </c>
      <c r="B21" s="9"/>
      <c r="C21" s="7" t="s">
        <v>21</v>
      </c>
    </row>
    <row r="22" spans="1:3" ht="15.6">
      <c r="A22" s="2" t="s">
        <v>0</v>
      </c>
      <c r="B22" s="9"/>
      <c r="C22" s="7" t="s">
        <v>22</v>
      </c>
    </row>
    <row r="23" spans="1:3" ht="15.6">
      <c r="A23" s="2" t="s">
        <v>0</v>
      </c>
      <c r="B23" s="10"/>
      <c r="C23" s="7" t="s">
        <v>23</v>
      </c>
    </row>
    <row r="24" spans="1:3" ht="15.6">
      <c r="A24" s="2"/>
      <c r="B24" s="10">
        <v>12</v>
      </c>
      <c r="C24" s="7" t="s">
        <v>24</v>
      </c>
    </row>
    <row r="25" spans="1:3" ht="15.6">
      <c r="A25" s="2"/>
      <c r="B25" s="12" t="s">
        <v>25</v>
      </c>
      <c r="C25" s="13"/>
    </row>
    <row r="26" spans="1:3" s="143" customFormat="1" ht="31.2" hidden="1">
      <c r="A26" s="140" t="s">
        <v>26</v>
      </c>
      <c r="B26" s="141">
        <v>1</v>
      </c>
      <c r="C26" s="142" t="s">
        <v>27</v>
      </c>
    </row>
    <row r="27" spans="1:3" s="143" customFormat="1" ht="31.2" hidden="1">
      <c r="A27" s="140" t="s">
        <v>26</v>
      </c>
      <c r="B27" s="141" t="s">
        <v>28</v>
      </c>
      <c r="C27" s="142" t="s">
        <v>29</v>
      </c>
    </row>
    <row r="28" spans="1:3" s="143" customFormat="1" ht="15.6" hidden="1">
      <c r="A28" s="140" t="s">
        <v>30</v>
      </c>
      <c r="B28" s="141">
        <v>1</v>
      </c>
      <c r="C28" s="142" t="s">
        <v>31</v>
      </c>
    </row>
    <row r="29" spans="1:3" s="143" customFormat="1" ht="31.2" hidden="1">
      <c r="A29" s="140" t="s">
        <v>30</v>
      </c>
      <c r="B29" s="141">
        <v>2</v>
      </c>
      <c r="C29" s="142" t="s">
        <v>32</v>
      </c>
    </row>
    <row r="30" spans="1:3" s="143" customFormat="1" ht="31.2" hidden="1">
      <c r="A30" s="140" t="s">
        <v>30</v>
      </c>
      <c r="B30" s="141">
        <v>3</v>
      </c>
      <c r="C30" s="142" t="s">
        <v>33</v>
      </c>
    </row>
    <row r="31" spans="1:3" s="143" customFormat="1" ht="31.2" hidden="1">
      <c r="A31" s="140" t="s">
        <v>30</v>
      </c>
      <c r="B31" s="141">
        <v>4</v>
      </c>
      <c r="C31" s="142" t="s">
        <v>34</v>
      </c>
    </row>
    <row r="32" spans="1:3" s="143" customFormat="1" ht="31.2" hidden="1">
      <c r="A32" s="140" t="s">
        <v>30</v>
      </c>
      <c r="B32" s="141">
        <v>5</v>
      </c>
      <c r="C32" s="142" t="s">
        <v>35</v>
      </c>
    </row>
    <row r="33" spans="1:3" s="143" customFormat="1" ht="31.2" hidden="1">
      <c r="A33" s="140" t="s">
        <v>30</v>
      </c>
      <c r="B33" s="141" t="s">
        <v>36</v>
      </c>
      <c r="C33" s="142" t="s">
        <v>29</v>
      </c>
    </row>
    <row r="34" spans="1:3" s="143" customFormat="1" ht="46.8" hidden="1">
      <c r="A34" s="140" t="s">
        <v>37</v>
      </c>
      <c r="B34" s="141">
        <v>1</v>
      </c>
      <c r="C34" s="142" t="s">
        <v>38</v>
      </c>
    </row>
    <row r="35" spans="1:3" s="143" customFormat="1" ht="46.8" hidden="1">
      <c r="A35" s="140" t="s">
        <v>37</v>
      </c>
      <c r="B35" s="141">
        <v>2</v>
      </c>
      <c r="C35" s="142" t="s">
        <v>39</v>
      </c>
    </row>
    <row r="36" spans="1:3" s="143" customFormat="1" ht="31.2" hidden="1">
      <c r="A36" s="140" t="s">
        <v>37</v>
      </c>
      <c r="B36" s="141" t="s">
        <v>40</v>
      </c>
      <c r="C36" s="142" t="s">
        <v>29</v>
      </c>
    </row>
    <row r="37" spans="1:3" s="143" customFormat="1" ht="31.2" hidden="1">
      <c r="A37" s="140" t="s">
        <v>41</v>
      </c>
      <c r="B37" s="141">
        <v>1</v>
      </c>
      <c r="C37" s="142" t="s">
        <v>42</v>
      </c>
    </row>
    <row r="38" spans="1:3" s="143" customFormat="1" ht="31.2" hidden="1">
      <c r="A38" s="140" t="s">
        <v>41</v>
      </c>
      <c r="B38" s="141" t="s">
        <v>28</v>
      </c>
      <c r="C38" s="142" t="s">
        <v>29</v>
      </c>
    </row>
    <row r="39" spans="1:3" s="143" customFormat="1" ht="31.2" hidden="1">
      <c r="A39" s="140" t="s">
        <v>43</v>
      </c>
      <c r="B39" s="141" t="s">
        <v>44</v>
      </c>
      <c r="C39" s="142" t="s">
        <v>29</v>
      </c>
    </row>
    <row r="40" spans="1:3" s="143" customFormat="1" ht="31.2" hidden="1">
      <c r="A40" s="140" t="s">
        <v>45</v>
      </c>
      <c r="B40" s="141" t="s">
        <v>44</v>
      </c>
      <c r="C40" s="142" t="s">
        <v>29</v>
      </c>
    </row>
    <row r="41" spans="1:3" ht="31.2">
      <c r="A41" s="2" t="s">
        <v>46</v>
      </c>
      <c r="B41" s="14" t="s">
        <v>44</v>
      </c>
      <c r="C41" s="15" t="s">
        <v>47</v>
      </c>
    </row>
    <row r="42" spans="1:3" s="143" customFormat="1" ht="31.2" hidden="1">
      <c r="A42" s="140" t="s">
        <v>48</v>
      </c>
      <c r="B42" s="141" t="s">
        <v>44</v>
      </c>
      <c r="C42" s="142" t="s">
        <v>47</v>
      </c>
    </row>
    <row r="43" spans="1:3" s="143" customFormat="1" ht="15.6" hidden="1">
      <c r="A43" s="140" t="s">
        <v>49</v>
      </c>
      <c r="B43" s="141" t="s">
        <v>44</v>
      </c>
      <c r="C43" s="142" t="s">
        <v>50</v>
      </c>
    </row>
    <row r="44" spans="1:3" s="143" customFormat="1" ht="31.2" hidden="1">
      <c r="A44" s="140" t="s">
        <v>51</v>
      </c>
      <c r="B44" s="141" t="s">
        <v>44</v>
      </c>
      <c r="C44" s="142" t="s">
        <v>52</v>
      </c>
    </row>
    <row r="45" spans="1:3" s="143" customFormat="1" ht="31.2" hidden="1">
      <c r="A45" s="140" t="s">
        <v>51</v>
      </c>
      <c r="B45" s="141" t="s">
        <v>28</v>
      </c>
      <c r="C45" s="142" t="s">
        <v>53</v>
      </c>
    </row>
    <row r="46" spans="1:3" s="143" customFormat="1" ht="15.6" hidden="1">
      <c r="A46" s="140" t="s">
        <v>51</v>
      </c>
      <c r="B46" s="141" t="s">
        <v>40</v>
      </c>
      <c r="C46" s="142" t="s">
        <v>54</v>
      </c>
    </row>
    <row r="47" spans="1:3" s="143" customFormat="1" ht="31.2" hidden="1">
      <c r="A47" s="140" t="s">
        <v>51</v>
      </c>
      <c r="B47" s="141" t="s">
        <v>55</v>
      </c>
      <c r="C47" s="142" t="s">
        <v>29</v>
      </c>
    </row>
    <row r="48" spans="1:3" s="143" customFormat="1" ht="31.2" hidden="1">
      <c r="A48" s="140" t="s">
        <v>56</v>
      </c>
      <c r="B48" s="141" t="s">
        <v>44</v>
      </c>
      <c r="C48" s="142" t="s">
        <v>57</v>
      </c>
    </row>
    <row r="49" spans="1:3" s="143" customFormat="1" ht="15.6" hidden="1">
      <c r="A49" s="140" t="s">
        <v>56</v>
      </c>
      <c r="B49" s="141" t="s">
        <v>28</v>
      </c>
      <c r="C49" s="142" t="s">
        <v>58</v>
      </c>
    </row>
    <row r="50" spans="1:3" s="143" customFormat="1" ht="15.6" hidden="1">
      <c r="A50" s="140" t="s">
        <v>56</v>
      </c>
      <c r="B50" s="141" t="s">
        <v>40</v>
      </c>
      <c r="C50" s="142" t="s">
        <v>59</v>
      </c>
    </row>
    <row r="51" spans="1:3" s="143" customFormat="1" ht="31.2" hidden="1">
      <c r="A51" s="140" t="s">
        <v>56</v>
      </c>
      <c r="B51" s="141" t="s">
        <v>55</v>
      </c>
      <c r="C51" s="142" t="s">
        <v>29</v>
      </c>
    </row>
    <row r="52" spans="1:3" s="143" customFormat="1" ht="31.2" hidden="1">
      <c r="A52" s="140" t="s">
        <v>60</v>
      </c>
      <c r="B52" s="141">
        <v>1</v>
      </c>
      <c r="C52" s="142" t="s">
        <v>61</v>
      </c>
    </row>
    <row r="53" spans="1:3" s="143" customFormat="1" ht="31.2" hidden="1">
      <c r="A53" s="140" t="s">
        <v>60</v>
      </c>
      <c r="B53" s="141">
        <v>2</v>
      </c>
      <c r="C53" s="142" t="s">
        <v>62</v>
      </c>
    </row>
    <row r="54" spans="1:3" s="143" customFormat="1" ht="46.8" hidden="1">
      <c r="A54" s="140" t="s">
        <v>60</v>
      </c>
      <c r="B54" s="141">
        <v>3</v>
      </c>
      <c r="C54" s="142" t="s">
        <v>63</v>
      </c>
    </row>
    <row r="55" spans="1:3" s="143" customFormat="1" ht="31.2" hidden="1">
      <c r="A55" s="140" t="s">
        <v>60</v>
      </c>
      <c r="B55" s="141">
        <v>4</v>
      </c>
      <c r="C55" s="142" t="s">
        <v>64</v>
      </c>
    </row>
    <row r="56" spans="1:3" s="143" customFormat="1" ht="31.2" hidden="1">
      <c r="A56" s="140" t="s">
        <v>60</v>
      </c>
      <c r="B56" s="141">
        <v>5</v>
      </c>
      <c r="C56" s="142" t="s">
        <v>65</v>
      </c>
    </row>
    <row r="57" spans="1:3" s="143" customFormat="1" ht="31.2" hidden="1">
      <c r="A57" s="140" t="s">
        <v>60</v>
      </c>
      <c r="B57" s="141">
        <v>6</v>
      </c>
      <c r="C57" s="142" t="s">
        <v>66</v>
      </c>
    </row>
    <row r="58" spans="1:3" s="143" customFormat="1" ht="46.8" hidden="1">
      <c r="A58" s="140" t="s">
        <v>60</v>
      </c>
      <c r="B58" s="141">
        <v>7</v>
      </c>
      <c r="C58" s="142" t="s">
        <v>67</v>
      </c>
    </row>
    <row r="59" spans="1:3" s="143" customFormat="1" ht="46.8" hidden="1">
      <c r="A59" s="140" t="s">
        <v>60</v>
      </c>
      <c r="B59" s="141">
        <v>8</v>
      </c>
      <c r="C59" s="142" t="s">
        <v>68</v>
      </c>
    </row>
    <row r="60" spans="1:3" s="143" customFormat="1" ht="15.6" hidden="1">
      <c r="A60" s="140" t="s">
        <v>60</v>
      </c>
      <c r="B60" s="144" t="s">
        <v>69</v>
      </c>
      <c r="C60" s="142" t="s">
        <v>70</v>
      </c>
    </row>
    <row r="61" spans="1:3" ht="15.6">
      <c r="A61" s="17" t="s">
        <v>0</v>
      </c>
      <c r="B61" s="12" t="s">
        <v>71</v>
      </c>
      <c r="C61" s="13"/>
    </row>
  </sheetData>
  <sheetProtection password="BDC7" sheet="1" objects="1" scenarios="1" selectLockedCells="1"/>
  <mergeCells count="7">
    <mergeCell ref="B1:C1"/>
    <mergeCell ref="B61:C61"/>
    <mergeCell ref="B5:B8"/>
    <mergeCell ref="B13:B16"/>
    <mergeCell ref="B17:B19"/>
    <mergeCell ref="B20:B23"/>
    <mergeCell ref="B25:C25"/>
  </mergeCells>
  <pageMargins left="0.7" right="0.7" top="0.75" bottom="0.75" header="0.3" footer="0.3"/>
  <pageSetup fitToHeight="0" fitToWidth="0" orientation="portrait" paperSize="9"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c8af24-dda0-4c37-9212-3ec1d705d58f}">
  <dimension ref="A1:BU127"/>
  <sheetViews>
    <sheetView windowProtection="1" showGridLines="0" workbookViewId="0" topLeftCell="A1"/>
  </sheetViews>
  <sheetFormatPr defaultColWidth="9.264285714285714" defaultRowHeight="14.5" customHeight="1"/>
  <cols>
    <col min="1" max="10" width="10.428571428571429" style="24"/>
    <col min="11" max="11" width="10.428571428571429" style="24" customWidth="1"/>
    <col min="12" max="12" width="10.428571428571429" style="24"/>
    <col min="13" max="13" width="10.428571428571429" style="24" customWidth="1"/>
    <col min="14" max="26" width="10.428571428571429" style="24" hidden="1" customWidth="1"/>
    <col min="27" max="27" width="15.857142857142858" style="24" hidden="1" customWidth="1"/>
    <col min="28" max="28" width="15.285714285714286" style="24" hidden="1" customWidth="1"/>
    <col min="29" max="29" width="16.714285714285715" style="24" hidden="1" customWidth="1"/>
    <col min="30" max="30" width="14.714285714285714" style="24" hidden="1" customWidth="1"/>
    <col min="31" max="31" width="10.428571428571429" style="24" hidden="1" customWidth="1"/>
    <col min="32" max="32" width="17.714285714285715" style="24" hidden="1" customWidth="1"/>
    <col min="33" max="33" width="41" style="24" hidden="1" customWidth="1"/>
    <col min="34" max="34" width="10.428571428571429" style="24" hidden="1" customWidth="1"/>
    <col min="35" max="35" width="22.428571428571427" style="24" hidden="1" customWidth="1"/>
    <col min="36" max="36" width="59.57142857142857" style="24" hidden="1" customWidth="1"/>
    <col min="37" max="37" width="12.428571428571429" style="24" hidden="1" customWidth="1"/>
    <col min="38" max="38" width="12.142857142857142" style="24" hidden="1" customWidth="1"/>
    <col min="39" max="40" width="11.285714285714286" style="24" hidden="1" customWidth="1"/>
    <col min="41" max="41" width="10.428571428571429" style="24" hidden="1" customWidth="1"/>
    <col min="42" max="42" width="17.714285714285715" style="24" hidden="1" customWidth="1"/>
    <col min="43" max="43" width="10.428571428571429" style="24" hidden="1" customWidth="1"/>
    <col min="44" max="44" width="18.428571428571427" style="24" hidden="1" customWidth="1"/>
    <col min="45" max="45" width="53.285714285714285" style="24" hidden="1" customWidth="1"/>
    <col min="46" max="46" width="90.14285714285714" style="24" hidden="1" customWidth="1"/>
    <col min="47" max="47" width="20" style="24" hidden="1" customWidth="1"/>
    <col min="48" max="49" width="16.714285714285715" style="24" hidden="1" customWidth="1"/>
    <col min="50" max="50" width="16.142857142857142" style="24" hidden="1" customWidth="1"/>
    <col min="51" max="52" width="10.428571428571429" style="24" hidden="1" customWidth="1"/>
    <col min="53" max="53" width="59.57142857142857" style="24" hidden="1" customWidth="1"/>
    <col min="54" max="55" width="14.428571428571429" style="24" hidden="1" customWidth="1"/>
    <col min="56" max="56" width="25.857142857142858" style="24" hidden="1" customWidth="1"/>
    <col min="57" max="57" width="29" style="24" hidden="1" customWidth="1"/>
    <col min="58" max="58" width="19" style="24" hidden="1" customWidth="1"/>
    <col min="59" max="59" width="30.142857142857142" style="24" hidden="1" customWidth="1"/>
    <col min="60" max="60" width="24.714285714285715" style="24" hidden="1" customWidth="1"/>
    <col min="61" max="61" width="19.428571428571427" style="24" hidden="1" customWidth="1"/>
    <col min="62" max="62" width="21.142857142857142" style="24" hidden="1" customWidth="1"/>
    <col min="63" max="63" width="18.285714285714285" style="24" hidden="1" customWidth="1"/>
    <col min="64" max="65" width="12.571428571428571" style="24" hidden="1" customWidth="1"/>
    <col min="66" max="66" width="10.428571428571429" style="24" hidden="1" customWidth="1"/>
    <col min="67" max="67" width="12.428571428571429" style="24" hidden="1" customWidth="1"/>
    <col min="68" max="68" width="43.57142857142857" style="24" hidden="1" customWidth="1"/>
    <col min="69" max="69" width="14.285714285714286" style="24" hidden="1" customWidth="1"/>
    <col min="70" max="70" width="24.428571428571427" style="24" hidden="1" customWidth="1"/>
    <col min="71" max="71" width="23.428571428571427" style="24" hidden="1" customWidth="1"/>
    <col min="72" max="81" width="10.428571428571429" style="24" hidden="1" customWidth="1"/>
    <col min="82" max="16384" width="10.428571428571429" style="24"/>
  </cols>
  <sheetData>
    <row r="1" spans="1:73" ht="14.5" customHeight="1">
      <c r="A1" s="24"/>
      <c r="AA1" s="21" t="s">
        <v>72</v>
      </c>
      <c r="AB1" s="21" t="s">
        <v>73</v>
      </c>
      <c r="AC1" s="21" t="s">
        <v>74</v>
      </c>
      <c r="AD1" s="22" t="s">
        <v>75</v>
      </c>
      <c r="AE1" s="22"/>
      <c r="AF1" s="22" t="s">
        <v>76</v>
      </c>
      <c r="AG1" s="22" t="s">
        <v>77</v>
      </c>
      <c r="AI1" s="21" t="s">
        <v>78</v>
      </c>
      <c r="AJ1" s="21" t="s">
        <v>79</v>
      </c>
      <c r="AK1" s="21" t="s">
        <v>80</v>
      </c>
      <c r="AL1" s="21" t="s">
        <v>81</v>
      </c>
      <c r="AM1" s="21" t="s">
        <v>82</v>
      </c>
      <c r="AN1" s="21" t="s">
        <v>83</v>
      </c>
      <c r="AO1" s="21" t="s">
        <v>84</v>
      </c>
      <c r="AP1" s="21" t="s">
        <v>85</v>
      </c>
      <c r="AR1" s="21" t="s">
        <v>78</v>
      </c>
      <c r="AS1" s="21" t="s">
        <v>86</v>
      </c>
      <c r="AT1" s="21" t="s">
        <v>79</v>
      </c>
      <c r="AU1" s="21" t="s">
        <v>87</v>
      </c>
      <c r="AV1" s="21" t="s">
        <v>88</v>
      </c>
      <c r="AW1" s="21" t="s">
        <v>89</v>
      </c>
      <c r="AX1" s="21" t="s">
        <v>90</v>
      </c>
      <c r="AY1" s="21" t="s">
        <v>91</v>
      </c>
      <c r="BA1" s="21" t="s">
        <v>92</v>
      </c>
      <c r="BB1" s="21" t="s">
        <v>93</v>
      </c>
      <c r="BC1" s="21" t="s">
        <v>89</v>
      </c>
      <c r="BD1" s="22" t="s">
        <v>94</v>
      </c>
      <c r="BE1" s="22" t="s">
        <v>95</v>
      </c>
      <c r="BF1" s="21" t="s">
        <v>91</v>
      </c>
      <c r="BG1" s="21" t="s">
        <v>96</v>
      </c>
      <c r="BH1" s="21" t="s">
        <v>97</v>
      </c>
      <c r="BI1" s="21" t="s">
        <v>98</v>
      </c>
      <c r="BJ1" s="21" t="s">
        <v>99</v>
      </c>
      <c r="BK1" s="21" t="s">
        <v>100</v>
      </c>
      <c r="BL1" s="21" t="s">
        <v>90</v>
      </c>
      <c r="BM1" s="21"/>
      <c r="BN1" s="21" t="s">
        <v>92</v>
      </c>
      <c r="BO1" s="21" t="s">
        <v>93</v>
      </c>
      <c r="BP1" s="22" t="s">
        <v>95</v>
      </c>
      <c r="BQ1" s="22"/>
      <c r="BR1" s="21" t="s">
        <v>101</v>
      </c>
      <c r="BS1" s="21" t="s">
        <v>102</v>
      </c>
      <c r="BT1" s="22" t="s">
        <v>103</v>
      </c>
      <c r="BU1" s="22" t="s">
        <v>104</v>
      </c>
    </row>
    <row r="2" spans="1:2 30:73" ht="19.5" customHeight="1">
      <c r="A2" s="24"/>
      <c r="B2" s="23" t="s">
        <v>105</v>
      </c>
      <c r="AD2" s="24">
        <f>ROW()</f>
        <v>2</v>
      </c>
      <c r="AF2" s="24" t="s">
        <v>106</v>
      </c>
      <c r="AG2" s="24" t="s">
        <v>107</v>
      </c>
      <c r="AI2" s="24" t="s">
        <v>108</v>
      </c>
      <c r="AJ2" s="24" t="s">
        <v>109</v>
      </c>
      <c r="AK2" s="24" t="b">
        <v>0</v>
      </c>
      <c r="AL2" s="24">
        <f>AD30</f>
        <v>30</v>
      </c>
      <c r="AM2" s="24" t="s">
        <v>110</v>
      </c>
      <c r="AN2" s="24">
        <f>AD31</f>
        <v>31</v>
      </c>
      <c r="AO2" s="24" t="s">
        <v>111</v>
      </c>
      <c r="AP2" s="24">
        <f>AD31</f>
        <v>31</v>
      </c>
      <c r="AR2" s="24" t="s">
        <v>108</v>
      </c>
      <c r="AS2" s="24" t="s">
        <v>112</v>
      </c>
      <c r="AT2" s="24" t="s">
        <v>113</v>
      </c>
      <c r="AU2" s="24">
        <v>0</v>
      </c>
      <c r="AV2" s="24" t="s">
        <v>110</v>
      </c>
      <c r="AW2" s="24" t="b">
        <v>0</v>
      </c>
      <c r="AY2" s="24" t="b">
        <v>0</v>
      </c>
      <c r="BA2" s="24" t="s">
        <v>114</v>
      </c>
      <c r="BB2" s="24" t="s">
        <v>115</v>
      </c>
      <c r="BC2" s="24" t="b">
        <v>0</v>
      </c>
      <c r="BD2" s="24">
        <f>B13</f>
        <v>0</v>
      </c>
      <c r="BE2" s="24" t="str">
        <f>""&amp;B13</f>
        <v/>
      </c>
      <c r="BF2" s="24" t="b">
        <v>1</v>
      </c>
      <c r="BG2" s="24" t="b">
        <v>0</v>
      </c>
      <c r="BJ2" s="24" t="str">
        <f ca="1" t="shared" si="0" ref="BJ2:BJ14">_xlfn.FORMULATEXT(BD2)</f>
        <v>=B13</v>
      </c>
      <c r="BK2" s="24" t="str">
        <f ca="1" t="shared" si="1" ref="BK2:BK14">_xlfn.FORMULATEXT(BD2)</f>
        <v>=B13</v>
      </c>
      <c r="BN2" s="24" t="s">
        <v>116</v>
      </c>
      <c r="BO2" s="24" t="s">
        <v>115</v>
      </c>
      <c r="BP2" s="24">
        <v>3</v>
      </c>
      <c r="BR2" s="25" t="s">
        <v>117</v>
      </c>
      <c r="BS2" s="25" t="s">
        <v>118</v>
      </c>
      <c r="BT2" s="25" t="s">
        <v>119</v>
      </c>
      <c r="BU2" s="25" t="s">
        <v>120</v>
      </c>
    </row>
    <row r="3" spans="1:73" ht="19.5" customHeight="1">
      <c r="A3" s="24"/>
      <c r="B3" s="26" t="s">
        <v>121</v>
      </c>
      <c r="C3" s="26"/>
      <c r="D3" s="26"/>
      <c r="E3" s="26"/>
      <c r="F3" s="26"/>
      <c r="G3" s="26"/>
      <c r="H3" s="26"/>
      <c r="AD3" s="24">
        <f>ROW()</f>
        <v>3</v>
      </c>
      <c r="AF3" s="24" t="s">
        <v>122</v>
      </c>
      <c r="AG3" s="24" t="s">
        <v>123</v>
      </c>
      <c r="AI3" s="24" t="s">
        <v>124</v>
      </c>
      <c r="AJ3" s="24" t="s">
        <v>125</v>
      </c>
      <c r="AK3" s="24" t="b">
        <v>1</v>
      </c>
      <c r="AL3" s="24">
        <f>AD58</f>
        <v>58</v>
      </c>
      <c r="AM3" s="24" t="s">
        <v>110</v>
      </c>
      <c r="AN3" s="24">
        <f>AD80</f>
        <v>80</v>
      </c>
      <c r="AO3" s="24" t="s">
        <v>126</v>
      </c>
      <c r="AP3" s="24">
        <f>AD81</f>
        <v>81</v>
      </c>
      <c r="AR3" s="24" t="s">
        <v>108</v>
      </c>
      <c r="AS3" s="24" t="s">
        <v>127</v>
      </c>
      <c r="AT3" s="24" t="s">
        <v>113</v>
      </c>
      <c r="AU3" s="24">
        <v>0</v>
      </c>
      <c r="AV3" s="24" t="s">
        <v>128</v>
      </c>
      <c r="AW3" s="24" t="b">
        <v>0</v>
      </c>
      <c r="AY3" s="24" t="b">
        <v>1</v>
      </c>
      <c r="BA3" s="24" t="s">
        <v>129</v>
      </c>
      <c r="BB3" s="24" t="s">
        <v>115</v>
      </c>
      <c r="BC3" s="24" t="b">
        <v>0</v>
      </c>
      <c r="BD3" s="24">
        <f>B16</f>
        <v>0</v>
      </c>
      <c r="BE3" s="24" t="str">
        <f>""&amp;B16</f>
        <v/>
      </c>
      <c r="BF3" s="24" t="b">
        <v>1</v>
      </c>
      <c r="BG3" s="24" t="b">
        <v>0</v>
      </c>
      <c r="BJ3" s="24" t="str">
        <f t="shared" ca="1" si="0"/>
        <v>=B16</v>
      </c>
      <c r="BK3" s="24" t="str">
        <f t="shared" ca="1" si="1"/>
        <v>=B16</v>
      </c>
      <c r="BN3" s="24" t="s">
        <v>130</v>
      </c>
      <c r="BO3" s="24" t="s">
        <v>115</v>
      </c>
      <c r="BP3" s="24">
        <v>1301301</v>
      </c>
      <c r="BR3" s="25" t="s">
        <v>131</v>
      </c>
      <c r="BS3" s="25" t="s">
        <v>132</v>
      </c>
      <c r="BT3" s="25" t="s">
        <v>133</v>
      </c>
      <c r="BU3" s="25" t="s">
        <v>134</v>
      </c>
    </row>
    <row r="4" spans="1:8 30:71" ht="24" customHeight="1">
      <c r="A4" s="24"/>
      <c r="B4" s="26"/>
      <c r="C4" s="26"/>
      <c r="D4" s="26"/>
      <c r="E4" s="26"/>
      <c r="F4" s="26"/>
      <c r="G4" s="26"/>
      <c r="H4" s="26"/>
      <c r="AD4" s="24">
        <f>ROW()</f>
        <v>4</v>
      </c>
      <c r="AF4" s="25" t="s">
        <v>135</v>
      </c>
      <c r="AG4" s="25" t="s">
        <v>136</v>
      </c>
      <c r="AR4" s="24" t="s">
        <v>108</v>
      </c>
      <c r="AS4" s="24" t="s">
        <v>137</v>
      </c>
      <c r="AT4" s="24" t="s">
        <v>113</v>
      </c>
      <c r="AU4" s="24">
        <v>0</v>
      </c>
      <c r="AV4" s="24" t="s">
        <v>138</v>
      </c>
      <c r="AW4" s="24" t="b">
        <v>0</v>
      </c>
      <c r="AY4" s="24" t="b">
        <v>1</v>
      </c>
      <c r="BA4" s="24" t="s">
        <v>139</v>
      </c>
      <c r="BB4" s="24" t="s">
        <v>115</v>
      </c>
      <c r="BC4" s="24" t="b">
        <v>0</v>
      </c>
      <c r="BD4" s="24">
        <f>B19</f>
        <v>0</v>
      </c>
      <c r="BE4" s="24" t="str">
        <f>""&amp;B19</f>
        <v/>
      </c>
      <c r="BF4" s="24" t="b">
        <v>1</v>
      </c>
      <c r="BG4" s="24" t="b">
        <v>0</v>
      </c>
      <c r="BJ4" s="24" t="str">
        <f t="shared" ca="1" si="0"/>
        <v>=B19</v>
      </c>
      <c r="BK4" s="24" t="str">
        <f t="shared" ca="1" si="1"/>
        <v>=B19</v>
      </c>
      <c r="BM4" s="27"/>
      <c r="BN4" s="27" t="s">
        <v>140</v>
      </c>
      <c r="BO4" s="27" t="s">
        <v>115</v>
      </c>
      <c r="BP4" s="27" t="s">
        <v>44</v>
      </c>
      <c r="BR4" s="25" t="s">
        <v>141</v>
      </c>
      <c r="BS4" s="25" t="s">
        <v>142</v>
      </c>
    </row>
    <row r="5" spans="1:8 30:71" ht="15" customHeight="1">
      <c r="A5" s="24"/>
      <c r="B5" s="26"/>
      <c r="C5" s="26"/>
      <c r="D5" s="26"/>
      <c r="E5" s="26"/>
      <c r="F5" s="26"/>
      <c r="G5" s="26"/>
      <c r="H5" s="26"/>
      <c r="AD5" s="24">
        <f>ROW()</f>
        <v>5</v>
      </c>
      <c r="AR5" s="24" t="s">
        <v>124</v>
      </c>
      <c r="AS5" s="24" t="s">
        <v>143</v>
      </c>
      <c r="AT5" s="24" t="s">
        <v>144</v>
      </c>
      <c r="AU5" s="24">
        <v>2</v>
      </c>
      <c r="AV5" s="24" t="s">
        <v>145</v>
      </c>
      <c r="AW5" s="24" t="b">
        <v>0</v>
      </c>
      <c r="AY5" s="24" t="b">
        <v>1</v>
      </c>
      <c r="BA5" s="24" t="s">
        <v>146</v>
      </c>
      <c r="BB5" s="24" t="s">
        <v>115</v>
      </c>
      <c r="BC5" s="24" t="b">
        <v>0</v>
      </c>
      <c r="BD5" s="24">
        <f>H21</f>
        <v>0</v>
      </c>
      <c r="BE5" s="24" t="str">
        <f>""&amp;H21</f>
        <v/>
      </c>
      <c r="BF5" s="24" t="b">
        <v>1</v>
      </c>
      <c r="BG5" s="24" t="b">
        <v>0</v>
      </c>
      <c r="BJ5" s="24" t="str">
        <f t="shared" ca="1" si="0"/>
        <v>=H21</v>
      </c>
      <c r="BK5" s="24" t="str">
        <f t="shared" ca="1" si="1"/>
        <v>=H21</v>
      </c>
      <c r="BN5" s="24" t="s">
        <v>147</v>
      </c>
      <c r="BO5" s="24" t="s">
        <v>115</v>
      </c>
      <c r="BP5" s="24" t="s">
        <v>148</v>
      </c>
      <c r="BR5" s="25" t="s">
        <v>149</v>
      </c>
      <c r="BS5" s="25" t="s">
        <v>150</v>
      </c>
    </row>
    <row r="6" spans="1:4 30:68" ht="28" customHeight="1">
      <c r="A6" s="24"/>
      <c r="B6" s="28" t="s">
        <v>151</v>
      </c>
      <c r="C6" s="28"/>
      <c r="D6" s="28"/>
      <c r="AD6" s="24">
        <f>ROW()</f>
        <v>6</v>
      </c>
      <c r="AR6" s="24" t="s">
        <v>124</v>
      </c>
      <c r="AS6" s="24" t="s">
        <v>152</v>
      </c>
      <c r="AT6" s="24" t="s">
        <v>144</v>
      </c>
      <c r="AU6" s="24">
        <v>3</v>
      </c>
      <c r="AV6" s="24" t="s">
        <v>145</v>
      </c>
      <c r="AW6" s="24" t="b">
        <v>0</v>
      </c>
      <c r="AY6" s="24" t="b">
        <v>1</v>
      </c>
      <c r="BA6" s="24" t="s">
        <v>153</v>
      </c>
      <c r="BB6" s="24" t="s">
        <v>115</v>
      </c>
      <c r="BC6" s="24" t="b">
        <v>0</v>
      </c>
      <c r="BD6" s="24">
        <f>H23</f>
        <v>0</v>
      </c>
      <c r="BE6" s="24" t="str">
        <f>""&amp;H23</f>
        <v/>
      </c>
      <c r="BF6" s="24" t="b">
        <v>1</v>
      </c>
      <c r="BG6" s="24" t="b">
        <v>0</v>
      </c>
      <c r="BJ6" s="24" t="str">
        <f t="shared" ca="1" si="0"/>
        <v>=H23</v>
      </c>
      <c r="BK6" s="24" t="str">
        <f t="shared" ca="1" si="1"/>
        <v>=H23</v>
      </c>
      <c r="BN6" s="24" t="s">
        <v>154</v>
      </c>
      <c r="BO6" s="24" t="s">
        <v>115</v>
      </c>
      <c r="BP6" s="24">
        <v>13</v>
      </c>
    </row>
    <row r="7" spans="1:1 30:68" ht="14.5" customHeight="1">
      <c r="A7" s="24"/>
      <c r="AD7" s="24">
        <f>ROW()</f>
        <v>7</v>
      </c>
      <c r="AR7" s="24" t="s">
        <v>124</v>
      </c>
      <c r="AS7" s="24" t="s">
        <v>155</v>
      </c>
      <c r="AT7" s="24" t="s">
        <v>144</v>
      </c>
      <c r="AU7" s="24">
        <v>4</v>
      </c>
      <c r="AV7" s="24" t="s">
        <v>145</v>
      </c>
      <c r="AW7" s="24" t="b">
        <v>0</v>
      </c>
      <c r="AY7" s="24" t="b">
        <v>1</v>
      </c>
      <c r="BA7" s="24" t="s">
        <v>156</v>
      </c>
      <c r="BB7" s="24" t="s">
        <v>115</v>
      </c>
      <c r="BC7" s="24" t="b">
        <v>1</v>
      </c>
      <c r="BD7" s="24" t="str">
        <f>J27</f>
        <v>0</v>
      </c>
      <c r="BE7" s="24" t="str">
        <f>""&amp;J27</f>
        <v>0</v>
      </c>
      <c r="BF7" s="24" t="b">
        <v>0</v>
      </c>
      <c r="BG7" s="24" t="b">
        <v>0</v>
      </c>
      <c r="BJ7" s="24" t="str">
        <f t="shared" ca="1" si="0"/>
        <v>=J27</v>
      </c>
      <c r="BK7" s="24" t="str">
        <f t="shared" ca="1" si="1"/>
        <v>=J27</v>
      </c>
      <c r="BN7" s="1" t="s">
        <v>157</v>
      </c>
      <c r="BO7" s="24" t="s">
        <v>115</v>
      </c>
      <c r="BP7" s="24">
        <v>68</v>
      </c>
    </row>
    <row r="8" spans="1:10 30:68" ht="29.5" customHeight="1">
      <c r="A8" s="24"/>
      <c r="B8" s="29" t="s">
        <v>158</v>
      </c>
      <c r="G8" s="30" t="s">
        <v>159</v>
      </c>
      <c r="H8" s="30"/>
      <c r="I8" s="30"/>
      <c r="J8" s="30"/>
      <c r="AD8" s="24">
        <f>ROW()</f>
        <v>8</v>
      </c>
      <c r="AR8" s="24" t="s">
        <v>124</v>
      </c>
      <c r="AS8" s="24" t="s">
        <v>160</v>
      </c>
      <c r="AT8" s="24" t="s">
        <v>144</v>
      </c>
      <c r="AU8" s="24">
        <v>5</v>
      </c>
      <c r="AV8" s="24" t="s">
        <v>145</v>
      </c>
      <c r="AW8" s="24" t="b">
        <v>0</v>
      </c>
      <c r="AY8" s="24" t="b">
        <v>1</v>
      </c>
      <c r="BA8" s="24" t="s">
        <v>161</v>
      </c>
      <c r="BB8" s="24" t="s">
        <v>115</v>
      </c>
      <c r="BC8" s="24" t="b">
        <v>0</v>
      </c>
      <c r="BD8" s="24">
        <f>B36</f>
        <v>0</v>
      </c>
      <c r="BE8" s="24" t="str">
        <f>""&amp;B36</f>
        <v/>
      </c>
      <c r="BF8" s="24" t="b">
        <v>1</v>
      </c>
      <c r="BG8" s="24" t="b">
        <v>0</v>
      </c>
      <c r="BJ8" s="24" t="str">
        <f t="shared" ca="1" si="0"/>
        <v>=B36</v>
      </c>
      <c r="BK8" s="24" t="str">
        <f t="shared" ca="1" si="1"/>
        <v>=B36</v>
      </c>
      <c r="BN8" s="31" t="s">
        <v>162</v>
      </c>
      <c r="BO8" s="31" t="s">
        <v>115</v>
      </c>
      <c r="BP8" s="31" t="s">
        <v>163</v>
      </c>
    </row>
    <row r="9" spans="1:1 30:63" ht="14.5" customHeight="1">
      <c r="A9" s="24"/>
      <c r="AD9" s="24">
        <f>ROW()</f>
        <v>9</v>
      </c>
      <c r="AR9" s="24" t="s">
        <v>124</v>
      </c>
      <c r="AS9" s="24" t="s">
        <v>164</v>
      </c>
      <c r="AT9" s="24" t="s">
        <v>144</v>
      </c>
      <c r="AU9" s="24">
        <v>6</v>
      </c>
      <c r="AV9" s="24" t="s">
        <v>145</v>
      </c>
      <c r="AW9" s="24" t="b">
        <v>0</v>
      </c>
      <c r="AY9" s="24" t="b">
        <v>1</v>
      </c>
      <c r="BA9" s="24" t="s">
        <v>165</v>
      </c>
      <c r="BB9" s="24" t="s">
        <v>115</v>
      </c>
      <c r="BC9" s="24" t="b">
        <v>0</v>
      </c>
      <c r="BD9" s="24">
        <f>B41</f>
        <v>0</v>
      </c>
      <c r="BE9" s="24" t="str">
        <f>""&amp;B41</f>
        <v/>
      </c>
      <c r="BF9" s="24" t="b">
        <v>1</v>
      </c>
      <c r="BG9" s="24" t="b">
        <v>0</v>
      </c>
      <c r="BJ9" s="24" t="str">
        <f t="shared" ca="1" si="0"/>
        <v>=B41</v>
      </c>
      <c r="BK9" s="24" t="str">
        <f t="shared" ca="1" si="1"/>
        <v>=B41</v>
      </c>
    </row>
    <row r="10" spans="1:2 30:63" ht="14.5" customHeight="1">
      <c r="A10" s="24"/>
      <c r="B10" s="32" t="s">
        <v>166</v>
      </c>
      <c r="AD10" s="24">
        <f>ROW()</f>
        <v>10</v>
      </c>
      <c r="AR10" s="24" t="s">
        <v>124</v>
      </c>
      <c r="AS10" s="24" t="s">
        <v>167</v>
      </c>
      <c r="AT10" s="24" t="s">
        <v>144</v>
      </c>
      <c r="AU10" s="24">
        <v>7</v>
      </c>
      <c r="AV10" s="24" t="s">
        <v>145</v>
      </c>
      <c r="AW10" s="24" t="b">
        <v>0</v>
      </c>
      <c r="AY10" s="24" t="b">
        <v>1</v>
      </c>
      <c r="BA10" s="24" t="s">
        <v>168</v>
      </c>
      <c r="BB10" s="24" t="s">
        <v>115</v>
      </c>
      <c r="BC10" s="24" t="b">
        <v>0</v>
      </c>
      <c r="BD10" s="24">
        <f>B49</f>
        <v>0</v>
      </c>
      <c r="BE10" s="24" t="str">
        <f>""&amp;B49</f>
        <v/>
      </c>
      <c r="BF10" s="24" t="b">
        <v>1</v>
      </c>
      <c r="BG10" s="24" t="b">
        <v>0</v>
      </c>
      <c r="BJ10" s="24" t="str">
        <f t="shared" ca="1" si="0"/>
        <v>=B49</v>
      </c>
      <c r="BK10" s="24" t="str">
        <f t="shared" ca="1" si="1"/>
        <v>=B49</v>
      </c>
    </row>
    <row r="11" spans="1:1 30:63" ht="14.5" customHeight="1">
      <c r="A11" s="24"/>
      <c r="AD11" s="24">
        <f>ROW()</f>
        <v>11</v>
      </c>
      <c r="AR11" s="24" t="s">
        <v>124</v>
      </c>
      <c r="AS11" s="24" t="s">
        <v>169</v>
      </c>
      <c r="AT11" s="24" t="s">
        <v>144</v>
      </c>
      <c r="AU11" s="24">
        <v>8</v>
      </c>
      <c r="AV11" s="24" t="s">
        <v>145</v>
      </c>
      <c r="AW11" s="24" t="b">
        <v>0</v>
      </c>
      <c r="AY11" s="24" t="b">
        <v>1</v>
      </c>
      <c r="BA11" s="24" t="s">
        <v>170</v>
      </c>
      <c r="BB11" s="24" t="s">
        <v>115</v>
      </c>
      <c r="BC11" s="24" t="b">
        <v>0</v>
      </c>
      <c r="BD11" s="24">
        <f>B52</f>
        <v>0</v>
      </c>
      <c r="BE11" s="24" t="str">
        <f>""&amp;B52</f>
        <v/>
      </c>
      <c r="BF11" s="24" t="b">
        <v>1</v>
      </c>
      <c r="BG11" s="24" t="b">
        <v>0</v>
      </c>
      <c r="BJ11" s="24" t="str">
        <f t="shared" ca="1" si="0"/>
        <v>=B52</v>
      </c>
      <c r="BK11" s="24" t="str">
        <f t="shared" ca="1" si="1"/>
        <v>=B52</v>
      </c>
    </row>
    <row r="12" spans="1:2 30:63" ht="14.5" customHeight="1">
      <c r="A12" s="24"/>
      <c r="B12" s="76" t="s">
        <v>171</v>
      </c>
      <c r="AD12" s="24">
        <f>ROW()</f>
        <v>12</v>
      </c>
      <c r="AR12" s="24" t="s">
        <v>124</v>
      </c>
      <c r="AS12" s="24" t="s">
        <v>172</v>
      </c>
      <c r="AT12" s="24" t="s">
        <v>144</v>
      </c>
      <c r="AU12" s="24">
        <v>9</v>
      </c>
      <c r="AV12" s="24" t="s">
        <v>145</v>
      </c>
      <c r="AW12" s="24" t="b">
        <v>0</v>
      </c>
      <c r="AY12" s="24" t="b">
        <v>1</v>
      </c>
      <c r="BA12" s="24" t="s">
        <v>173</v>
      </c>
      <c r="BB12" s="24" t="s">
        <v>115</v>
      </c>
      <c r="BC12" s="24" t="b">
        <v>0</v>
      </c>
      <c r="BD12" s="24">
        <f>B83</f>
        <v>0</v>
      </c>
      <c r="BE12" s="24" t="str">
        <f>""&amp;B83</f>
        <v/>
      </c>
      <c r="BF12" s="24" t="b">
        <v>1</v>
      </c>
      <c r="BG12" s="24" t="b">
        <v>0</v>
      </c>
      <c r="BJ12" s="24" t="str">
        <f t="shared" ca="1" si="0"/>
        <v>=B83</v>
      </c>
      <c r="BK12" s="24" t="str">
        <f t="shared" ca="1" si="1"/>
        <v>=B83</v>
      </c>
    </row>
    <row r="13" spans="1:10 30:63" ht="28.75" customHeight="1">
      <c r="A13" s="24"/>
      <c r="B13" s="78"/>
      <c r="C13" s="77"/>
      <c r="D13" s="77"/>
      <c r="E13" s="77"/>
      <c r="F13" s="77"/>
      <c r="G13" s="77"/>
      <c r="H13" s="77"/>
      <c r="I13" s="77"/>
      <c r="J13" s="79"/>
      <c r="AD13" s="24">
        <f>ROW()</f>
        <v>13</v>
      </c>
      <c r="AR13" s="24" t="s">
        <v>124</v>
      </c>
      <c r="AS13" s="24" t="s">
        <v>174</v>
      </c>
      <c r="AT13" s="24" t="s">
        <v>144</v>
      </c>
      <c r="AU13" s="24">
        <v>10</v>
      </c>
      <c r="AV13" s="24" t="s">
        <v>145</v>
      </c>
      <c r="AW13" s="24" t="b">
        <v>0</v>
      </c>
      <c r="AY13" s="24" t="b">
        <v>1</v>
      </c>
      <c r="BA13" s="24" t="s">
        <v>175</v>
      </c>
      <c r="BB13" s="24" t="s">
        <v>115</v>
      </c>
      <c r="BC13" s="24" t="b">
        <v>0</v>
      </c>
      <c r="BD13" s="24">
        <f>B46</f>
        <v>0</v>
      </c>
      <c r="BE13" s="24" t="str">
        <f>""&amp;B46</f>
        <v/>
      </c>
      <c r="BF13" s="24" t="b">
        <v>1</v>
      </c>
      <c r="BG13" s="24" t="b">
        <v>0</v>
      </c>
      <c r="BJ13" s="24" t="str">
        <f t="shared" ca="1" si="0"/>
        <v>=B46</v>
      </c>
      <c r="BK13" s="24" t="str">
        <f t="shared" ca="1" si="1"/>
        <v>=B46</v>
      </c>
    </row>
    <row r="14" spans="1:1 30:63" ht="14.5" customHeight="1">
      <c r="A14" s="24"/>
      <c r="AD14" s="24">
        <f>ROW()</f>
        <v>14</v>
      </c>
      <c r="AR14" s="24" t="s">
        <v>124</v>
      </c>
      <c r="AS14" s="24" t="s">
        <v>176</v>
      </c>
      <c r="AT14" s="24" t="s">
        <v>144</v>
      </c>
      <c r="AU14" s="24">
        <v>11</v>
      </c>
      <c r="AV14" s="24" t="s">
        <v>145</v>
      </c>
      <c r="AW14" s="24" t="b">
        <v>0</v>
      </c>
      <c r="AY14" s="24" t="b">
        <v>1</v>
      </c>
      <c r="BA14" s="24" t="s">
        <v>177</v>
      </c>
      <c r="BB14" s="24" t="s">
        <v>115</v>
      </c>
      <c r="BC14" s="24" t="b">
        <v>0</v>
      </c>
      <c r="BD14" s="35" t="str">
        <f>J92</f>
        <v>DSC BOX</v>
      </c>
      <c r="BE14" s="24" t="str">
        <f>""&amp;J92</f>
        <v>DSC BOX</v>
      </c>
      <c r="BF14" s="24" t="b">
        <v>0</v>
      </c>
      <c r="BG14" s="24" t="b">
        <v>0</v>
      </c>
      <c r="BJ14" s="24" t="str">
        <f t="shared" ca="1" si="0"/>
        <v>=J92</v>
      </c>
      <c r="BK14" s="24" t="str">
        <f t="shared" ca="1" si="1"/>
        <v>=J92</v>
      </c>
    </row>
    <row r="15" spans="1:2 30:63" ht="14.5" customHeight="1">
      <c r="A15" s="24"/>
      <c r="B15" s="76" t="s">
        <v>178</v>
      </c>
      <c r="AD15" s="24">
        <f>ROW()</f>
        <v>15</v>
      </c>
      <c r="AR15" s="24" t="s">
        <v>124</v>
      </c>
      <c r="AS15" s="24" t="s">
        <v>179</v>
      </c>
      <c r="AT15" s="24" t="s">
        <v>144</v>
      </c>
      <c r="AU15" s="24">
        <v>12</v>
      </c>
      <c r="AV15" s="24" t="s">
        <v>145</v>
      </c>
      <c r="AW15" s="24" t="b">
        <v>0</v>
      </c>
      <c r="AY15" s="24" t="b">
        <v>1</v>
      </c>
      <c r="BA15" s="24" t="s">
        <v>180</v>
      </c>
      <c r="BB15" s="24" t="s">
        <v>115</v>
      </c>
      <c r="BC15" s="24" t="b">
        <v>0</v>
      </c>
      <c r="BD15" s="24">
        <f>J94</f>
        <v>0</v>
      </c>
      <c r="BE15" s="24" t="str">
        <f>""&amp;J94</f>
        <v/>
      </c>
      <c r="BF15" s="24" t="b">
        <v>0</v>
      </c>
      <c r="BG15" s="24" t="b">
        <v>0</v>
      </c>
      <c r="BJ15" s="24" t="str">
        <f ca="1" t="shared" si="2" ref="BJ15">_xlfn.FORMULATEXT(BD15)</f>
        <v>=J94</v>
      </c>
      <c r="BK15" s="24" t="str">
        <f ca="1" t="shared" si="3" ref="BK15">_xlfn.FORMULATEXT(BD15)</f>
        <v>=J94</v>
      </c>
    </row>
    <row r="16" spans="1:63" ht="28.75" customHeight="1">
      <c r="A16" s="24"/>
      <c r="B16" s="78"/>
      <c r="C16" s="77"/>
      <c r="D16" s="77"/>
      <c r="E16" s="77"/>
      <c r="F16" s="77"/>
      <c r="G16" s="77"/>
      <c r="H16" s="77"/>
      <c r="I16" s="77"/>
      <c r="J16" s="79"/>
      <c r="P16" s="36"/>
      <c r="Q16" s="36"/>
      <c r="R16" s="36"/>
      <c r="S16" s="36"/>
      <c r="T16" s="36"/>
      <c r="U16" s="36"/>
      <c r="V16" s="36"/>
      <c r="W16" s="36"/>
      <c r="X16" s="36"/>
      <c r="AD16" s="24">
        <f>ROW()</f>
        <v>16</v>
      </c>
      <c r="AR16" s="24" t="s">
        <v>124</v>
      </c>
      <c r="AS16" s="24" t="s">
        <v>181</v>
      </c>
      <c r="AT16" s="24" t="s">
        <v>144</v>
      </c>
      <c r="AU16" s="24">
        <v>13</v>
      </c>
      <c r="AV16" s="24" t="s">
        <v>145</v>
      </c>
      <c r="AW16" s="24" t="b">
        <v>0</v>
      </c>
      <c r="AY16" s="24" t="b">
        <v>1</v>
      </c>
      <c r="BA16" s="24" t="s">
        <v>182</v>
      </c>
      <c r="BB16" s="24" t="s">
        <v>183</v>
      </c>
      <c r="BC16" s="24" t="b">
        <v>0</v>
      </c>
      <c r="BD16" s="37" t="str">
        <f>IF(AA96=1,"Director",IF(AA96=2,"IRP/RP/Liquidator",""))</f>
        <v/>
      </c>
      <c r="BE16" s="24" t="str">
        <f>""&amp;BD16</f>
        <v/>
      </c>
      <c r="BF16" s="24" t="b">
        <v>1</v>
      </c>
      <c r="BG16" s="24" t="b">
        <v>1</v>
      </c>
      <c r="BI16" s="24">
        <f>AA96</f>
        <v>0</v>
      </c>
      <c r="BJ16" s="24" t="str">
        <f ca="1">_xlfn.FORMULATEXT(BI16)</f>
        <v>=AA96</v>
      </c>
      <c r="BK16" s="38" t="s">
        <v>184</v>
      </c>
    </row>
    <row r="17" spans="1:63" ht="14.5" customHeight="1">
      <c r="A17" s="24"/>
      <c r="P17" s="36"/>
      <c r="Q17" s="36"/>
      <c r="R17" s="36"/>
      <c r="S17" s="36"/>
      <c r="T17" s="36"/>
      <c r="U17" s="36"/>
      <c r="V17" s="36"/>
      <c r="W17" s="36"/>
      <c r="X17" s="36"/>
      <c r="AD17" s="24">
        <f>ROW()</f>
        <v>17</v>
      </c>
      <c r="AR17" s="24" t="s">
        <v>124</v>
      </c>
      <c r="AS17" s="24" t="s">
        <v>185</v>
      </c>
      <c r="AT17" s="24" t="s">
        <v>144</v>
      </c>
      <c r="AU17" s="24">
        <v>14</v>
      </c>
      <c r="AV17" s="24" t="s">
        <v>145</v>
      </c>
      <c r="AW17" s="24" t="b">
        <v>0</v>
      </c>
      <c r="AY17" s="24" t="b">
        <v>1</v>
      </c>
      <c r="BA17" s="24" t="s">
        <v>186</v>
      </c>
      <c r="BB17" s="24" t="s">
        <v>115</v>
      </c>
      <c r="BC17" s="24" t="b">
        <v>1</v>
      </c>
      <c r="BD17" s="35">
        <f>J99</f>
        <v>0</v>
      </c>
      <c r="BE17" s="24" t="str">
        <f>UPPER(""&amp;J99)</f>
        <v/>
      </c>
      <c r="BF17" s="24" t="b">
        <v>1</v>
      </c>
      <c r="BG17" s="24" t="b">
        <v>1</v>
      </c>
      <c r="BJ17" s="24" t="str">
        <f ca="1">_xlfn.FORMULATEXT(BD17)</f>
        <v>=J99</v>
      </c>
      <c r="BK17" s="24" t="str">
        <f ca="1">_xlfn.FORMULATEXT(BD17)</f>
        <v>=J99</v>
      </c>
    </row>
    <row r="18" spans="1:2 30:63" ht="14.5" customHeight="1">
      <c r="A18" s="24"/>
      <c r="B18" s="76" t="s">
        <v>187</v>
      </c>
      <c r="AD18" s="24">
        <f>ROW()</f>
        <v>18</v>
      </c>
      <c r="AR18" s="24" t="s">
        <v>124</v>
      </c>
      <c r="AS18" s="24" t="s">
        <v>188</v>
      </c>
      <c r="AT18" s="24" t="s">
        <v>144</v>
      </c>
      <c r="AU18" s="24">
        <v>15</v>
      </c>
      <c r="AV18" s="24" t="s">
        <v>145</v>
      </c>
      <c r="AW18" s="24" t="b">
        <v>0</v>
      </c>
      <c r="AY18" s="24" t="b">
        <v>1</v>
      </c>
      <c r="BA18" s="24" t="s">
        <v>189</v>
      </c>
      <c r="BB18" s="24" t="s">
        <v>183</v>
      </c>
      <c r="BC18" s="24" t="b">
        <v>0</v>
      </c>
      <c r="BD18" s="24" t="str">
        <f>IF(AA54=1,"Yes","No")</f>
        <v>No</v>
      </c>
      <c r="BE18" s="24" t="str">
        <f>""&amp;BD18</f>
        <v>No</v>
      </c>
      <c r="BF18" s="24" t="b">
        <v>0</v>
      </c>
      <c r="BG18" s="24" t="b">
        <v>0</v>
      </c>
      <c r="BI18" s="24">
        <f>AA54</f>
        <v>2</v>
      </c>
      <c r="BJ18" s="24" t="str">
        <f ca="1">_xlfn.FORMULATEXT(BI18)</f>
        <v>=AA54</v>
      </c>
      <c r="BK18" s="24" t="str">
        <f ca="1">_xlfn.FORMULATEXT(BI18)</f>
        <v>=AA54</v>
      </c>
    </row>
    <row r="19" spans="1:51" ht="28.75" customHeight="1">
      <c r="A19" s="24"/>
      <c r="B19" s="78"/>
      <c r="C19" s="77"/>
      <c r="D19" s="77"/>
      <c r="E19" s="77"/>
      <c r="F19" s="77"/>
      <c r="G19" s="77"/>
      <c r="H19" s="77"/>
      <c r="I19" s="77"/>
      <c r="J19" s="79"/>
      <c r="K19" s="33"/>
      <c r="L19" s="33"/>
      <c r="M19" s="33"/>
      <c r="AD19" s="24">
        <f>ROW()</f>
        <v>19</v>
      </c>
      <c r="AR19" s="24" t="s">
        <v>124</v>
      </c>
      <c r="AS19" s="24" t="s">
        <v>190</v>
      </c>
      <c r="AT19" s="24" t="s">
        <v>144</v>
      </c>
      <c r="AU19" s="24">
        <v>16</v>
      </c>
      <c r="AV19" s="24" t="s">
        <v>145</v>
      </c>
      <c r="AW19" s="24" t="b">
        <v>0</v>
      </c>
      <c r="AY19" s="24" t="b">
        <v>1</v>
      </c>
    </row>
    <row r="20" spans="1:1 30:51" ht="14.5" customHeight="1">
      <c r="A20" s="24"/>
      <c r="AD20" s="24">
        <f>ROW()</f>
        <v>20</v>
      </c>
      <c r="AR20" s="24" t="s">
        <v>124</v>
      </c>
      <c r="AS20" s="24" t="s">
        <v>191</v>
      </c>
      <c r="AT20" s="24" t="s">
        <v>144</v>
      </c>
      <c r="AU20" s="24">
        <v>17</v>
      </c>
      <c r="AV20" s="24" t="s">
        <v>145</v>
      </c>
      <c r="AW20" s="24" t="b">
        <v>0</v>
      </c>
      <c r="AY20" s="24" t="b">
        <v>1</v>
      </c>
    </row>
    <row r="21" spans="1:10 30:51" ht="28.25" customHeight="1">
      <c r="A21" s="24"/>
      <c r="B21" s="33" t="s">
        <v>192</v>
      </c>
      <c r="H21" s="78"/>
      <c r="I21" s="77"/>
      <c r="J21" s="79"/>
      <c r="AD21" s="24">
        <f>ROW()</f>
        <v>21</v>
      </c>
      <c r="AR21" s="24" t="s">
        <v>124</v>
      </c>
      <c r="AS21" s="24" t="s">
        <v>193</v>
      </c>
      <c r="AT21" s="24" t="s">
        <v>144</v>
      </c>
      <c r="AU21" s="24">
        <v>18</v>
      </c>
      <c r="AV21" s="24" t="s">
        <v>145</v>
      </c>
      <c r="AW21" s="24" t="b">
        <v>0</v>
      </c>
      <c r="AY21" s="24" t="b">
        <v>1</v>
      </c>
    </row>
    <row r="22" spans="1:1 30:51" ht="14.5" customHeight="1">
      <c r="A22" s="24"/>
      <c r="AD22" s="24">
        <f>ROW()</f>
        <v>22</v>
      </c>
      <c r="AR22" s="24" t="s">
        <v>124</v>
      </c>
      <c r="AS22" s="24" t="s">
        <v>194</v>
      </c>
      <c r="AT22" s="24" t="s">
        <v>144</v>
      </c>
      <c r="AU22" s="24">
        <v>19</v>
      </c>
      <c r="AV22" s="24" t="s">
        <v>145</v>
      </c>
      <c r="AW22" s="24" t="b">
        <v>0</v>
      </c>
      <c r="AY22" s="24" t="b">
        <v>1</v>
      </c>
    </row>
    <row r="23" spans="1:10 30:51" ht="28.25" customHeight="1">
      <c r="A23" s="24"/>
      <c r="B23" s="33" t="s">
        <v>195</v>
      </c>
      <c r="H23" s="78"/>
      <c r="I23" s="77"/>
      <c r="J23" s="79"/>
      <c r="AD23" s="24">
        <f>ROW()</f>
        <v>23</v>
      </c>
      <c r="AR23" s="24" t="s">
        <v>124</v>
      </c>
      <c r="AS23" s="24" t="s">
        <v>196</v>
      </c>
      <c r="AT23" s="24" t="s">
        <v>144</v>
      </c>
      <c r="AU23" s="24">
        <v>20</v>
      </c>
      <c r="AV23" s="24" t="s">
        <v>145</v>
      </c>
      <c r="AW23" s="24" t="b">
        <v>0</v>
      </c>
      <c r="AY23" s="24" t="b">
        <v>1</v>
      </c>
    </row>
    <row r="24" spans="1:10 30:51" ht="14.5" customHeight="1">
      <c r="A24" s="24"/>
      <c r="H24" s="36"/>
      <c r="I24" s="36"/>
      <c r="J24" s="36"/>
      <c r="AD24" s="24">
        <f>ROW()</f>
        <v>24</v>
      </c>
      <c r="AR24" s="24" t="s">
        <v>124</v>
      </c>
      <c r="AS24" s="24" t="s">
        <v>197</v>
      </c>
      <c r="AT24" s="24" t="s">
        <v>144</v>
      </c>
      <c r="AU24" s="24">
        <v>21</v>
      </c>
      <c r="AV24" s="24" t="s">
        <v>145</v>
      </c>
      <c r="AW24" s="24" t="b">
        <v>0</v>
      </c>
      <c r="AY24" s="24" t="b">
        <v>1</v>
      </c>
    </row>
    <row r="25" spans="1:2 30:51" ht="14.5" customHeight="1">
      <c r="A25" s="24"/>
      <c r="B25" s="32" t="s">
        <v>198</v>
      </c>
      <c r="AD25" s="24">
        <f>ROW()</f>
        <v>25</v>
      </c>
      <c r="AR25" s="24" t="s">
        <v>124</v>
      </c>
      <c r="AS25" s="24" t="s">
        <v>199</v>
      </c>
      <c r="AT25" s="24" t="s">
        <v>144</v>
      </c>
      <c r="AU25" s="24">
        <v>22</v>
      </c>
      <c r="AV25" s="24" t="s">
        <v>145</v>
      </c>
      <c r="AW25" s="24" t="b">
        <v>0</v>
      </c>
      <c r="AY25" s="24" t="b">
        <v>1</v>
      </c>
    </row>
    <row r="26" spans="1:1 30:51" ht="14.5" customHeight="1">
      <c r="A26" s="24"/>
      <c r="AD26" s="24">
        <f>ROW()</f>
        <v>26</v>
      </c>
      <c r="AR26" s="24" t="s">
        <v>124</v>
      </c>
      <c r="AS26" s="24" t="s">
        <v>200</v>
      </c>
      <c r="AT26" s="24" t="s">
        <v>144</v>
      </c>
      <c r="AU26" s="24">
        <v>12</v>
      </c>
      <c r="AV26" s="24" t="s">
        <v>201</v>
      </c>
      <c r="AW26" s="24" t="b">
        <v>0</v>
      </c>
      <c r="AY26" s="24" t="b">
        <v>1</v>
      </c>
    </row>
    <row r="27" spans="1:10 30:51" ht="14.5" customHeight="1">
      <c r="A27" s="24"/>
      <c r="B27" s="33" t="s">
        <v>202</v>
      </c>
      <c r="J27" s="110" t="s">
        <v>203</v>
      </c>
      <c r="AD27" s="24">
        <f>ROW()</f>
        <v>27</v>
      </c>
      <c r="AR27" s="24" t="s">
        <v>124</v>
      </c>
      <c r="AS27" s="24" t="s">
        <v>204</v>
      </c>
      <c r="AT27" s="24" t="s">
        <v>144</v>
      </c>
      <c r="AU27" s="24">
        <v>2</v>
      </c>
      <c r="AV27" s="24" t="s">
        <v>201</v>
      </c>
      <c r="AW27" s="24" t="b">
        <v>0</v>
      </c>
      <c r="AY27" s="24" t="b">
        <v>1</v>
      </c>
    </row>
    <row r="28" spans="1:78" s="24" customFormat="1" ht="14.5" customHeight="1" hidden="1">
      <c r="A28" s="24" t="s">
        <v>210</v>
      </c>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f>ROW()</f>
        <v>28</v>
      </c>
      <c r="AE28" s="24"/>
      <c r="AF28" s="24"/>
      <c r="AG28" s="24"/>
      <c r="AH28" s="24"/>
      <c r="AI28" s="24"/>
      <c r="AJ28" s="24"/>
      <c r="AK28" s="24"/>
      <c r="AL28" s="24"/>
      <c r="AM28" s="24"/>
      <c r="AN28" s="24"/>
      <c r="AO28" s="24"/>
      <c r="AP28" s="24"/>
      <c r="AQ28" s="24"/>
      <c r="AR28" s="24" t="s">
        <v>124</v>
      </c>
      <c r="AS28" s="24" t="s">
        <v>205</v>
      </c>
      <c r="AT28" s="24" t="s">
        <v>144</v>
      </c>
      <c r="AU28" s="24">
        <v>3</v>
      </c>
      <c r="AV28" s="24" t="s">
        <v>201</v>
      </c>
      <c r="AW28" s="24" t="b">
        <v>0</v>
      </c>
      <c r="AX28" s="24"/>
      <c r="AY28" s="24" t="b">
        <v>1</v>
      </c>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row>
    <row r="29" spans="1:78" s="24" customFormat="1" ht="14.5" customHeight="1" hidden="1">
      <c r="A29" s="24" t="s">
        <v>210</v>
      </c>
      <c r="B29" s="40" t="s">
        <v>206</v>
      </c>
      <c r="C29" s="125" t="s">
        <v>207</v>
      </c>
      <c r="D29" s="125"/>
      <c r="E29" s="125"/>
      <c r="F29" s="125" t="s">
        <v>208</v>
      </c>
      <c r="G29" s="125"/>
      <c r="H29" s="125"/>
      <c r="I29" s="125"/>
      <c r="J29" s="125"/>
      <c r="K29" s="24"/>
      <c r="L29" s="24"/>
      <c r="M29" s="24"/>
      <c r="N29" s="24"/>
      <c r="O29" s="24"/>
      <c r="P29" s="24"/>
      <c r="Q29" s="24"/>
      <c r="R29" s="24"/>
      <c r="S29" s="24"/>
      <c r="T29" s="24"/>
      <c r="U29" s="24"/>
      <c r="V29" s="24"/>
      <c r="W29" s="24"/>
      <c r="X29" s="24"/>
      <c r="Y29" s="24"/>
      <c r="Z29" s="24"/>
      <c r="AA29" s="24"/>
      <c r="AB29" s="24"/>
      <c r="AC29" s="24"/>
      <c r="AD29" s="24">
        <f>ROW()</f>
        <v>29</v>
      </c>
      <c r="AE29" s="24"/>
      <c r="AF29" s="24"/>
      <c r="AG29" s="24"/>
      <c r="AH29" s="24"/>
      <c r="AI29" s="24"/>
      <c r="AJ29" s="24"/>
      <c r="AK29" s="24"/>
      <c r="AL29" s="24"/>
      <c r="AM29" s="24"/>
      <c r="AN29" s="24"/>
      <c r="AO29" s="24"/>
      <c r="AP29" s="24"/>
      <c r="AQ29" s="24"/>
      <c r="AR29" s="24" t="s">
        <v>124</v>
      </c>
      <c r="AS29" s="24" t="s">
        <v>209</v>
      </c>
      <c r="AT29" s="24" t="s">
        <v>144</v>
      </c>
      <c r="AU29" s="24">
        <v>4</v>
      </c>
      <c r="AV29" s="24" t="s">
        <v>201</v>
      </c>
      <c r="AW29" s="24" t="b">
        <v>0</v>
      </c>
      <c r="AX29" s="24"/>
      <c r="AY29" s="24" t="b">
        <v>1</v>
      </c>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row>
    <row r="30" spans="1:78" s="24" customFormat="1" ht="32.4" customHeight="1" hidden="1">
      <c r="A30" s="24" t="s">
        <v>210</v>
      </c>
      <c r="B30" s="122"/>
      <c r="C30" s="134"/>
      <c r="D30" s="135"/>
      <c r="E30" s="136"/>
      <c r="F30" s="137"/>
      <c r="G30" s="138"/>
      <c r="H30" s="138"/>
      <c r="I30" s="138"/>
      <c r="J30" s="139"/>
      <c r="K30" s="129"/>
      <c r="L30" s="24"/>
      <c r="M30" s="24"/>
      <c r="N30" s="24"/>
      <c r="O30" s="24"/>
      <c r="P30" s="24"/>
      <c r="Q30" s="24"/>
      <c r="R30" s="24"/>
      <c r="S30" s="24"/>
      <c r="T30" s="24"/>
      <c r="U30" s="24"/>
      <c r="V30" s="24"/>
      <c r="W30" s="24"/>
      <c r="X30" s="24"/>
      <c r="Y30" s="24"/>
      <c r="Z30" s="24"/>
      <c r="AA30" s="24"/>
      <c r="AB30" s="24"/>
      <c r="AC30" s="24"/>
      <c r="AD30" s="24">
        <f>ROW()</f>
        <v>30</v>
      </c>
      <c r="AE30" s="24"/>
      <c r="AF30" s="24"/>
      <c r="AG30" s="24"/>
      <c r="AH30" s="24"/>
      <c r="AI30" s="24"/>
      <c r="AJ30" s="24"/>
      <c r="AK30" s="24"/>
      <c r="AL30" s="24"/>
      <c r="AM30" s="24"/>
      <c r="AN30" s="24"/>
      <c r="AO30" s="24"/>
      <c r="AP30" s="24"/>
      <c r="AQ30" s="24"/>
      <c r="AR30" s="24" t="s">
        <v>124</v>
      </c>
      <c r="AS30" s="24" t="s">
        <v>211</v>
      </c>
      <c r="AT30" s="24" t="s">
        <v>144</v>
      </c>
      <c r="AU30" s="24">
        <v>5</v>
      </c>
      <c r="AV30" s="24" t="s">
        <v>201</v>
      </c>
      <c r="AW30" s="24" t="b">
        <v>0</v>
      </c>
      <c r="AX30" s="24"/>
      <c r="AY30" s="24" t="b">
        <v>1</v>
      </c>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row>
    <row r="31" spans="1:78" s="24" customFormat="1" ht="14.5" customHeight="1" hidden="1">
      <c r="A31" s="24" t="s">
        <v>210</v>
      </c>
      <c r="B31" s="45"/>
      <c r="C31" s="45"/>
      <c r="D31" s="45"/>
      <c r="E31" s="45"/>
      <c r="F31" s="45"/>
      <c r="G31" s="45"/>
      <c r="H31" s="45"/>
      <c r="I31" s="45"/>
      <c r="J31" s="45"/>
      <c r="K31" s="24"/>
      <c r="L31" s="24"/>
      <c r="M31" s="24"/>
      <c r="N31" s="24"/>
      <c r="O31" s="24"/>
      <c r="P31" s="24"/>
      <c r="Q31" s="24"/>
      <c r="R31" s="24"/>
      <c r="S31" s="24"/>
      <c r="T31" s="24"/>
      <c r="U31" s="24"/>
      <c r="V31" s="24"/>
      <c r="W31" s="24"/>
      <c r="X31" s="24"/>
      <c r="Y31" s="24"/>
      <c r="Z31" s="24"/>
      <c r="AA31" s="24"/>
      <c r="AB31" s="24"/>
      <c r="AC31" s="24"/>
      <c r="AD31" s="24">
        <f>ROW()</f>
        <v>31</v>
      </c>
      <c r="AE31" s="24"/>
      <c r="AF31" s="24"/>
      <c r="AG31" s="24"/>
      <c r="AH31" s="24"/>
      <c r="AI31" s="24"/>
      <c r="AJ31" s="24"/>
      <c r="AK31" s="24"/>
      <c r="AL31" s="24"/>
      <c r="AM31" s="24"/>
      <c r="AN31" s="24"/>
      <c r="AO31" s="24"/>
      <c r="AP31" s="24"/>
      <c r="AQ31" s="24"/>
      <c r="AR31" s="24" t="s">
        <v>124</v>
      </c>
      <c r="AS31" s="24" t="s">
        <v>212</v>
      </c>
      <c r="AT31" s="24" t="s">
        <v>144</v>
      </c>
      <c r="AU31" s="24">
        <v>6</v>
      </c>
      <c r="AV31" s="24" t="s">
        <v>201</v>
      </c>
      <c r="AW31" s="24" t="b">
        <v>0</v>
      </c>
      <c r="AX31" s="24"/>
      <c r="AY31" s="24" t="b">
        <v>1</v>
      </c>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row>
    <row r="32" spans="1:1 30:51" ht="14.5" customHeight="1">
      <c r="A32" s="24"/>
      <c r="AD32" s="24">
        <f>ROW()</f>
        <v>32</v>
      </c>
      <c r="AR32" s="24" t="s">
        <v>124</v>
      </c>
      <c r="AS32" s="24" t="s">
        <v>213</v>
      </c>
      <c r="AT32" s="24" t="s">
        <v>144</v>
      </c>
      <c r="AU32" s="24">
        <v>7</v>
      </c>
      <c r="AV32" s="24" t="s">
        <v>201</v>
      </c>
      <c r="AW32" s="24" t="b">
        <v>0</v>
      </c>
      <c r="AY32" s="24" t="b">
        <v>1</v>
      </c>
    </row>
    <row r="33" spans="1:2 30:51" ht="14.5" customHeight="1">
      <c r="A33" s="24"/>
      <c r="B33" s="32" t="s">
        <v>214</v>
      </c>
      <c r="AD33" s="24">
        <f>ROW()</f>
        <v>33</v>
      </c>
      <c r="AR33" s="24" t="s">
        <v>124</v>
      </c>
      <c r="AS33" s="24" t="s">
        <v>215</v>
      </c>
      <c r="AT33" s="24" t="s">
        <v>144</v>
      </c>
      <c r="AU33" s="24">
        <v>8</v>
      </c>
      <c r="AV33" s="24" t="s">
        <v>201</v>
      </c>
      <c r="AW33" s="24" t="b">
        <v>0</v>
      </c>
      <c r="AY33" s="24" t="b">
        <v>1</v>
      </c>
    </row>
    <row r="34" spans="1:1 30:51" ht="14.5" customHeight="1">
      <c r="A34" s="24"/>
      <c r="AD34" s="24">
        <f>ROW()</f>
        <v>34</v>
      </c>
      <c r="AR34" s="24" t="s">
        <v>124</v>
      </c>
      <c r="AS34" s="24" t="s">
        <v>216</v>
      </c>
      <c r="AT34" s="24" t="s">
        <v>144</v>
      </c>
      <c r="AU34" s="24">
        <v>9</v>
      </c>
      <c r="AV34" s="24" t="s">
        <v>201</v>
      </c>
      <c r="AW34" s="24" t="b">
        <v>0</v>
      </c>
      <c r="AY34" s="24" t="b">
        <v>1</v>
      </c>
    </row>
    <row r="35" spans="1:2 30:51" ht="14.5" customHeight="1">
      <c r="A35" s="24"/>
      <c r="B35" s="76" t="s">
        <v>217</v>
      </c>
      <c r="AD35" s="24">
        <f>ROW()</f>
        <v>35</v>
      </c>
      <c r="AR35" s="24" t="s">
        <v>124</v>
      </c>
      <c r="AS35" s="24" t="s">
        <v>218</v>
      </c>
      <c r="AT35" s="24" t="s">
        <v>144</v>
      </c>
      <c r="AU35" s="24">
        <v>10</v>
      </c>
      <c r="AV35" s="24" t="s">
        <v>201</v>
      </c>
      <c r="AW35" s="24" t="b">
        <v>0</v>
      </c>
      <c r="AY35" s="24" t="b">
        <v>1</v>
      </c>
    </row>
    <row r="36" spans="1:51" ht="31.25" customHeight="1">
      <c r="A36" s="24"/>
      <c r="B36" s="83"/>
      <c r="C36" s="82"/>
      <c r="D36" s="82"/>
      <c r="E36" s="82"/>
      <c r="F36" s="82"/>
      <c r="G36" s="82"/>
      <c r="H36" s="82"/>
      <c r="I36" s="82"/>
      <c r="J36" s="84"/>
      <c r="AD36" s="24">
        <f>ROW()</f>
        <v>36</v>
      </c>
      <c r="AR36" s="24" t="s">
        <v>124</v>
      </c>
      <c r="AS36" s="24" t="s">
        <v>219</v>
      </c>
      <c r="AT36" s="24" t="s">
        <v>144</v>
      </c>
      <c r="AU36" s="24">
        <v>11</v>
      </c>
      <c r="AV36" s="24" t="s">
        <v>201</v>
      </c>
      <c r="AW36" s="24" t="b">
        <v>0</v>
      </c>
      <c r="AY36" s="24" t="b">
        <v>1</v>
      </c>
    </row>
    <row r="37" spans="1:51" ht="14.5" customHeight="1">
      <c r="A37" s="24"/>
      <c r="B37" s="36"/>
      <c r="C37" s="36"/>
      <c r="D37" s="36"/>
      <c r="E37" s="36"/>
      <c r="F37" s="36"/>
      <c r="G37" s="36"/>
      <c r="H37" s="36"/>
      <c r="I37" s="36"/>
      <c r="J37" s="36"/>
      <c r="AD37" s="24">
        <f>ROW()</f>
        <v>37</v>
      </c>
      <c r="AR37" s="24" t="s">
        <v>124</v>
      </c>
      <c r="AS37" s="24" t="s">
        <v>220</v>
      </c>
      <c r="AT37" s="24" t="s">
        <v>144</v>
      </c>
      <c r="AU37" s="24">
        <v>13</v>
      </c>
      <c r="AV37" s="24" t="s">
        <v>201</v>
      </c>
      <c r="AW37" s="24" t="b">
        <v>0</v>
      </c>
      <c r="AY37" s="24" t="b">
        <v>1</v>
      </c>
    </row>
    <row r="38" spans="1:2 30:51" ht="14.5" customHeight="1">
      <c r="A38" s="24"/>
      <c r="B38" s="32" t="s">
        <v>221</v>
      </c>
      <c r="AD38" s="24">
        <f>ROW()</f>
        <v>38</v>
      </c>
      <c r="AR38" s="24" t="s">
        <v>124</v>
      </c>
      <c r="AS38" s="24" t="s">
        <v>222</v>
      </c>
      <c r="AT38" s="24" t="s">
        <v>144</v>
      </c>
      <c r="AU38" s="24">
        <v>14</v>
      </c>
      <c r="AV38" s="24" t="s">
        <v>201</v>
      </c>
      <c r="AW38" s="24" t="b">
        <v>0</v>
      </c>
      <c r="AY38" s="24" t="b">
        <v>1</v>
      </c>
    </row>
    <row r="39" spans="1:1 30:51" ht="14.5" customHeight="1">
      <c r="A39" s="24"/>
      <c r="AD39" s="24">
        <f>ROW()</f>
        <v>39</v>
      </c>
      <c r="AR39" s="24" t="s">
        <v>124</v>
      </c>
      <c r="AS39" s="24" t="s">
        <v>223</v>
      </c>
      <c r="AT39" s="24" t="s">
        <v>144</v>
      </c>
      <c r="AU39" s="24">
        <v>15</v>
      </c>
      <c r="AV39" s="24" t="s">
        <v>201</v>
      </c>
      <c r="AW39" s="24" t="b">
        <v>0</v>
      </c>
      <c r="AY39" s="24" t="b">
        <v>1</v>
      </c>
    </row>
    <row r="40" spans="1:2 30:51" ht="14.5" customHeight="1">
      <c r="A40" s="24"/>
      <c r="B40" s="76" t="s">
        <v>224</v>
      </c>
      <c r="AD40" s="24">
        <f>ROW()</f>
        <v>40</v>
      </c>
      <c r="AR40" s="24" t="s">
        <v>124</v>
      </c>
      <c r="AS40" s="24" t="s">
        <v>225</v>
      </c>
      <c r="AT40" s="24" t="s">
        <v>144</v>
      </c>
      <c r="AU40" s="24">
        <v>16</v>
      </c>
      <c r="AV40" s="24" t="s">
        <v>201</v>
      </c>
      <c r="AW40" s="24" t="b">
        <v>0</v>
      </c>
      <c r="AY40" s="24" t="b">
        <v>1</v>
      </c>
    </row>
    <row r="41" spans="1:51" ht="28.25" customHeight="1">
      <c r="A41" s="24"/>
      <c r="B41" s="83"/>
      <c r="C41" s="82"/>
      <c r="D41" s="82"/>
      <c r="E41" s="82"/>
      <c r="F41" s="82"/>
      <c r="G41" s="82"/>
      <c r="H41" s="82"/>
      <c r="I41" s="82"/>
      <c r="J41" s="84"/>
      <c r="AD41" s="24">
        <f>ROW()</f>
        <v>41</v>
      </c>
      <c r="AR41" s="24" t="s">
        <v>124</v>
      </c>
      <c r="AS41" s="24" t="s">
        <v>226</v>
      </c>
      <c r="AT41" s="24" t="s">
        <v>144</v>
      </c>
      <c r="AU41" s="24">
        <v>17</v>
      </c>
      <c r="AV41" s="24" t="s">
        <v>201</v>
      </c>
      <c r="AW41" s="24" t="b">
        <v>0</v>
      </c>
      <c r="AY41" s="24" t="b">
        <v>1</v>
      </c>
    </row>
    <row r="42" spans="1:51" ht="14.5" customHeight="1">
      <c r="A42" s="24"/>
      <c r="B42" s="36"/>
      <c r="C42" s="36"/>
      <c r="D42" s="36"/>
      <c r="E42" s="36"/>
      <c r="F42" s="36"/>
      <c r="G42" s="36"/>
      <c r="H42" s="36"/>
      <c r="I42" s="36"/>
      <c r="J42" s="36"/>
      <c r="AD42" s="24">
        <f>ROW()</f>
        <v>42</v>
      </c>
      <c r="AR42" s="24" t="s">
        <v>124</v>
      </c>
      <c r="AS42" s="24" t="s">
        <v>227</v>
      </c>
      <c r="AT42" s="24" t="s">
        <v>144</v>
      </c>
      <c r="AU42" s="24">
        <v>18</v>
      </c>
      <c r="AV42" s="24" t="s">
        <v>201</v>
      </c>
      <c r="AW42" s="24" t="b">
        <v>0</v>
      </c>
      <c r="AY42" s="24" t="b">
        <v>1</v>
      </c>
    </row>
    <row r="43" spans="1:2 30:51" ht="14.5" customHeight="1">
      <c r="A43" s="24"/>
      <c r="B43" s="32" t="s">
        <v>228</v>
      </c>
      <c r="AD43" s="24">
        <f>ROW()</f>
        <v>43</v>
      </c>
      <c r="AR43" s="24" t="s">
        <v>124</v>
      </c>
      <c r="AS43" s="24" t="s">
        <v>229</v>
      </c>
      <c r="AT43" s="24" t="s">
        <v>144</v>
      </c>
      <c r="AU43" s="24">
        <v>19</v>
      </c>
      <c r="AV43" s="24" t="s">
        <v>201</v>
      </c>
      <c r="AW43" s="24" t="b">
        <v>0</v>
      </c>
      <c r="AY43" s="24" t="b">
        <v>1</v>
      </c>
    </row>
    <row r="44" spans="1:2 30:51" ht="14.5" customHeight="1">
      <c r="A44" s="24"/>
      <c r="B44" s="32"/>
      <c r="AD44" s="24">
        <f>ROW()</f>
        <v>44</v>
      </c>
      <c r="AR44" s="24" t="s">
        <v>124</v>
      </c>
      <c r="AS44" s="24" t="s">
        <v>230</v>
      </c>
      <c r="AT44" s="24" t="s">
        <v>144</v>
      </c>
      <c r="AU44" s="24">
        <v>20</v>
      </c>
      <c r="AV44" s="24" t="s">
        <v>201</v>
      </c>
      <c r="AW44" s="24" t="b">
        <v>0</v>
      </c>
      <c r="AY44" s="24" t="b">
        <v>1</v>
      </c>
    </row>
    <row r="45" spans="1:9 30:51" ht="14.5" customHeight="1">
      <c r="A45" s="24"/>
      <c r="B45" s="76" t="s">
        <v>231</v>
      </c>
      <c r="C45" s="76"/>
      <c r="D45" s="76"/>
      <c r="E45" s="76"/>
      <c r="F45" s="76"/>
      <c r="G45" s="76"/>
      <c r="H45" s="76"/>
      <c r="I45" s="76"/>
      <c r="AD45" s="24">
        <f>ROW()</f>
        <v>45</v>
      </c>
      <c r="AR45" s="24" t="s">
        <v>124</v>
      </c>
      <c r="AS45" s="24" t="s">
        <v>232</v>
      </c>
      <c r="AT45" s="24" t="s">
        <v>144</v>
      </c>
      <c r="AU45" s="24">
        <v>21</v>
      </c>
      <c r="AV45" s="24" t="s">
        <v>201</v>
      </c>
      <c r="AW45" s="24" t="b">
        <v>0</v>
      </c>
      <c r="AY45" s="24" t="b">
        <v>1</v>
      </c>
    </row>
    <row r="46" spans="1:51" ht="29.4" customHeight="1">
      <c r="A46" s="24"/>
      <c r="B46" s="102"/>
      <c r="C46" s="101"/>
      <c r="D46" s="101"/>
      <c r="E46" s="101"/>
      <c r="F46" s="101"/>
      <c r="G46" s="101"/>
      <c r="H46" s="101"/>
      <c r="I46" s="101"/>
      <c r="J46" s="103"/>
      <c r="AD46" s="24">
        <f>ROW()</f>
        <v>46</v>
      </c>
      <c r="AR46" s="24" t="s">
        <v>124</v>
      </c>
      <c r="AS46" s="24" t="s">
        <v>233</v>
      </c>
      <c r="AT46" s="24" t="s">
        <v>144</v>
      </c>
      <c r="AU46" s="24">
        <v>22</v>
      </c>
      <c r="AV46" s="24" t="s">
        <v>201</v>
      </c>
      <c r="AW46" s="24" t="b">
        <v>0</v>
      </c>
      <c r="AY46" s="24" t="b">
        <v>1</v>
      </c>
    </row>
    <row r="47" spans="1:1 30:51" ht="14.5" customHeight="1">
      <c r="A47" s="24"/>
      <c r="AD47" s="24">
        <f>ROW()</f>
        <v>47</v>
      </c>
      <c r="AR47" s="24" t="s">
        <v>124</v>
      </c>
      <c r="AS47" s="24" t="s">
        <v>93</v>
      </c>
      <c r="AT47" s="24" t="s">
        <v>144</v>
      </c>
      <c r="AU47" s="24">
        <v>2</v>
      </c>
      <c r="AV47" s="24" t="s">
        <v>234</v>
      </c>
      <c r="AW47" s="24" t="b">
        <v>0</v>
      </c>
      <c r="AY47" s="24" t="b">
        <v>0</v>
      </c>
    </row>
    <row r="48" spans="1:2 30:51" ht="14.5" customHeight="1">
      <c r="A48" s="24"/>
      <c r="B48" s="76" t="s">
        <v>235</v>
      </c>
      <c r="AD48" s="24">
        <f>ROW()</f>
        <v>48</v>
      </c>
      <c r="AR48" s="24" t="s">
        <v>108</v>
      </c>
      <c r="AS48" s="24" t="s">
        <v>93</v>
      </c>
      <c r="AT48" s="24" t="s">
        <v>113</v>
      </c>
      <c r="AU48" s="24">
        <v>0</v>
      </c>
      <c r="AV48" s="24" t="s">
        <v>111</v>
      </c>
      <c r="AW48" s="24" t="b">
        <v>0</v>
      </c>
      <c r="AY48" s="24" t="b">
        <v>0</v>
      </c>
    </row>
    <row r="49" spans="1:30" ht="27.65" customHeight="1">
      <c r="A49" s="24"/>
      <c r="B49" s="88"/>
      <c r="C49" s="87"/>
      <c r="D49" s="87"/>
      <c r="E49" s="87"/>
      <c r="F49" s="87"/>
      <c r="G49" s="87"/>
      <c r="H49" s="87"/>
      <c r="I49" s="87"/>
      <c r="J49" s="89"/>
      <c r="AD49" s="24">
        <f>ROW()</f>
        <v>49</v>
      </c>
    </row>
    <row r="50" spans="1:30" ht="14.5" customHeight="1">
      <c r="A50" s="24"/>
      <c r="B50" s="36"/>
      <c r="C50" s="36"/>
      <c r="D50" s="36"/>
      <c r="E50" s="36"/>
      <c r="F50" s="36"/>
      <c r="G50" s="36"/>
      <c r="H50" s="36"/>
      <c r="I50" s="36"/>
      <c r="J50" s="36"/>
      <c r="AD50" s="24">
        <f>ROW()</f>
        <v>50</v>
      </c>
    </row>
    <row r="51" spans="1:30" ht="14.5" customHeight="1">
      <c r="A51" s="24"/>
      <c r="B51" s="76" t="s">
        <v>236</v>
      </c>
      <c r="AD51" s="24">
        <f>ROW()</f>
        <v>51</v>
      </c>
    </row>
    <row r="52" spans="1:30" ht="28.75" customHeight="1">
      <c r="A52" s="24"/>
      <c r="B52" s="93"/>
      <c r="C52" s="92"/>
      <c r="D52" s="92"/>
      <c r="E52" s="92"/>
      <c r="F52" s="92"/>
      <c r="G52" s="92"/>
      <c r="H52" s="92"/>
      <c r="I52" s="92"/>
      <c r="J52" s="94"/>
      <c r="AD52" s="24">
        <f>ROW()</f>
        <v>52</v>
      </c>
    </row>
    <row r="53" spans="1:30" ht="14.5" customHeight="1">
      <c r="A53" s="24"/>
      <c r="B53" s="50"/>
      <c r="C53" s="50"/>
      <c r="D53" s="50"/>
      <c r="E53" s="50"/>
      <c r="F53" s="50"/>
      <c r="G53" s="50"/>
      <c r="H53" s="50"/>
      <c r="I53" s="50"/>
      <c r="J53" s="50"/>
      <c r="AD53" s="24">
        <f>ROW()</f>
        <v>53</v>
      </c>
    </row>
    <row r="54" spans="1:30" ht="14.5" customHeight="1">
      <c r="A54" s="24"/>
      <c r="B54" s="51" t="s">
        <v>237</v>
      </c>
      <c r="C54" s="50"/>
      <c r="D54" s="50"/>
      <c r="E54" s="50"/>
      <c r="F54" s="50"/>
      <c r="G54" s="50"/>
      <c r="H54" s="50"/>
      <c r="I54" s="50"/>
      <c r="J54" s="50"/>
      <c r="AA54" s="121">
        <v>2</v>
      </c>
      <c r="AB54" s="24">
        <f>IF(AC54="0",1,2)</f>
        <v>2</v>
      </c>
      <c r="AC54" s="24" t="s">
        <v>44</v>
      </c>
      <c r="AD54" s="24">
        <f>ROW()</f>
        <v>54</v>
      </c>
    </row>
    <row r="55" spans="1:30" ht="14.5" customHeight="1">
      <c r="A55" s="24"/>
      <c r="B55" s="52"/>
      <c r="C55" s="52"/>
      <c r="D55" s="52"/>
      <c r="E55" s="52"/>
      <c r="F55" s="52"/>
      <c r="G55" s="52"/>
      <c r="H55" s="52"/>
      <c r="I55" s="52"/>
      <c r="J55" s="52"/>
      <c r="AD55" s="24">
        <f>ROW()</f>
        <v>55</v>
      </c>
    </row>
    <row r="56" spans="1:78" s="24" customFormat="1" ht="14.5" customHeight="1" hidden="1">
      <c r="A56" s="24" t="s">
        <v>210</v>
      </c>
      <c r="B56" s="33" t="s">
        <v>238</v>
      </c>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f>ROW()</f>
        <v>56</v>
      </c>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row>
    <row r="57" spans="1:78" s="24" customFormat="1" ht="14.5" customHeight="1" hidden="1">
      <c r="A57" s="24" t="s">
        <v>210</v>
      </c>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f>ROW()</f>
        <v>57</v>
      </c>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row>
    <row r="58" spans="1:78" s="24" customFormat="1" ht="27.65" customHeight="1" hidden="1">
      <c r="A58" s="24" t="s">
        <v>210</v>
      </c>
      <c r="B58" s="53" t="s">
        <v>239</v>
      </c>
      <c r="C58" s="53"/>
      <c r="D58" s="53"/>
      <c r="E58" s="53"/>
      <c r="F58" s="53"/>
      <c r="G58" s="54" t="s">
        <v>240</v>
      </c>
      <c r="H58" s="55"/>
      <c r="I58" s="56" t="s">
        <v>241</v>
      </c>
      <c r="J58" s="53"/>
      <c r="K58" s="53"/>
      <c r="L58" s="53"/>
      <c r="M58" s="24"/>
      <c r="N58" s="24"/>
      <c r="O58" s="24"/>
      <c r="P58" s="24"/>
      <c r="Q58" s="24"/>
      <c r="R58" s="24"/>
      <c r="S58" s="24"/>
      <c r="T58" s="24"/>
      <c r="U58" s="24"/>
      <c r="V58" s="24"/>
      <c r="W58" s="24"/>
      <c r="X58" s="24"/>
      <c r="Y58" s="24"/>
      <c r="Z58" s="24"/>
      <c r="AA58" s="24"/>
      <c r="AB58" s="24"/>
      <c r="AC58" s="24"/>
      <c r="AD58" s="24">
        <f>ROW()</f>
        <v>58</v>
      </c>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row>
    <row r="59" spans="1:78" s="24" customFormat="1" ht="28.75" customHeight="1" hidden="1">
      <c r="A59" s="24" t="s">
        <v>210</v>
      </c>
      <c r="B59" s="53"/>
      <c r="C59" s="53"/>
      <c r="D59" s="53"/>
      <c r="E59" s="53"/>
      <c r="F59" s="53"/>
      <c r="G59" s="130"/>
      <c r="H59" s="130"/>
      <c r="I59" s="132"/>
      <c r="J59" s="132"/>
      <c r="K59" s="132"/>
      <c r="L59" s="132"/>
      <c r="M59" s="24"/>
      <c r="N59" s="24"/>
      <c r="O59" s="24"/>
      <c r="P59" s="24"/>
      <c r="Q59" s="24"/>
      <c r="R59" s="24"/>
      <c r="S59" s="24"/>
      <c r="T59" s="24"/>
      <c r="U59" s="24"/>
      <c r="V59" s="24"/>
      <c r="W59" s="24"/>
      <c r="X59" s="24"/>
      <c r="Y59" s="24"/>
      <c r="Z59" s="24"/>
      <c r="AA59" s="24"/>
      <c r="AB59" s="24"/>
      <c r="AC59" s="24"/>
      <c r="AD59" s="24">
        <f>ROW()</f>
        <v>59</v>
      </c>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row>
    <row r="60" spans="1:78" s="24" customFormat="1" ht="30" customHeight="1" hidden="1">
      <c r="A60" s="24" t="s">
        <v>210</v>
      </c>
      <c r="B60" s="57" t="s">
        <v>242</v>
      </c>
      <c r="C60" s="57"/>
      <c r="D60" s="57"/>
      <c r="E60" s="57"/>
      <c r="F60" s="57"/>
      <c r="G60" s="137"/>
      <c r="H60" s="139"/>
      <c r="I60" s="137"/>
      <c r="J60" s="138"/>
      <c r="K60" s="138"/>
      <c r="L60" s="139"/>
      <c r="M60" s="129" t="s">
        <v>243</v>
      </c>
      <c r="N60" s="24"/>
      <c r="O60" s="24"/>
      <c r="P60" s="24"/>
      <c r="Q60" s="24"/>
      <c r="R60" s="24"/>
      <c r="S60" s="24"/>
      <c r="T60" s="24"/>
      <c r="U60" s="24"/>
      <c r="V60" s="24"/>
      <c r="W60" s="24"/>
      <c r="X60" s="24"/>
      <c r="Y60" s="24"/>
      <c r="Z60" s="24"/>
      <c r="AA60" s="24"/>
      <c r="AB60" s="24"/>
      <c r="AC60" s="24"/>
      <c r="AD60" s="24">
        <f>ROW()</f>
        <v>60</v>
      </c>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row>
    <row r="61" spans="1:78" s="24" customFormat="1" ht="29.4" customHeight="1" hidden="1">
      <c r="A61" s="24" t="s">
        <v>210</v>
      </c>
      <c r="B61" s="57" t="s">
        <v>244</v>
      </c>
      <c r="C61" s="57"/>
      <c r="D61" s="57"/>
      <c r="E61" s="57"/>
      <c r="F61" s="57"/>
      <c r="G61" s="137"/>
      <c r="H61" s="139"/>
      <c r="I61" s="137"/>
      <c r="J61" s="138"/>
      <c r="K61" s="138"/>
      <c r="L61" s="139"/>
      <c r="M61" s="24"/>
      <c r="N61" s="24"/>
      <c r="O61" s="24"/>
      <c r="P61" s="24"/>
      <c r="Q61" s="24"/>
      <c r="R61" s="24"/>
      <c r="S61" s="24"/>
      <c r="T61" s="24"/>
      <c r="U61" s="24"/>
      <c r="V61" s="24"/>
      <c r="W61" s="24"/>
      <c r="X61" s="24"/>
      <c r="Y61" s="24"/>
      <c r="Z61" s="24"/>
      <c r="AA61" s="24"/>
      <c r="AB61" s="24"/>
      <c r="AC61" s="24"/>
      <c r="AD61" s="24">
        <f>ROW()</f>
        <v>61</v>
      </c>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row>
    <row r="62" spans="1:78" s="24" customFormat="1" ht="28.25" customHeight="1" hidden="1">
      <c r="A62" s="24" t="s">
        <v>210</v>
      </c>
      <c r="B62" s="57" t="s">
        <v>245</v>
      </c>
      <c r="C62" s="57"/>
      <c r="D62" s="57"/>
      <c r="E62" s="57"/>
      <c r="F62" s="57"/>
      <c r="G62" s="137"/>
      <c r="H62" s="139"/>
      <c r="I62" s="137"/>
      <c r="J62" s="138"/>
      <c r="K62" s="138"/>
      <c r="L62" s="139"/>
      <c r="M62" s="24"/>
      <c r="N62" s="24"/>
      <c r="O62" s="24"/>
      <c r="P62" s="24"/>
      <c r="Q62" s="24"/>
      <c r="R62" s="24"/>
      <c r="S62" s="24"/>
      <c r="T62" s="24"/>
      <c r="U62" s="24"/>
      <c r="V62" s="24"/>
      <c r="W62" s="24"/>
      <c r="X62" s="24"/>
      <c r="Y62" s="24"/>
      <c r="Z62" s="24"/>
      <c r="AA62" s="24"/>
      <c r="AB62" s="24"/>
      <c r="AC62" s="24"/>
      <c r="AD62" s="24">
        <f>ROW()</f>
        <v>62</v>
      </c>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row>
    <row r="63" spans="1:78" s="24" customFormat="1" ht="28.75" customHeight="1" hidden="1">
      <c r="A63" s="24" t="s">
        <v>210</v>
      </c>
      <c r="B63" s="57" t="s">
        <v>246</v>
      </c>
      <c r="C63" s="57"/>
      <c r="D63" s="57"/>
      <c r="E63" s="57"/>
      <c r="F63" s="57"/>
      <c r="G63" s="137"/>
      <c r="H63" s="139"/>
      <c r="I63" s="137"/>
      <c r="J63" s="138"/>
      <c r="K63" s="138"/>
      <c r="L63" s="139"/>
      <c r="M63" s="24"/>
      <c r="N63" s="24"/>
      <c r="O63" s="24"/>
      <c r="P63" s="24"/>
      <c r="Q63" s="24"/>
      <c r="R63" s="24"/>
      <c r="S63" s="24"/>
      <c r="T63" s="24"/>
      <c r="U63" s="24"/>
      <c r="V63" s="24"/>
      <c r="W63" s="24"/>
      <c r="X63" s="24"/>
      <c r="Y63" s="24"/>
      <c r="Z63" s="24"/>
      <c r="AA63" s="24"/>
      <c r="AB63" s="24"/>
      <c r="AC63" s="24"/>
      <c r="AD63" s="24">
        <f>ROW()</f>
        <v>63</v>
      </c>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row>
    <row r="64" spans="1:78" s="24" customFormat="1" ht="27.65" customHeight="1" hidden="1">
      <c r="A64" s="24" t="s">
        <v>210</v>
      </c>
      <c r="B64" s="57" t="s">
        <v>247</v>
      </c>
      <c r="C64" s="57"/>
      <c r="D64" s="57"/>
      <c r="E64" s="57"/>
      <c r="F64" s="57"/>
      <c r="G64" s="137"/>
      <c r="H64" s="139"/>
      <c r="I64" s="137"/>
      <c r="J64" s="138"/>
      <c r="K64" s="138"/>
      <c r="L64" s="139"/>
      <c r="M64" s="24"/>
      <c r="N64" s="24"/>
      <c r="O64" s="24"/>
      <c r="P64" s="24"/>
      <c r="Q64" s="24"/>
      <c r="R64" s="24"/>
      <c r="S64" s="24"/>
      <c r="T64" s="24"/>
      <c r="U64" s="24"/>
      <c r="V64" s="24"/>
      <c r="W64" s="24"/>
      <c r="X64" s="24"/>
      <c r="Y64" s="24"/>
      <c r="Z64" s="24"/>
      <c r="AA64" s="24"/>
      <c r="AB64" s="24"/>
      <c r="AC64" s="24"/>
      <c r="AD64" s="24">
        <f>ROW()</f>
        <v>64</v>
      </c>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row>
    <row r="65" spans="1:78" s="24" customFormat="1" ht="27.65" customHeight="1" hidden="1">
      <c r="A65" s="24" t="s">
        <v>210</v>
      </c>
      <c r="B65" s="57" t="s">
        <v>248</v>
      </c>
      <c r="C65" s="57"/>
      <c r="D65" s="57"/>
      <c r="E65" s="57"/>
      <c r="F65" s="57"/>
      <c r="G65" s="137"/>
      <c r="H65" s="139"/>
      <c r="I65" s="137"/>
      <c r="J65" s="138"/>
      <c r="K65" s="138"/>
      <c r="L65" s="139"/>
      <c r="M65" s="24"/>
      <c r="N65" s="24"/>
      <c r="O65" s="24"/>
      <c r="P65" s="24"/>
      <c r="Q65" s="24"/>
      <c r="R65" s="24"/>
      <c r="S65" s="24"/>
      <c r="T65" s="24"/>
      <c r="U65" s="24"/>
      <c r="V65" s="24"/>
      <c r="W65" s="24"/>
      <c r="X65" s="24"/>
      <c r="Y65" s="24"/>
      <c r="Z65" s="24"/>
      <c r="AA65" s="24"/>
      <c r="AB65" s="24"/>
      <c r="AC65" s="24"/>
      <c r="AD65" s="24">
        <f>ROW()</f>
        <v>65</v>
      </c>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row>
    <row r="66" spans="1:78" s="24" customFormat="1" ht="29.4" customHeight="1" hidden="1">
      <c r="A66" s="24" t="s">
        <v>210</v>
      </c>
      <c r="B66" s="57" t="s">
        <v>249</v>
      </c>
      <c r="C66" s="57"/>
      <c r="D66" s="57"/>
      <c r="E66" s="57"/>
      <c r="F66" s="57"/>
      <c r="G66" s="137"/>
      <c r="H66" s="139"/>
      <c r="I66" s="137"/>
      <c r="J66" s="138"/>
      <c r="K66" s="138"/>
      <c r="L66" s="139"/>
      <c r="M66" s="24"/>
      <c r="N66" s="24"/>
      <c r="O66" s="24"/>
      <c r="P66" s="24"/>
      <c r="Q66" s="24"/>
      <c r="R66" s="24"/>
      <c r="S66" s="24"/>
      <c r="T66" s="24"/>
      <c r="U66" s="24"/>
      <c r="V66" s="24"/>
      <c r="W66" s="24"/>
      <c r="X66" s="24"/>
      <c r="Y66" s="24"/>
      <c r="Z66" s="24"/>
      <c r="AA66" s="24"/>
      <c r="AB66" s="24"/>
      <c r="AC66" s="24"/>
      <c r="AD66" s="24">
        <f>ROW()</f>
        <v>66</v>
      </c>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row>
    <row r="67" spans="1:78" s="24" customFormat="1" ht="29.4" customHeight="1" hidden="1">
      <c r="A67" s="24" t="s">
        <v>210</v>
      </c>
      <c r="B67" s="57" t="s">
        <v>250</v>
      </c>
      <c r="C67" s="57"/>
      <c r="D67" s="57"/>
      <c r="E67" s="57"/>
      <c r="F67" s="57"/>
      <c r="G67" s="137"/>
      <c r="H67" s="139"/>
      <c r="I67" s="137"/>
      <c r="J67" s="138"/>
      <c r="K67" s="138"/>
      <c r="L67" s="139"/>
      <c r="M67" s="24"/>
      <c r="N67" s="24"/>
      <c r="O67" s="24"/>
      <c r="P67" s="24"/>
      <c r="Q67" s="24"/>
      <c r="R67" s="24"/>
      <c r="S67" s="24"/>
      <c r="T67" s="24"/>
      <c r="U67" s="24"/>
      <c r="V67" s="24"/>
      <c r="W67" s="24"/>
      <c r="X67" s="24"/>
      <c r="Y67" s="24"/>
      <c r="Z67" s="24"/>
      <c r="AA67" s="24"/>
      <c r="AB67" s="24"/>
      <c r="AC67" s="24"/>
      <c r="AD67" s="24">
        <f>ROW()</f>
        <v>67</v>
      </c>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row>
    <row r="68" spans="1:78" s="24" customFormat="1" ht="28.75" customHeight="1" hidden="1">
      <c r="A68" s="24" t="s">
        <v>210</v>
      </c>
      <c r="B68" s="57" t="s">
        <v>251</v>
      </c>
      <c r="C68" s="57"/>
      <c r="D68" s="57"/>
      <c r="E68" s="57"/>
      <c r="F68" s="57"/>
      <c r="G68" s="137"/>
      <c r="H68" s="139"/>
      <c r="I68" s="137"/>
      <c r="J68" s="138"/>
      <c r="K68" s="138"/>
      <c r="L68" s="139"/>
      <c r="M68" s="24"/>
      <c r="N68" s="24"/>
      <c r="O68" s="24"/>
      <c r="P68" s="24"/>
      <c r="Q68" s="24"/>
      <c r="R68" s="24"/>
      <c r="S68" s="24"/>
      <c r="T68" s="24"/>
      <c r="U68" s="24"/>
      <c r="V68" s="24"/>
      <c r="W68" s="24"/>
      <c r="X68" s="24"/>
      <c r="Y68" s="24"/>
      <c r="Z68" s="24"/>
      <c r="AA68" s="24"/>
      <c r="AB68" s="24"/>
      <c r="AC68" s="24"/>
      <c r="AD68" s="24">
        <f>ROW()</f>
        <v>68</v>
      </c>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row>
    <row r="69" spans="1:78" s="24" customFormat="1" ht="29.4" customHeight="1" hidden="1">
      <c r="A69" s="24" t="s">
        <v>210</v>
      </c>
      <c r="B69" s="57" t="s">
        <v>252</v>
      </c>
      <c r="C69" s="57"/>
      <c r="D69" s="57"/>
      <c r="E69" s="57"/>
      <c r="F69" s="57"/>
      <c r="G69" s="137"/>
      <c r="H69" s="139"/>
      <c r="I69" s="137"/>
      <c r="J69" s="138"/>
      <c r="K69" s="138"/>
      <c r="L69" s="139"/>
      <c r="M69" s="24"/>
      <c r="N69" s="24"/>
      <c r="O69" s="24"/>
      <c r="P69" s="24"/>
      <c r="Q69" s="24"/>
      <c r="R69" s="24"/>
      <c r="S69" s="24"/>
      <c r="T69" s="24"/>
      <c r="U69" s="24"/>
      <c r="V69" s="24"/>
      <c r="W69" s="24"/>
      <c r="X69" s="24"/>
      <c r="Y69" s="24"/>
      <c r="Z69" s="24"/>
      <c r="AA69" s="24"/>
      <c r="AB69" s="24"/>
      <c r="AC69" s="24"/>
      <c r="AD69" s="24">
        <f>ROW()</f>
        <v>69</v>
      </c>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row>
    <row r="70" spans="1:78" s="24" customFormat="1" ht="28.25" customHeight="1" hidden="1">
      <c r="A70" s="24" t="s">
        <v>210</v>
      </c>
      <c r="B70" s="57" t="s">
        <v>253</v>
      </c>
      <c r="C70" s="57"/>
      <c r="D70" s="57"/>
      <c r="E70" s="57"/>
      <c r="F70" s="57"/>
      <c r="G70" s="137"/>
      <c r="H70" s="139"/>
      <c r="I70" s="137"/>
      <c r="J70" s="138"/>
      <c r="K70" s="138"/>
      <c r="L70" s="139"/>
      <c r="M70" s="24"/>
      <c r="N70" s="24"/>
      <c r="O70" s="24"/>
      <c r="P70" s="24"/>
      <c r="Q70" s="24"/>
      <c r="R70" s="24"/>
      <c r="S70" s="24"/>
      <c r="T70" s="24"/>
      <c r="U70" s="24"/>
      <c r="V70" s="24"/>
      <c r="W70" s="24"/>
      <c r="X70" s="24"/>
      <c r="Y70" s="24"/>
      <c r="Z70" s="24"/>
      <c r="AA70" s="24"/>
      <c r="AB70" s="24"/>
      <c r="AC70" s="24"/>
      <c r="AD70" s="24">
        <f>ROW()</f>
        <v>70</v>
      </c>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row>
    <row r="71" spans="1:78" s="24" customFormat="1" ht="27.65" customHeight="1" hidden="1">
      <c r="A71" s="24" t="s">
        <v>210</v>
      </c>
      <c r="B71" s="57" t="s">
        <v>254</v>
      </c>
      <c r="C71" s="57"/>
      <c r="D71" s="57"/>
      <c r="E71" s="57"/>
      <c r="F71" s="57"/>
      <c r="G71" s="137"/>
      <c r="H71" s="139"/>
      <c r="I71" s="137"/>
      <c r="J71" s="138"/>
      <c r="K71" s="138"/>
      <c r="L71" s="139"/>
      <c r="M71" s="24"/>
      <c r="N71" s="24"/>
      <c r="O71" s="24"/>
      <c r="P71" s="24"/>
      <c r="Q71" s="24"/>
      <c r="R71" s="24"/>
      <c r="S71" s="24"/>
      <c r="T71" s="24"/>
      <c r="U71" s="24"/>
      <c r="V71" s="24"/>
      <c r="W71" s="24"/>
      <c r="X71" s="24"/>
      <c r="Y71" s="24"/>
      <c r="Z71" s="24"/>
      <c r="AA71" s="24"/>
      <c r="AB71" s="24"/>
      <c r="AC71" s="24"/>
      <c r="AD71" s="24">
        <f>ROW()</f>
        <v>71</v>
      </c>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row>
    <row r="72" spans="1:78" s="24" customFormat="1" ht="28.25" customHeight="1" hidden="1">
      <c r="A72" s="24" t="s">
        <v>210</v>
      </c>
      <c r="B72" s="57" t="s">
        <v>255</v>
      </c>
      <c r="C72" s="57"/>
      <c r="D72" s="57"/>
      <c r="E72" s="57"/>
      <c r="F72" s="57"/>
      <c r="G72" s="137"/>
      <c r="H72" s="139"/>
      <c r="I72" s="137"/>
      <c r="J72" s="138"/>
      <c r="K72" s="138"/>
      <c r="L72" s="139"/>
      <c r="M72" s="24"/>
      <c r="N72" s="24"/>
      <c r="O72" s="24"/>
      <c r="P72" s="24"/>
      <c r="Q72" s="24"/>
      <c r="R72" s="24"/>
      <c r="S72" s="24"/>
      <c r="T72" s="24"/>
      <c r="U72" s="24"/>
      <c r="V72" s="24"/>
      <c r="W72" s="24"/>
      <c r="X72" s="24"/>
      <c r="Y72" s="24"/>
      <c r="Z72" s="24"/>
      <c r="AA72" s="24"/>
      <c r="AB72" s="24"/>
      <c r="AC72" s="24"/>
      <c r="AD72" s="24">
        <f>ROW()</f>
        <v>72</v>
      </c>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row>
    <row r="73" spans="1:78" s="24" customFormat="1" ht="28.25" customHeight="1" hidden="1">
      <c r="A73" s="24" t="s">
        <v>210</v>
      </c>
      <c r="B73" s="57" t="s">
        <v>256</v>
      </c>
      <c r="C73" s="57"/>
      <c r="D73" s="57"/>
      <c r="E73" s="57"/>
      <c r="F73" s="57"/>
      <c r="G73" s="137"/>
      <c r="H73" s="139"/>
      <c r="I73" s="137"/>
      <c r="J73" s="138"/>
      <c r="K73" s="138"/>
      <c r="L73" s="139"/>
      <c r="M73" s="24"/>
      <c r="N73" s="24"/>
      <c r="O73" s="24"/>
      <c r="P73" s="24"/>
      <c r="Q73" s="24"/>
      <c r="R73" s="24"/>
      <c r="S73" s="24"/>
      <c r="T73" s="24"/>
      <c r="U73" s="24"/>
      <c r="V73" s="24"/>
      <c r="W73" s="24"/>
      <c r="X73" s="24"/>
      <c r="Y73" s="24"/>
      <c r="Z73" s="24"/>
      <c r="AA73" s="24"/>
      <c r="AB73" s="24"/>
      <c r="AC73" s="24"/>
      <c r="AD73" s="24">
        <f>ROW()</f>
        <v>73</v>
      </c>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row>
    <row r="74" spans="1:78" s="24" customFormat="1" ht="28.25" customHeight="1" hidden="1">
      <c r="A74" s="24" t="s">
        <v>210</v>
      </c>
      <c r="B74" s="57" t="s">
        <v>257</v>
      </c>
      <c r="C74" s="57"/>
      <c r="D74" s="57"/>
      <c r="E74" s="57"/>
      <c r="F74" s="57"/>
      <c r="G74" s="137"/>
      <c r="H74" s="139"/>
      <c r="I74" s="137"/>
      <c r="J74" s="138"/>
      <c r="K74" s="138"/>
      <c r="L74" s="139"/>
      <c r="M74" s="24"/>
      <c r="N74" s="24"/>
      <c r="O74" s="24"/>
      <c r="P74" s="24"/>
      <c r="Q74" s="24"/>
      <c r="R74" s="24"/>
      <c r="S74" s="24"/>
      <c r="T74" s="24"/>
      <c r="U74" s="24"/>
      <c r="V74" s="24"/>
      <c r="W74" s="24"/>
      <c r="X74" s="24"/>
      <c r="Y74" s="24"/>
      <c r="Z74" s="24"/>
      <c r="AA74" s="24"/>
      <c r="AB74" s="24"/>
      <c r="AC74" s="24"/>
      <c r="AD74" s="24">
        <f>ROW()</f>
        <v>74</v>
      </c>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row>
    <row r="75" spans="1:78" s="24" customFormat="1" ht="28.75" customHeight="1" hidden="1">
      <c r="A75" s="24" t="s">
        <v>210</v>
      </c>
      <c r="B75" s="57" t="s">
        <v>258</v>
      </c>
      <c r="C75" s="57"/>
      <c r="D75" s="57"/>
      <c r="E75" s="57"/>
      <c r="F75" s="57"/>
      <c r="G75" s="137"/>
      <c r="H75" s="139"/>
      <c r="I75" s="137"/>
      <c r="J75" s="138"/>
      <c r="K75" s="138"/>
      <c r="L75" s="139"/>
      <c r="M75" s="24"/>
      <c r="N75" s="24"/>
      <c r="O75" s="24"/>
      <c r="P75" s="24"/>
      <c r="Q75" s="24"/>
      <c r="R75" s="24"/>
      <c r="S75" s="24"/>
      <c r="T75" s="24"/>
      <c r="U75" s="24"/>
      <c r="V75" s="24"/>
      <c r="W75" s="24"/>
      <c r="X75" s="24"/>
      <c r="Y75" s="24"/>
      <c r="Z75" s="24"/>
      <c r="AA75" s="24"/>
      <c r="AB75" s="24"/>
      <c r="AC75" s="24"/>
      <c r="AD75" s="24">
        <f>ROW()</f>
        <v>75</v>
      </c>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row>
    <row r="76" spans="1:78" s="24" customFormat="1" ht="29.4" customHeight="1" hidden="1">
      <c r="A76" s="24" t="s">
        <v>210</v>
      </c>
      <c r="B76" s="57" t="s">
        <v>259</v>
      </c>
      <c r="C76" s="57"/>
      <c r="D76" s="57"/>
      <c r="E76" s="57"/>
      <c r="F76" s="57"/>
      <c r="G76" s="137"/>
      <c r="H76" s="139"/>
      <c r="I76" s="137"/>
      <c r="J76" s="138"/>
      <c r="K76" s="138"/>
      <c r="L76" s="139"/>
      <c r="M76" s="24"/>
      <c r="N76" s="24"/>
      <c r="O76" s="24"/>
      <c r="P76" s="24"/>
      <c r="Q76" s="24"/>
      <c r="R76" s="24"/>
      <c r="S76" s="24"/>
      <c r="T76" s="24"/>
      <c r="U76" s="24"/>
      <c r="V76" s="24"/>
      <c r="W76" s="24"/>
      <c r="X76" s="24"/>
      <c r="Y76" s="24"/>
      <c r="Z76" s="24"/>
      <c r="AA76" s="24"/>
      <c r="AB76" s="24"/>
      <c r="AC76" s="24"/>
      <c r="AD76" s="24">
        <f>ROW()</f>
        <v>76</v>
      </c>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row>
    <row r="77" spans="1:78" s="24" customFormat="1" ht="29.4" customHeight="1" hidden="1">
      <c r="A77" s="24" t="s">
        <v>210</v>
      </c>
      <c r="B77" s="57" t="s">
        <v>260</v>
      </c>
      <c r="C77" s="57"/>
      <c r="D77" s="57"/>
      <c r="E77" s="57"/>
      <c r="F77" s="57"/>
      <c r="G77" s="137"/>
      <c r="H77" s="139"/>
      <c r="I77" s="137"/>
      <c r="J77" s="138"/>
      <c r="K77" s="138"/>
      <c r="L77" s="139"/>
      <c r="M77" s="24"/>
      <c r="N77" s="24"/>
      <c r="O77" s="24"/>
      <c r="P77" s="24"/>
      <c r="Q77" s="24"/>
      <c r="R77" s="24"/>
      <c r="S77" s="24"/>
      <c r="T77" s="24"/>
      <c r="U77" s="24"/>
      <c r="V77" s="24"/>
      <c r="W77" s="24"/>
      <c r="X77" s="24"/>
      <c r="Y77" s="24"/>
      <c r="Z77" s="24"/>
      <c r="AA77" s="24"/>
      <c r="AB77" s="24"/>
      <c r="AC77" s="24"/>
      <c r="AD77" s="24">
        <f>ROW()</f>
        <v>77</v>
      </c>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row>
    <row r="78" spans="1:78" s="24" customFormat="1" ht="29" customHeight="1" hidden="1">
      <c r="A78" s="24" t="s">
        <v>210</v>
      </c>
      <c r="B78" s="57" t="s">
        <v>261</v>
      </c>
      <c r="C78" s="57"/>
      <c r="D78" s="57"/>
      <c r="E78" s="57"/>
      <c r="F78" s="57"/>
      <c r="G78" s="137"/>
      <c r="H78" s="139"/>
      <c r="I78" s="137"/>
      <c r="J78" s="138"/>
      <c r="K78" s="138"/>
      <c r="L78" s="139"/>
      <c r="M78" s="24"/>
      <c r="N78" s="24"/>
      <c r="O78" s="24"/>
      <c r="P78" s="24"/>
      <c r="Q78" s="24"/>
      <c r="R78" s="24"/>
      <c r="S78" s="24"/>
      <c r="T78" s="24"/>
      <c r="U78" s="24"/>
      <c r="V78" s="24"/>
      <c r="W78" s="24"/>
      <c r="X78" s="24"/>
      <c r="Y78" s="24"/>
      <c r="Z78" s="24"/>
      <c r="AA78" s="24"/>
      <c r="AB78" s="24"/>
      <c r="AC78" s="24"/>
      <c r="AD78" s="24">
        <f>ROW()</f>
        <v>78</v>
      </c>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row>
    <row r="79" spans="1:78" s="24" customFormat="1" ht="29" customHeight="1" hidden="1">
      <c r="A79" s="24" t="s">
        <v>210</v>
      </c>
      <c r="B79" s="57" t="s">
        <v>262</v>
      </c>
      <c r="C79" s="57"/>
      <c r="D79" s="57"/>
      <c r="E79" s="57"/>
      <c r="F79" s="57"/>
      <c r="G79" s="137"/>
      <c r="H79" s="139"/>
      <c r="I79" s="137"/>
      <c r="J79" s="138"/>
      <c r="K79" s="138"/>
      <c r="L79" s="139"/>
      <c r="M79" s="24"/>
      <c r="N79" s="24"/>
      <c r="O79" s="24"/>
      <c r="P79" s="24"/>
      <c r="Q79" s="24"/>
      <c r="R79" s="24"/>
      <c r="S79" s="24"/>
      <c r="T79" s="24"/>
      <c r="U79" s="24"/>
      <c r="V79" s="24"/>
      <c r="W79" s="24"/>
      <c r="X79" s="24"/>
      <c r="Y79" s="24"/>
      <c r="Z79" s="24"/>
      <c r="AA79" s="24"/>
      <c r="AB79" s="24"/>
      <c r="AC79" s="24"/>
      <c r="AD79" s="24">
        <f>ROW()</f>
        <v>79</v>
      </c>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row>
    <row r="80" spans="1:78" s="24" customFormat="1" ht="29" customHeight="1" hidden="1">
      <c r="A80" s="24" t="s">
        <v>210</v>
      </c>
      <c r="B80" s="57" t="s">
        <v>263</v>
      </c>
      <c r="C80" s="57"/>
      <c r="D80" s="57"/>
      <c r="E80" s="57"/>
      <c r="F80" s="57"/>
      <c r="G80" s="137"/>
      <c r="H80" s="139"/>
      <c r="I80" s="137"/>
      <c r="J80" s="138"/>
      <c r="K80" s="138"/>
      <c r="L80" s="139"/>
      <c r="M80" s="33"/>
      <c r="N80" s="24"/>
      <c r="O80" s="24"/>
      <c r="P80" s="24"/>
      <c r="Q80" s="24"/>
      <c r="R80" s="24"/>
      <c r="S80" s="24"/>
      <c r="T80" s="24"/>
      <c r="U80" s="24"/>
      <c r="V80" s="24"/>
      <c r="W80" s="24"/>
      <c r="X80" s="24"/>
      <c r="Y80" s="24"/>
      <c r="Z80" s="24"/>
      <c r="AA80" s="24"/>
      <c r="AB80" s="24"/>
      <c r="AC80" s="24"/>
      <c r="AD80" s="24">
        <f>ROW()</f>
        <v>80</v>
      </c>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row>
    <row r="81" spans="1:78" s="24" customFormat="1" ht="28.25" customHeight="1" hidden="1">
      <c r="A81" s="24" t="s">
        <v>210</v>
      </c>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f>ROW()</f>
        <v>81</v>
      </c>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row>
    <row r="82" spans="1:30" ht="14.5">
      <c r="A82" s="24"/>
      <c r="B82" s="76" t="s">
        <v>264</v>
      </c>
      <c r="AD82" s="24">
        <f>ROW()</f>
        <v>82</v>
      </c>
    </row>
    <row r="83" spans="1:30" ht="14.5">
      <c r="A83" s="24"/>
      <c r="B83" s="98"/>
      <c r="C83" s="97"/>
      <c r="D83" s="97"/>
      <c r="E83" s="97"/>
      <c r="F83" s="97"/>
      <c r="G83" s="97"/>
      <c r="H83" s="97"/>
      <c r="I83" s="97"/>
      <c r="J83" s="79"/>
      <c r="AD83" s="24">
        <f>ROW()</f>
        <v>83</v>
      </c>
    </row>
    <row r="84" spans="1:30" ht="14.5">
      <c r="A84" s="24"/>
      <c r="AD84" s="24">
        <f>ROW()</f>
        <v>84</v>
      </c>
    </row>
    <row r="85" spans="2:30" ht="14.5">
      <c r="B85" s="61" t="s">
        <v>265</v>
      </c>
      <c r="AD85" s="24">
        <f>ROW()</f>
        <v>85</v>
      </c>
    </row>
    <row r="86" spans="30:30" ht="14.5">
      <c r="AD86" s="24">
        <f>ROW()</f>
        <v>86</v>
      </c>
    </row>
    <row r="87" spans="2:30" ht="14.5">
      <c r="B87" s="62" t="s">
        <v>266</v>
      </c>
      <c r="AD87" s="24">
        <f>ROW()</f>
        <v>87</v>
      </c>
    </row>
    <row r="88" spans="2:30" ht="14.5">
      <c r="B88" s="63" t="s">
        <v>267</v>
      </c>
      <c r="AD88" s="24">
        <f>ROW()</f>
        <v>88</v>
      </c>
    </row>
    <row r="89" spans="30:30" ht="14.5">
      <c r="AD89" s="24">
        <f>ROW()</f>
        <v>89</v>
      </c>
    </row>
    <row r="90" spans="2:30" ht="14.5">
      <c r="B90" s="64" t="s">
        <v>268</v>
      </c>
      <c r="AD90" s="24">
        <f>ROW()</f>
        <v>90</v>
      </c>
    </row>
    <row r="91" spans="30:30" ht="14.5">
      <c r="AD91" s="24">
        <f>ROW()</f>
        <v>91</v>
      </c>
    </row>
    <row r="92" spans="2:30" ht="14.5">
      <c r="B92" s="65" t="s">
        <v>269</v>
      </c>
      <c r="J92" s="114" t="s">
        <v>270</v>
      </c>
      <c r="K92" s="113"/>
      <c r="L92" s="115"/>
      <c r="AD92" s="24">
        <f>ROW()</f>
        <v>92</v>
      </c>
    </row>
    <row r="93" spans="30:30" ht="14.5">
      <c r="AD93" s="24">
        <f>ROW()</f>
        <v>93</v>
      </c>
    </row>
    <row r="94" spans="2:30" ht="14.5">
      <c r="B94" s="67" t="s">
        <v>271</v>
      </c>
      <c r="J94" s="119"/>
      <c r="K94" s="118"/>
      <c r="L94" s="120"/>
      <c r="AD94" s="24">
        <f>ROW()</f>
        <v>94</v>
      </c>
    </row>
    <row r="95" spans="30:30" ht="14.5">
      <c r="AD95" s="24">
        <f>ROW()</f>
        <v>95</v>
      </c>
    </row>
    <row r="96" spans="2:30" ht="14.5">
      <c r="B96" s="67" t="s">
        <v>272</v>
      </c>
      <c r="AA96" s="104"/>
      <c r="AD96" s="24">
        <f>ROW()</f>
        <v>96</v>
      </c>
    </row>
    <row r="97" spans="2:30" ht="14.5">
      <c r="B97" s="71" t="s">
        <v>273</v>
      </c>
      <c r="AD97" s="24">
        <f>ROW()</f>
        <v>97</v>
      </c>
    </row>
    <row r="98" spans="30:30" ht="14.5">
      <c r="AD98" s="24">
        <f>ROW()</f>
        <v>98</v>
      </c>
    </row>
    <row r="99" spans="2:30" ht="14.5">
      <c r="B99" s="67" t="s">
        <v>274</v>
      </c>
      <c r="J99" s="108"/>
      <c r="K99" s="107"/>
      <c r="L99" s="109"/>
      <c r="AD99" s="24">
        <f>ROW()</f>
        <v>99</v>
      </c>
    </row>
    <row r="100" spans="2:30" ht="14.5">
      <c r="B100" s="67" t="s">
        <v>275</v>
      </c>
      <c r="AD100" s="24">
        <f>ROW()</f>
        <v>100</v>
      </c>
    </row>
    <row r="101" spans="30:30" ht="14.5">
      <c r="AD101" s="24">
        <f>ROW()</f>
        <v>101</v>
      </c>
    </row>
    <row r="102" spans="2:30" ht="14.5">
      <c r="B102" s="72" t="s">
        <v>276</v>
      </c>
      <c r="AD102" s="24">
        <f>ROW()</f>
        <v>102</v>
      </c>
    </row>
    <row r="103" spans="2:30" ht="14.5">
      <c r="B103" s="73" t="s">
        <v>277</v>
      </c>
      <c r="AD103" s="24">
        <f>ROW()</f>
        <v>103</v>
      </c>
    </row>
    <row r="104" spans="30:30" ht="14.5">
      <c r="AD104" s="24">
        <f>ROW()</f>
        <v>104</v>
      </c>
    </row>
    <row r="105" spans="30:30" ht="14.5">
      <c r="AD105" s="24">
        <f>ROW()</f>
        <v>105</v>
      </c>
    </row>
    <row r="106" spans="30:30" ht="14.5">
      <c r="AD106" s="24">
        <f>ROW()</f>
        <v>106</v>
      </c>
    </row>
    <row r="107" spans="30:30" ht="14.5">
      <c r="AD107" s="24">
        <f>ROW()</f>
        <v>107</v>
      </c>
    </row>
    <row r="108" spans="30:30" ht="14.5">
      <c r="AD108" s="24">
        <f>ROW()</f>
        <v>108</v>
      </c>
    </row>
    <row r="109" spans="30:30" ht="14.5">
      <c r="AD109" s="24">
        <f>ROW()</f>
        <v>109</v>
      </c>
    </row>
    <row r="110" spans="30:30" ht="14.5">
      <c r="AD110" s="24">
        <f>ROW()</f>
        <v>110</v>
      </c>
    </row>
    <row r="111" spans="30:30" ht="14.5">
      <c r="AD111" s="24">
        <f>ROW()</f>
        <v>111</v>
      </c>
    </row>
    <row r="112" spans="30:30" ht="14.5">
      <c r="AD112" s="24">
        <f>ROW()</f>
        <v>112</v>
      </c>
    </row>
    <row r="113" spans="30:30" ht="14.5">
      <c r="AD113" s="24">
        <f>ROW()</f>
        <v>113</v>
      </c>
    </row>
    <row r="114" spans="30:30" ht="14.5">
      <c r="AD114" s="24">
        <f>ROW()</f>
        <v>114</v>
      </c>
    </row>
    <row r="115" spans="30:30" ht="14.5">
      <c r="AD115" s="24">
        <f>ROW()</f>
        <v>115</v>
      </c>
    </row>
    <row r="116" spans="30:30" ht="14.5">
      <c r="AD116" s="24">
        <f>ROW()</f>
        <v>116</v>
      </c>
    </row>
    <row r="117" spans="30:30" ht="14.5">
      <c r="AD117" s="24">
        <f>ROW()</f>
        <v>117</v>
      </c>
    </row>
    <row r="118" spans="30:30" ht="14.5">
      <c r="AD118" s="24">
        <f>ROW()</f>
        <v>118</v>
      </c>
    </row>
    <row r="119" spans="30:30" ht="14.5">
      <c r="AD119" s="24">
        <f>ROW()</f>
        <v>119</v>
      </c>
    </row>
    <row r="120" spans="30:30" ht="14.5">
      <c r="AD120" s="24">
        <f>ROW()</f>
        <v>120</v>
      </c>
    </row>
    <row r="121" spans="30:30" ht="14.5">
      <c r="AD121" s="24">
        <f>ROW()</f>
        <v>121</v>
      </c>
    </row>
    <row r="122" spans="30:30" ht="14.5">
      <c r="AD122" s="24">
        <f>ROW()</f>
        <v>122</v>
      </c>
    </row>
    <row r="123" spans="30:30" ht="14.5">
      <c r="AD123" s="24">
        <f>ROW()</f>
        <v>123</v>
      </c>
    </row>
    <row r="124" spans="30:30" ht="14.5">
      <c r="AD124" s="24">
        <f>ROW()</f>
        <v>124</v>
      </c>
    </row>
    <row r="125" spans="30:30" ht="14.5">
      <c r="AD125" s="24">
        <f>ROW()</f>
        <v>125</v>
      </c>
    </row>
    <row r="126" spans="30:30" ht="14.5">
      <c r="AD126" s="24">
        <f>ROW()</f>
        <v>126</v>
      </c>
    </row>
    <row r="127" spans="30:30" ht="14.5">
      <c r="AD127" s="24">
        <f>ROW()</f>
        <v>127</v>
      </c>
    </row>
  </sheetData>
  <sheetProtection password="BDC7" sheet="1" objects="1" scenarios="1" selectLockedCells="1"/>
  <mergeCells count="88">
    <mergeCell ref="B68:F68"/>
    <mergeCell ref="B69:F69"/>
    <mergeCell ref="B70:F70"/>
    <mergeCell ref="B71:F71"/>
    <mergeCell ref="B72:F72"/>
    <mergeCell ref="B62:F62"/>
    <mergeCell ref="B63:F63"/>
    <mergeCell ref="B65:F65"/>
    <mergeCell ref="B66:F66"/>
    <mergeCell ref="B67:F67"/>
    <mergeCell ref="B61:F61"/>
    <mergeCell ref="B83:J83"/>
    <mergeCell ref="G75:H75"/>
    <mergeCell ref="I75:L75"/>
    <mergeCell ref="G73:H73"/>
    <mergeCell ref="I73:L73"/>
    <mergeCell ref="G74:H74"/>
    <mergeCell ref="I74:L74"/>
    <mergeCell ref="B75:F75"/>
    <mergeCell ref="B77:F77"/>
    <mergeCell ref="G77:H77"/>
    <mergeCell ref="I77:L77"/>
    <mergeCell ref="B78:F78"/>
    <mergeCell ref="G78:H78"/>
    <mergeCell ref="I78:L78"/>
    <mergeCell ref="B76:F76"/>
    <mergeCell ref="B49:J49"/>
    <mergeCell ref="B52:J52"/>
    <mergeCell ref="B36:J36"/>
    <mergeCell ref="B58:F59"/>
    <mergeCell ref="B60:F60"/>
    <mergeCell ref="H21:J21"/>
    <mergeCell ref="H23:J23"/>
    <mergeCell ref="C30:E30"/>
    <mergeCell ref="F30:J30"/>
    <mergeCell ref="B41:J41"/>
    <mergeCell ref="G70:H70"/>
    <mergeCell ref="I70:L70"/>
    <mergeCell ref="G58:H59"/>
    <mergeCell ref="I58:L59"/>
    <mergeCell ref="I60:L60"/>
    <mergeCell ref="G60:H60"/>
    <mergeCell ref="I61:L61"/>
    <mergeCell ref="G61:H61"/>
    <mergeCell ref="G62:H62"/>
    <mergeCell ref="I62:L62"/>
    <mergeCell ref="B3:H4"/>
    <mergeCell ref="B45:I45"/>
    <mergeCell ref="B46:J46"/>
    <mergeCell ref="G69:H69"/>
    <mergeCell ref="I69:L69"/>
    <mergeCell ref="G68:H68"/>
    <mergeCell ref="I68:L68"/>
    <mergeCell ref="G65:H65"/>
    <mergeCell ref="I65:L65"/>
    <mergeCell ref="G66:H66"/>
    <mergeCell ref="I66:L66"/>
    <mergeCell ref="G67:H67"/>
    <mergeCell ref="I67:L67"/>
    <mergeCell ref="B16:J16"/>
    <mergeCell ref="B13:J13"/>
    <mergeCell ref="B19:J19"/>
    <mergeCell ref="G72:H72"/>
    <mergeCell ref="I72:L72"/>
    <mergeCell ref="G71:H71"/>
    <mergeCell ref="B80:F80"/>
    <mergeCell ref="G80:H80"/>
    <mergeCell ref="I80:L80"/>
    <mergeCell ref="G76:H76"/>
    <mergeCell ref="B73:F73"/>
    <mergeCell ref="B74:F74"/>
    <mergeCell ref="I71:L71"/>
    <mergeCell ref="J92:L92"/>
    <mergeCell ref="J94:L94"/>
    <mergeCell ref="J99:L99"/>
    <mergeCell ref="G8:J8"/>
    <mergeCell ref="B6:D6"/>
    <mergeCell ref="I76:L76"/>
    <mergeCell ref="B79:F79"/>
    <mergeCell ref="G79:H79"/>
    <mergeCell ref="I79:L79"/>
    <mergeCell ref="G63:H63"/>
    <mergeCell ref="I63:L63"/>
    <mergeCell ref="G64:H64"/>
    <mergeCell ref="I64:L64"/>
    <mergeCell ref="B64:F64"/>
    <mergeCell ref="C29:E29"/>
    <mergeCell ref="F29:J29"/>
  </mergeCells>
  <dataValidations count="74">
    <dataValidation type="list" allowBlank="1" showInputMessage="1" showErrorMessage="1" sqref="C30:C31 D31:E31">
      <formula1>" Qualification,Reservation,Adverse remarks, Disclaimer"</formula1>
    </dataValidation>
    <dataValidation type="textLength" operator="lessThanOrEqual" allowBlank="1" showInputMessage="1" showErrorMessage="1" errorTitle="Emphasis of opinion" error="Please enter valid value max length allowed 5000. " sqref="B19:J19">
      <formula1>5000</formula1>
    </dataValidation>
    <dataValidation type="textLength" operator="lessThanOrEqual" allowBlank="1" showInputMessage="1" showErrorMessage="1" errorTitle="Opinion of the auditor" error="Please enter valid value max length allowed 5000. " sqref="B13:J13">
      <formula1>5000</formula1>
    </dataValidation>
    <dataValidation allowBlank="1" showInputMessage="1" showErrorMessage="1" errorTitle="Basis of Opinion" error="length should not exceed 5000 characters" sqref="N15"/>
    <dataValidation allowBlank="1" showInputMessage="1" showErrorMessage="1" errorTitle="Emphasis of matter" error="Length should not exceed 5000 characters." sqref="L17"/>
    <dataValidation type="textLength" operator="lessThanOrEqual" allowBlank="1" showInputMessage="1" showErrorMessage="1" errorTitle="Key audit matters" error="Please enter valid value max length allowed 5000. " sqref="H21:J21">
      <formula1>5000</formula1>
    </dataValidation>
    <dataValidation type="textLength" operator="lessThanOrEqual" allowBlank="1" showInputMessage="1" showErrorMessage="1" errorTitle="Other information (if any)" error="Please enter valid value max length allowed 5000. " sqref="H23:J23">
      <formula1>5000</formula1>
    </dataValidation>
    <dataValidation type="textLength" operator="lessThanOrEqual" allowBlank="1" showInputMessage="1" showErrorMessage="1" errorTitle="Auditor's comments remark" error="Length should not exceed 5000 characters." sqref="F31:J31">
      <formula1>5000</formula1>
    </dataValidation>
    <dataValidation type="textLength" operator="lessThanOrEqual" allowBlank="1" showInputMessage="1" showErrorMessage="1" errorTitle="Responsibilities of Management" error="Please enter valid value max length allowed 5000. " sqref="B36:J36">
      <formula1>5000</formula1>
    </dataValidation>
    <dataValidation type="textLength" operator="lessThanOrEqual" allowBlank="1" showInputMessage="1" showErrorMessage="1" errorTitle="Auditor’s Responsibilities" error="Please enter valid value max length allowed 5000. " sqref="B41:J41">
      <formula1>5000</formula1>
    </dataValidation>
    <dataValidation type="textLength" operator="lessThanOrEqual" allowBlank="1" showInputMessage="1" showErrorMessage="1" errorTitle=" State any other matters, if any" error="Please enter valid value max length allowed 5000. " sqref="B46:J46 B49:J49">
      <formula1>5000</formula1>
    </dataValidation>
    <dataValidation type="textLength" operator="lessThanOrEqual" allowBlank="1" showInputMessage="1" showErrorMessage="1" errorTitle="Reporting  Internal Finacial" error="Please enter valid value max length allowed 5000. " sqref="B83:J83">
      <formula1>5000</formula1>
    </dataValidation>
    <dataValidation type="textLength" operator="lessThanOrEqual" allowBlank="1" showInputMessage="1" showErrorMessage="1" errorTitle="Property Plant and Equipment" error="Please enter valid value max length allowed 5000. " sqref="I60:L60">
      <formula1>5000</formula1>
    </dataValidation>
    <dataValidation type="textLength" operator="lessThanOrEqual" allowBlank="1" showInputMessage="1" showErrorMessage="1" errorTitle="Inventories" error="Please enter valid value max length allowed 5000. " sqref="I61:L61">
      <formula1>5000</formula1>
    </dataValidation>
    <dataValidation type="textLength" operator="lessThanOrEqual" allowBlank="1" showInputMessage="1" showErrorMessage="1" errorTitle="Loans given by the company" error="Please enter valid value max length allowed 5000. " sqref="I62:L62">
      <formula1>5000</formula1>
    </dataValidation>
    <dataValidation type="textLength" operator="lessThanOrEqual" allowBlank="1" showInputMessage="1" showErrorMessage="1" errorTitle="Loan to Directors" error="Please enter valid value max length allowed 5000. " sqref="I63:L63">
      <formula1>5000</formula1>
    </dataValidation>
    <dataValidation type="textLength" operator="lessThanOrEqual" allowBlank="1" showInputMessage="1" showErrorMessage="1" errorTitle="Acceptance of Public Deposits" error="Please enter valid value max length allowed 5000. " sqref="I64:L64">
      <formula1>5000</formula1>
    </dataValidation>
    <dataValidation type="textLength" operator="lessThanOrEqual" allowBlank="1" showInputMessage="1" showErrorMessage="1" errorTitle="Maintenance of Cost records" error="Please enter valid value max length allowed 5000. " sqref="I65:L65">
      <formula1>5000</formula1>
    </dataValidation>
    <dataValidation type="textLength" operator="lessThanOrEqual" allowBlank="1" showInputMessage="1" showErrorMessage="1" errorTitle="Statutory dues" error="Please enter valid value max length allowed 5000. " sqref="I66:L66">
      <formula1>5000</formula1>
    </dataValidation>
    <dataValidation type="textLength" operator="lessThanOrEqual" allowBlank="1" showInputMessage="1" showErrorMessage="1" errorTitle="Term loans" error="Please enter valid value max length allowed 5000. " sqref="I67:L67">
      <formula1>5000</formula1>
    </dataValidation>
    <dataValidation type="textLength" operator="lessThanOrEqual" allowBlank="1" showInputMessage="1" showErrorMessage="1" errorTitle="The utilisation of funds" error="Please enter valid value max length allowed 5000. " sqref="I68:L68">
      <formula1>5000</formula1>
    </dataValidation>
    <dataValidation type="textLength" operator="lessThanOrEqual" allowBlank="1" showInputMessage="1" showErrorMessage="1" errorTitle="Fraud noticed" error="Please enter valid value max length allowed 5000. " sqref="I69:L69">
      <formula1>5000</formula1>
    </dataValidation>
    <dataValidation type="textLength" operator="lessThanOrEqual" allowBlank="1" showInputMessage="1" showErrorMessage="1" errorTitle="Approval of Managerial" error="Please enter valid value max length allowed 5000. " sqref="I70:L70">
      <formula1>5000</formula1>
    </dataValidation>
    <dataValidation type="textLength" operator="lessThanOrEqual" allowBlank="1" showInputMessage="1" showErrorMessage="1" errorTitle="Nidhi Company" error="Please enter valid value max length allowed 5000. " sqref="I71:L71 I76:L76">
      <formula1>5000</formula1>
    </dataValidation>
    <dataValidation type="textLength" operator="lessThanOrEqual" allowBlank="1" showInputMessage="1" showErrorMessage="1" errorTitle="Related Party Transactions" error="Please enter valid value max length allowed 5000. " sqref="I72:L72 I77:L77">
      <formula1>5000</formula1>
    </dataValidation>
    <dataValidation type="textLength" operator="lessThanOrEqual" allowBlank="1" showInputMessage="1" showErrorMessage="1" errorTitle="Private placement" error="Please enter valid value max length allowed 5000. " sqref="I73:L73 I78:L78">
      <formula1>5000</formula1>
    </dataValidation>
    <dataValidation type="textLength" operator="lessThanOrEqual" allowBlank="1" showInputMessage="1" showErrorMessage="1" errorTitle="Non-Cash Transactions" error="Please enter valid value max length allowed 5000. " sqref="I74:L74 I79:L79">
      <formula1>5000</formula1>
    </dataValidation>
    <dataValidation type="textLength" operator="lessThanOrEqual" allowBlank="1" showInputMessage="1" showErrorMessage="1" errorTitle="Registration under RBI Act" error="Please enter valid value max length allowed 5000. " sqref="I75:L75 I80:L80">
      <formula1>5000</formula1>
    </dataValidation>
    <dataValidation type="textLength" operator="lessThanOrEqual" allowBlank="1" showInputMessage="1" showErrorMessage="1" errorTitle="Basis od opinion" error="Please enter valid value max length allowed 5000. " sqref="B16:J16">
      <formula1>5000</formula1>
    </dataValidation>
    <dataValidation type="textLength" operator="lessThanOrEqual" allowBlank="1" showInputMessage="1" showErrorMessage="1" errorTitle="Auditor's comments remark" error="Please enter valid value max length allowed 5000. " sqref="F30:J30">
      <formula1>5000</formula1>
    </dataValidation>
    <dataValidation type="list" allowBlank="1" showInputMessage="1" showErrorMessage="1" sqref="G60:H80">
      <formula1>$BS$2:$BS$5</formula1>
    </dataValidation>
    <dataValidation type="textLength" operator="lessThanOrEqual" allowBlank="1" showInputMessage="1" showErrorMessage="1" errorTitle="Report on Other Legal" error="Please enter valid value max length allowed 5000. " sqref="B52:B53 C52:J54">
      <formula1>5000</formula1>
    </dataValidation>
    <dataValidation type="custom" allowBlank="1" showInputMessage="1" showErrorMessage="1" error="Please enter a valid DIN or PAN." sqref="J99">
      <formula1>AND(LEN(J99)&lt;=10,ISNUMBER(SUMPRODUCT(SEARCH(MID(J99,ROW(INDIRECT("1:10")),1),"0123456789abcdefghijklmnopqrstuvwxyzABCDEFGHIJKLMNOPQRSTUVWXYZ"))))</formula1>
    </dataValidation>
    <dataValidation type="list" allowBlank="1" showInputMessage="1" showErrorMessage="1" sqref="C30:C31">
      <formula1>" Qualification,Reservation,Adverse remarks, Disclaimer"</formula1>
    </dataValidation>
    <dataValidation type="list" allowBlank="1" showInputMessage="1" showErrorMessage="1" sqref="D31:E31">
      <formula1>" Qualification,Reservation,Adverse remarks, Disclaimer"</formula1>
    </dataValidation>
    <dataValidation type="textLength" operator="lessThanOrEqual" allowBlank="1" showInputMessage="1" showErrorMessage="1" errorTitle="Emphasis of opinion" error="Please enter valid value max length allowed 5000. " sqref="B19:J19">
      <formula1>5000</formula1>
    </dataValidation>
    <dataValidation type="textLength" operator="lessThanOrEqual" allowBlank="1" showInputMessage="1" showErrorMessage="1" errorTitle="Opinion of the auditor" error="Please enter valid value max length allowed 5000. " sqref="B13:J13">
      <formula1>5000</formula1>
    </dataValidation>
    <dataValidation allowBlank="1" showInputMessage="1" showErrorMessage="1" errorTitle="Basis of Opinion" error="length should not exceed 5000 characters" sqref="N15"/>
    <dataValidation allowBlank="1" showInputMessage="1" showErrorMessage="1" errorTitle="Emphasis of matter" error="Length should not exceed 5000 characters." sqref="L17"/>
    <dataValidation type="textLength" operator="lessThanOrEqual" allowBlank="1" showInputMessage="1" showErrorMessage="1" errorTitle="Key audit matters" error="Please enter valid value max length allowed 5000. " sqref="H21:J21">
      <formula1>5000</formula1>
    </dataValidation>
    <dataValidation type="textLength" operator="lessThanOrEqual" allowBlank="1" showInputMessage="1" showErrorMessage="1" errorTitle="Other information (if any)" error="Please enter valid value max length allowed 5000. " sqref="H23:J23">
      <formula1>5000</formula1>
    </dataValidation>
    <dataValidation type="textLength" operator="lessThanOrEqual" allowBlank="1" showInputMessage="1" showErrorMessage="1" errorTitle="Auditor's comments remark" error="Length should not exceed 5000 characters." sqref="F31:J31">
      <formula1>5000</formula1>
    </dataValidation>
    <dataValidation type="textLength" operator="lessThanOrEqual" allowBlank="1" showInputMessage="1" showErrorMessage="1" errorTitle="Responsibilities of Management" error="Please enter valid value max length allowed 5000. " sqref="B36:J36">
      <formula1>5000</formula1>
    </dataValidation>
    <dataValidation type="textLength" operator="lessThanOrEqual" allowBlank="1" showInputMessage="1" showErrorMessage="1" errorTitle="Auditor’s Responsibilities" error="Please enter valid value max length allowed 5000. " sqref="B41:J41">
      <formula1>5000</formula1>
    </dataValidation>
    <dataValidation type="textLength" operator="lessThanOrEqual" allowBlank="1" showInputMessage="1" showErrorMessage="1" errorTitle=" State any other matters, if any" error="Please enter valid value max length allowed 5000. " sqref="B46:J46">
      <formula1>5000</formula1>
    </dataValidation>
    <dataValidation type="textLength" operator="lessThanOrEqual" allowBlank="1" showInputMessage="1" showErrorMessage="1" errorTitle=" State any other matters, if any" error="Please enter valid value max length allowed 5000. " sqref="B49:J49">
      <formula1>5000</formula1>
    </dataValidation>
    <dataValidation type="textLength" operator="lessThanOrEqual" allowBlank="1" showInputMessage="1" showErrorMessage="1" errorTitle="Reporting  Internal Finacial" error="Please enter valid value max length allowed 5000. " sqref="B83:J83">
      <formula1>5000</formula1>
    </dataValidation>
    <dataValidation type="textLength" operator="lessThanOrEqual" allowBlank="1" showInputMessage="1" showErrorMessage="1" errorTitle="Property Plant and Equipment" error="Please enter valid value max length allowed 5000. " sqref="I60:L60">
      <formula1>5000</formula1>
    </dataValidation>
    <dataValidation type="textLength" operator="lessThanOrEqual" allowBlank="1" showInputMessage="1" showErrorMessage="1" errorTitle="Inventories" error="Please enter valid value max length allowed 5000. " sqref="I61:L61">
      <formula1>5000</formula1>
    </dataValidation>
    <dataValidation type="textLength" operator="lessThanOrEqual" allowBlank="1" showInputMessage="1" showErrorMessage="1" errorTitle="Loans given by the company" error="Please enter valid value max length allowed 5000. " sqref="I62:L62">
      <formula1>5000</formula1>
    </dataValidation>
    <dataValidation type="textLength" operator="lessThanOrEqual" allowBlank="1" showInputMessage="1" showErrorMessage="1" errorTitle="Loan to Directors" error="Please enter valid value max length allowed 5000. " sqref="I63:L63">
      <formula1>5000</formula1>
    </dataValidation>
    <dataValidation type="textLength" operator="lessThanOrEqual" allowBlank="1" showInputMessage="1" showErrorMessage="1" errorTitle="Acceptance of Public Deposits" error="Please enter valid value max length allowed 5000. " sqref="I64:L64">
      <formula1>5000</formula1>
    </dataValidation>
    <dataValidation type="textLength" operator="lessThanOrEqual" allowBlank="1" showInputMessage="1" showErrorMessage="1" errorTitle="Maintenance of Cost records" error="Please enter valid value max length allowed 5000. " sqref="I65:L65">
      <formula1>5000</formula1>
    </dataValidation>
    <dataValidation type="textLength" operator="lessThanOrEqual" allowBlank="1" showInputMessage="1" showErrorMessage="1" errorTitle="Statutory dues" error="Please enter valid value max length allowed 5000. " sqref="I66:L66">
      <formula1>5000</formula1>
    </dataValidation>
    <dataValidation type="textLength" operator="lessThanOrEqual" allowBlank="1" showInputMessage="1" showErrorMessage="1" errorTitle="Term loans" error="Please enter valid value max length allowed 5000. " sqref="I67:L67">
      <formula1>5000</formula1>
    </dataValidation>
    <dataValidation type="textLength" operator="lessThanOrEqual" allowBlank="1" showInputMessage="1" showErrorMessage="1" errorTitle="The utilisation of funds" error="Please enter valid value max length allowed 5000. " sqref="I68:L68">
      <formula1>5000</formula1>
    </dataValidation>
    <dataValidation type="textLength" operator="lessThanOrEqual" allowBlank="1" showInputMessage="1" showErrorMessage="1" errorTitle="Fraud noticed" error="Please enter valid value max length allowed 5000. " sqref="I69:L69">
      <formula1>5000</formula1>
    </dataValidation>
    <dataValidation type="textLength" operator="lessThanOrEqual" allowBlank="1" showInputMessage="1" showErrorMessage="1" errorTitle="Approval of Managerial" error="Please enter valid value max length allowed 5000. " sqref="I70:L70">
      <formula1>5000</formula1>
    </dataValidation>
    <dataValidation type="textLength" operator="lessThanOrEqual" allowBlank="1" showInputMessage="1" showErrorMessage="1" errorTitle="Nidhi Company" error="Please enter valid value max length allowed 5000. " sqref="I71:L71">
      <formula1>5000</formula1>
    </dataValidation>
    <dataValidation type="textLength" operator="lessThanOrEqual" allowBlank="1" showInputMessage="1" showErrorMessage="1" errorTitle="Nidhi Company" error="Please enter valid value max length allowed 5000. " sqref="I76:L76">
      <formula1>5000</formula1>
    </dataValidation>
    <dataValidation type="textLength" operator="lessThanOrEqual" allowBlank="1" showInputMessage="1" showErrorMessage="1" errorTitle="Related Party Transactions" error="Please enter valid value max length allowed 5000. " sqref="I72:L72">
      <formula1>5000</formula1>
    </dataValidation>
    <dataValidation type="textLength" operator="lessThanOrEqual" allowBlank="1" showInputMessage="1" showErrorMessage="1" errorTitle="Related Party Transactions" error="Please enter valid value max length allowed 5000. " sqref="I77:L77">
      <formula1>5000</formula1>
    </dataValidation>
    <dataValidation type="textLength" operator="lessThanOrEqual" allowBlank="1" showInputMessage="1" showErrorMessage="1" errorTitle="Private placement" error="Please enter valid value max length allowed 5000. " sqref="I73:L73">
      <formula1>5000</formula1>
    </dataValidation>
    <dataValidation type="textLength" operator="lessThanOrEqual" allowBlank="1" showInputMessage="1" showErrorMessage="1" errorTitle="Private placement" error="Please enter valid value max length allowed 5000. " sqref="I78:L78">
      <formula1>5000</formula1>
    </dataValidation>
    <dataValidation type="textLength" operator="lessThanOrEqual" allowBlank="1" showInputMessage="1" showErrorMessage="1" errorTitle="Non-Cash Transactions" error="Please enter valid value max length allowed 5000. " sqref="I74:L74">
      <formula1>5000</formula1>
    </dataValidation>
    <dataValidation type="textLength" operator="lessThanOrEqual" allowBlank="1" showInputMessage="1" showErrorMessage="1" errorTitle="Non-Cash Transactions" error="Please enter valid value max length allowed 5000. " sqref="I79:L79">
      <formula1>5000</formula1>
    </dataValidation>
    <dataValidation type="textLength" operator="lessThanOrEqual" allowBlank="1" showInputMessage="1" showErrorMessage="1" errorTitle="Registration under RBI Act" error="Please enter valid value max length allowed 5000. " sqref="I75:L75">
      <formula1>5000</formula1>
    </dataValidation>
    <dataValidation type="textLength" operator="lessThanOrEqual" allowBlank="1" showInputMessage="1" showErrorMessage="1" errorTitle="Registration under RBI Act" error="Please enter valid value max length allowed 5000. " sqref="I80:L80">
      <formula1>5000</formula1>
    </dataValidation>
    <dataValidation type="textLength" operator="lessThanOrEqual" allowBlank="1" showInputMessage="1" showErrorMessage="1" errorTitle="Basis od opinion" error="Please enter valid value max length allowed 5000. " sqref="B16:J16">
      <formula1>5000</formula1>
    </dataValidation>
    <dataValidation type="textLength" operator="lessThanOrEqual" allowBlank="1" showInputMessage="1" showErrorMessage="1" errorTitle="Auditor's comments remark" error="Please enter valid value max length allowed 5000. " sqref="F30:J30">
      <formula1>5000</formula1>
    </dataValidation>
    <dataValidation type="list" allowBlank="1" showInputMessage="1" showErrorMessage="1" sqref="G60:H80">
      <formula1>$BS$2:$BS$5</formula1>
    </dataValidation>
    <dataValidation type="textLength" operator="lessThanOrEqual" allowBlank="1" showInputMessage="1" showErrorMessage="1" errorTitle="Report on Other Legal" error="Please enter valid value max length allowed 5000. " sqref="B52:B53">
      <formula1>5000</formula1>
    </dataValidation>
    <dataValidation type="textLength" operator="lessThanOrEqual" allowBlank="1" showInputMessage="1" showErrorMessage="1" errorTitle="Report on Other Legal" error="Please enter valid value max length allowed 5000. " sqref="C52:J54">
      <formula1>5000</formula1>
    </dataValidation>
    <dataValidation type="custom" allowBlank="1" showInputMessage="1" showErrorMessage="1" error="Please enter a valid DIN or PAN." sqref="J99">
      <formula1>AND(LEN(J99)&lt;=10,ISNUMBER(SUMPRODUCT(SEARCH(MID(J99,ROW(INDIRECT("1:10")),1),"0123456789abcdefghijklmnopqrstuvwxyzABCDEFGHIJKLMNOPQRSTUVWXYZ"))))</formula1>
    </dataValidation>
  </dataValidations>
  <pageMargins left="0.7" right="0.7" top="0.75" bottom="0.75" header="0.3" footer="0.3"/>
  <pageSetup orientation="portrait" paperSize="1" r:id="rId5"/>
  <drawing r:id="rId3"/>
  <legacyDrawing r:id="rId4"/>
  <mc:AlternateContent xmlns:mc="http://schemas.openxmlformats.org/markup-compatibility/2006">
    <mc:Choice Requires="x14">
      <controls>
        <mc:AlternateContent xmlns:mc="http://schemas.openxmlformats.org/markup-compatibility/2006">
          <mc:Choice Requires="x14">
            <control shapeId="2049" r:id="rId1" name="Drop Down 1">
              <controlPr defaultSize="0" autoLine="0" linkedCell="$AA$96" listFillRange="$BT$2:$BT$3" autoPict="0">
                <anchor moveWithCells="1">
                  <from>
                    <xdr:col>9</xdr:col>
                    <xdr:colOff>6350</xdr:colOff>
                    <xdr:row>95</xdr:row>
                    <xdr:rowOff>0</xdr:rowOff>
                  </from>
                  <to>
                    <xdr:col>12</xdr:col>
                    <xdr:colOff>6350</xdr:colOff>
                    <xdr:row>96</xdr:row>
                    <xdr:rowOff>6350</xdr:rowOff>
                  </to>
                </anchor>
              </controlPr>
            </control>
          </mc:Choice>
        </mc:AlternateContent>
        <mc:AlternateContent xmlns:mc="http://schemas.openxmlformats.org/markup-compatibility/2006">
          <mc:Choice Requires="x14">
            <control shapeId="2050" r:id="rId2" name="Drop Down 2">
              <controlPr defaultSize="0" autoLine="0" linkedCell="$AA$54" listFillRange="$BU$2:$BU$3" autoPict="0">
                <anchor moveWithCells="1">
                  <from>
                    <xdr:col>9</xdr:col>
                    <xdr:colOff>6350</xdr:colOff>
                    <xdr:row>53</xdr:row>
                    <xdr:rowOff>0</xdr:rowOff>
                  </from>
                  <to>
                    <xdr:col>12</xdr:col>
                    <xdr:colOff>6350</xdr:colOff>
                    <xdr:row>54</xdr:row>
                    <xdr:rowOff>6350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ReadMe</vt:lpstr>
      <vt:lpstr>FORM</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