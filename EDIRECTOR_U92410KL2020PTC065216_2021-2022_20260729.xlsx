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comments3.xml" ContentType="application/vnd.openxmlformats-officedocument.spreadsheetml.comments+xml"/>
  <Override PartName="/xl/ctrProps/ctrProp1.xml" ContentType="application/vnd.ms-excel.controlproperties+xml"/>
  <Override PartName="/xl/ctrProps/ctrProp2.xml" ContentType="application/vnd.ms-excel.controlproperties+xml"/>
  <Override PartName="/xl/ctrProps/ctrProp3.xml" ContentType="application/vnd.ms-excel.controlproperties+xml"/>
  <Override PartName="/xl/ctrProps/ctrProp4.xml" ContentType="application/vnd.ms-excel.controlproperties+xml"/>
  <Override PartName="/xl/ctrProps/ctrProp5.xml" ContentType="application/vnd.ms-excel.controlproperties+xml"/>
  <Override PartName="/xl/ctrProps/ctrProp6.xml" ContentType="application/vnd.ms-excel.controlproperties+xml"/>
  <Override PartName="/xl/ctrProps/ctrProp7.xml" ContentType="application/vnd.ms-excel.controlproperties+xml"/>
  <Override PartName="/xl/drawings/drawing1.xml" ContentType="application/vnd.openxmlformats-officedocument.drawing+xml"/>
  <Default Extension="vml" ContentType="application/vnd.openxmlformats-officedocument.vmlDrawing"/>
  <Override PartName="/xl/worksheets/sheet3.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workbookProtection workbookPassword="F2CD" lockStructure="1" lockWindows="1"/>
  <bookViews>
    <workbookView xWindow="240" yWindow="120" windowWidth="14940" windowHeight="9225" activeTab="0"/>
  </bookViews>
  <sheets>
    <sheet name="ReadMe" sheetId="2" r:id="rId3"/>
    <sheet name="StateAndDistrict" sheetId="3" state="veryHidden" r:id="rId4"/>
    <sheet name="FORM" sheetId="4" r:id="rId5"/>
  </sheets>
  <definedNames>
    <definedName name="README_HIDDEN_ROWS_CONFIG">ReadMe!$A$1:$A$61</definedName>
    <definedName name="Andaman_and_Nicobar_Islands">StateAndDistrict!$A$2:$A$4</definedName>
    <definedName name="Andhra_Pradesh">StateAndDistrict!$B$2:$B$20</definedName>
    <definedName name="Arunachal_Pradesh">StateAndDistrict!$C$2:$C$16</definedName>
    <definedName name="Assam">StateAndDistrict!$D$2:$D$25</definedName>
    <definedName name="Bihar">StateAndDistrict!$E$2:$E$40</definedName>
    <definedName name="Chandigarh">StateAndDistrict!$F$2</definedName>
    <definedName name="Chattisgarh">StateAndDistrict!$G$2:$G$23</definedName>
    <definedName name="Dadra_AND_Nagar_Haveli">StateAndDistrict!$H$2</definedName>
    <definedName name="Daman_and_Diu">StateAndDistrict!$I$2:$I$3</definedName>
    <definedName name="Delhi">StateAndDistrict!$J$2:$J$12</definedName>
    <definedName name="Goa">StateAndDistrict!$K$2:$K$3</definedName>
    <definedName name="Gujarat">StateAndDistrict!$L$2:$L$32</definedName>
    <definedName name="Haryana">StateAndDistrict!$M$2:$M$20</definedName>
    <definedName name="Himachal_Pradesh">StateAndDistrict!$N$2:$N$14</definedName>
    <definedName name="Jammu_AND_Kashmir">StateAndDistrict!$O$2:$O$20</definedName>
    <definedName name="Jharkhand">StateAndDistrict!$P$2:$P$26</definedName>
    <definedName name="Karnataka">StateAndDistrict!$Q$2:$Q$37</definedName>
    <definedName name="Kerala">StateAndDistrict!$R$2:$R$16</definedName>
    <definedName name="Lakshadweep">StateAndDistrict!$S$2</definedName>
    <definedName name="Madhya_Pradesh">StateAndDistrict!$T$2:$T$53</definedName>
    <definedName name="Maharashtra">StateAndDistrict!$U$2:$U$36</definedName>
    <definedName name="Manipur">StateAndDistrict!$V$2:$V$10</definedName>
    <definedName name="Meghalaya">StateAndDistrict!$W$2:$W$12</definedName>
    <definedName name="Mizoram">StateAndDistrict!$X$2:$X$11</definedName>
    <definedName name="Nagaland">StateAndDistrict!$Y$2:$Y$12</definedName>
    <definedName name="Orissa">StateAndDistrict!$Z$2:$Z$34</definedName>
    <definedName name="Pondicherry">StateAndDistrict!$AA$2:$AA$4</definedName>
    <definedName name="Punjab">StateAndDistrict!$AB$2:$AB$25</definedName>
    <definedName name="Rajasthan">StateAndDistrict!$AC$2:$AC$36</definedName>
    <definedName name="Sikkim">StateAndDistrict!$AD$2:$AD$5</definedName>
    <definedName name="STATE">StateAndDistrict!$1:$1</definedName>
    <definedName name="Tamil_Nadu">StateAndDistrict!$AE$2:$AE$34</definedName>
    <definedName name="Telangana">StateAndDistrict!$AF$2:$AF$23</definedName>
    <definedName name="Tripura">StateAndDistrict!$AG$2:$AG$10</definedName>
    <definedName name="Uttar_Pradesh">StateAndDistrict!$AH$2:$AH$74</definedName>
    <definedName name="Uttarakhand">StateAndDistrict!$AI$2:$AI$15</definedName>
    <definedName name="West_Bengal">StateAndDistrict!$AJ$2:$AJ$23</definedName>
    <definedName name="EDIRECTOR_BOOK_KEEPING_INFO_CONFIG">FORM!$BO$1:$BQ$8</definedName>
    <definedName name="EDIRECTOR_DATASOURCE_CONFIG">FORM!$AF$1:$AG$8</definedName>
    <definedName name="EDIRECTOR_FIELDS_CONFIG">FORM!$BB$1:$BL$90</definedName>
    <definedName name="EDIRECTOR_HIDDEN_ROWS_CONFIG">FORM!$A$1:$A$268</definedName>
    <definedName name="EDIRECTOR_SECTION_CONFIG">FORM!$AI$1:$AP$7</definedName>
    <definedName name="EDIRECTOR_SECTION_FIELDS_CONFIG">FORM!$AR$1:$AZ$49</definedName>
  </definedNames>
  <calcPr fullCalcOnLoad="1"/>
</workbook>
</file>

<file path=xl/calcChain.xml><?xml version="1.0" encoding="utf-8"?>
<calcChain xmlns="http://schemas.openxmlformats.org/spreadsheetml/2006/main">
  <c r="AD2" i="4" l="1"/>
</calcChain>
</file>

<file path=xl/comments3.xml><?xml version="1.0" encoding="utf-8"?>
<comments xmlns="http://schemas.openxmlformats.org/spreadsheetml/2006/main" xmlns:mc="http://schemas.openxmlformats.org/markup-compatibility/2006" xmlns:xr="http://schemas.microsoft.com/office/spreadsheetml/2014/revision" mc:Ignorable="xr">
  <authors>
    <author>Bucchannagari Pavan Kalyan</author>
  </authors>
  <commentList>
    <comment ref="M238" authorId="0">
      <text>
        <r>
          <rPr>
            <b/>
            <sz val="9"/>
            <rFont val="Tahoma"/>
            <family val="2"/>
          </rPr>
          <t>Any part of the Board Report, not covered above should be mandatorily specified here</t>
        </r>
      </text>
    </comment>
  </commentList>
</comments>
</file>

<file path=xl/sharedStrings.xml><?xml version="1.0" encoding="utf-8"?>
<sst xmlns="http://schemas.openxmlformats.org/spreadsheetml/2006/main" count="1637" uniqueCount="1221">
  <si>
    <t>ALL</t>
  </si>
  <si>
    <t>Instructions for filling Excel Form</t>
  </si>
  <si>
    <t>Use MS Excel Version 2021+ / Office 365 to edit this excel. 
Some of the excel features are not supported in older versions of MS Excel. This may result into unwanted/ incorrect data interpretation and may result in to parsing failures or business validation failures.</t>
  </si>
  <si>
    <r>
      <rPr>
        <sz val="12"/>
        <color rgb="FF000000"/>
        <rFont val="Aptos Display"/>
        <family val="2"/>
      </rPr>
      <t xml:space="preserve">This is a </t>
    </r>
    <r>
      <rPr>
        <b/>
        <sz val="12"/>
        <color rgb="FF000000"/>
        <rFont val="Aptos Display"/>
        <family val="2"/>
      </rPr>
      <t>Protected</t>
    </r>
    <r>
      <rPr>
        <sz val="12"/>
        <color rgb="FF000000"/>
        <rFont val="Aptos Display"/>
        <family val="2"/>
      </rPr>
      <t xml:space="preserve"> Excel. Do not attempt to modify structure / formatting of the excel.</t>
    </r>
  </si>
  <si>
    <r>
      <rPr>
        <sz val="12"/>
        <color rgb="FF000000"/>
        <rFont val="Aptos Display"/>
        <family val="2"/>
      </rPr>
      <t xml:space="preserve">Please refrain from using </t>
    </r>
    <r>
      <rPr>
        <b/>
        <sz val="12"/>
        <color rgb="FF000000"/>
        <rFont val="Aptos Display"/>
        <family val="2"/>
      </rPr>
      <t>Cut/Copy/Paste</t>
    </r>
    <r>
      <rPr>
        <sz val="12"/>
        <color rgb="FF000000"/>
        <rFont val="Aptos Display"/>
        <family val="2"/>
      </rPr>
      <t xml:space="preserve"> operations. These may cause </t>
    </r>
    <r>
      <rPr>
        <b/>
        <sz val="12"/>
        <color rgb="FF000000"/>
        <rFont val="Aptos Display"/>
        <family val="2"/>
      </rPr>
      <t>loss modification of internal calculations/formulas</t>
    </r>
    <r>
      <rPr>
        <sz val="12"/>
        <color rgb="FF000000"/>
        <rFont val="Aptos Display"/>
        <family val="2"/>
      </rPr>
      <t xml:space="preserve"> and will result into mal-formed data in the excel file. 
This may result in to upload failure or incorrect data upload/filing.</t>
    </r>
  </si>
  <si>
    <t>Excel data validations: Basic data validations are enforced in excel.</t>
  </si>
  <si>
    <t>Following are some examples of basic data validations –</t>
  </si>
  <si>
    <r>
      <rPr>
        <sz val="12"/>
        <color rgb="FF000000"/>
        <rFont val="Aptos Display"/>
        <family val="2"/>
      </rPr>
      <t xml:space="preserve"> i.</t>
    </r>
    <r>
      <rPr>
        <b/>
        <sz val="12"/>
        <color rgb="FF000000"/>
        <rFont val="Times New Roman"/>
        <family val="1"/>
      </rPr>
      <t xml:space="preserve"> </t>
    </r>
    <r>
      <rPr>
        <sz val="12"/>
        <color rgb="FF000000"/>
        <rFont val="Aptos Display"/>
        <family val="2"/>
      </rPr>
      <t xml:space="preserve">Amount fields must be between </t>
    </r>
    <r>
      <rPr>
        <b/>
        <sz val="12"/>
        <color rgb="FF000000"/>
        <rFont val="Aptos Display"/>
        <family val="2"/>
      </rPr>
      <t>-999999999999999.99 and 999999999999999.99</t>
    </r>
  </si>
  <si>
    <r>
      <rPr>
        <sz val="12"/>
        <color rgb="FF000000"/>
        <rFont val="Aptos Display"/>
        <family val="2"/>
      </rPr>
      <t xml:space="preserve"> ii.</t>
    </r>
    <r>
      <rPr>
        <b/>
        <sz val="12"/>
        <color rgb="FF000000"/>
        <rFont val="Times New Roman"/>
        <family val="1"/>
      </rPr>
      <t xml:space="preserve"> </t>
    </r>
    <r>
      <rPr>
        <sz val="12"/>
        <color rgb="FF000000"/>
        <rFont val="Aptos Display"/>
        <family val="2"/>
      </rPr>
      <t>Text fields with length validations (</t>
    </r>
    <r>
      <rPr>
        <b/>
        <sz val="12"/>
        <color rgb="FF000000"/>
        <rFont val="Aptos Display"/>
        <family val="2"/>
      </rPr>
      <t>maximum 250/500 characters</t>
    </r>
    <r>
      <rPr>
        <sz val="12"/>
        <color rgb="FF000000"/>
        <rFont val="Aptos Display"/>
        <family val="2"/>
      </rPr>
      <t>) etc.</t>
    </r>
  </si>
  <si>
    <r>
      <rPr>
        <sz val="12"/>
        <color rgb="FF000000"/>
        <rFont val="Aptos Display"/>
        <family val="2"/>
      </rPr>
      <t>'</t>
    </r>
    <r>
      <rPr>
        <b/>
        <sz val="12"/>
        <color rgb="FF000000"/>
        <rFont val="Aptos Display"/>
        <family val="2"/>
      </rPr>
      <t>0' (zero)</t>
    </r>
    <r>
      <rPr>
        <sz val="12"/>
        <color rgb="FF000000"/>
        <rFont val="Aptos Display"/>
        <family val="2"/>
      </rPr>
      <t xml:space="preserve"> is considered as a valid value. If user does not want to provide any value, then user should leave the field blank.</t>
    </r>
  </si>
  <si>
    <r>
      <rPr>
        <sz val="12"/>
        <color rgb="FF000000"/>
        <rFont val="Aptos Display"/>
        <family val="2"/>
      </rPr>
      <t xml:space="preserve">Fields marked in </t>
    </r>
    <r>
      <rPr>
        <b/>
        <sz val="12"/>
        <color rgb="FF000000"/>
        <rFont val="Aptos Display"/>
        <family val="2"/>
      </rPr>
      <t>Grey</t>
    </r>
    <r>
      <rPr>
        <sz val="12"/>
        <color rgb="FF000000"/>
        <rFont val="Aptos Display"/>
        <family val="2"/>
      </rPr>
      <t xml:space="preserve"> colour are read only fields. User will not be able to edit these fields.</t>
    </r>
  </si>
  <si>
    <r>
      <rPr>
        <sz val="12"/>
        <color rgb="FF000000"/>
        <rFont val="Aptos Display"/>
        <family val="2"/>
      </rPr>
      <t>Fields marked in</t>
    </r>
    <r>
      <rPr>
        <b/>
        <sz val="12"/>
        <color rgb="FF000000"/>
        <rFont val="Aptos Display"/>
        <family val="2"/>
      </rPr>
      <t xml:space="preserve"> Blue</t>
    </r>
    <r>
      <rPr>
        <sz val="12"/>
        <color rgb="FF000000"/>
        <rFont val="Aptos Display"/>
        <family val="2"/>
      </rPr>
      <t xml:space="preserve"> colour are editable fields. User should enter a valid value.</t>
    </r>
  </si>
  <si>
    <r>
      <rPr>
        <sz val="12"/>
        <color rgb="FF000000"/>
        <rFont val="Aptos Display"/>
        <family val="2"/>
      </rPr>
      <t xml:space="preserve">Please enter date in </t>
    </r>
    <r>
      <rPr>
        <b/>
        <sz val="12"/>
        <color rgb="FF000000"/>
        <rFont val="Aptos Display"/>
        <family val="2"/>
      </rPr>
      <t>DD/MM/YYYY</t>
    </r>
    <r>
      <rPr>
        <sz val="12"/>
        <color rgb="FF000000"/>
        <rFont val="Aptos Display"/>
        <family val="2"/>
      </rPr>
      <t xml:space="preserve"> Format</t>
    </r>
  </si>
  <si>
    <t>After filling in all the data and uploading the excel, the Excel will be validated for-</t>
  </si>
  <si>
    <r>
      <rPr>
        <b/>
        <sz val="12"/>
        <color rgb="FF000000"/>
        <rFont val="Aptos Display"/>
        <family val="2"/>
      </rPr>
      <t>a.</t>
    </r>
    <r>
      <rPr>
        <sz val="12"/>
        <color rgb="FF000000"/>
        <rFont val="Times New Roman"/>
        <family val="1"/>
      </rPr>
      <t> </t>
    </r>
    <r>
      <rPr>
        <b/>
        <sz val="12"/>
        <color rgb="FF000000"/>
        <rFont val="Aptos Display"/>
        <family val="2"/>
      </rPr>
      <t>Malicious content</t>
    </r>
    <r>
      <rPr>
        <sz val="12"/>
        <color rgb="FF000000"/>
        <rFont val="Aptos Display"/>
        <family val="2"/>
      </rPr>
      <t xml:space="preserve"> - Do not attempt to </t>
    </r>
    <r>
      <rPr>
        <b/>
        <sz val="12"/>
        <color rgb="FF000000"/>
        <rFont val="Aptos Display"/>
        <family val="2"/>
      </rPr>
      <t>alter the format</t>
    </r>
    <r>
      <rPr>
        <sz val="12"/>
        <color rgb="FF000000"/>
        <rFont val="Aptos Display"/>
        <family val="2"/>
      </rPr>
      <t xml:space="preserve">, add any </t>
    </r>
    <r>
      <rPr>
        <b/>
        <sz val="12"/>
        <color rgb="FF000000"/>
        <rFont val="Aptos Display"/>
        <family val="2"/>
      </rPr>
      <t>macros</t>
    </r>
    <r>
      <rPr>
        <sz val="12"/>
        <color rgb="FF000000"/>
        <rFont val="Aptos Display"/>
        <family val="2"/>
      </rPr>
      <t xml:space="preserve"> to the excel. (Macros are not allowed)</t>
    </r>
  </si>
  <si>
    <t xml:space="preserve">b. Version number -   User should update the latest downloaded file and upload the same. Every time user submits the form in offline portal, new excel gets generated with new version number. </t>
  </si>
  <si>
    <t>c. Excel validations -  Every time user uploads the filled excel, it will be validated for integrity and structure of the excel. If case the validations fail, user will not be able to proceed with the file and is expected to 
   download the latest file, fill it and resubmit.</t>
  </si>
  <si>
    <r>
      <rPr>
        <b/>
        <sz val="12"/>
        <color rgb="FF000000"/>
        <rFont val="Aptos Display"/>
        <family val="2"/>
      </rPr>
      <t>Data Enrichment</t>
    </r>
    <r>
      <rPr>
        <sz val="12"/>
        <color rgb="FF000000"/>
        <rFont val="Aptos Display"/>
        <family val="2"/>
      </rPr>
      <t xml:space="preserve"> - After uploading the excel, data enrichment will be performed it two phases - </t>
    </r>
  </si>
  <si>
    <t>a. Before business validations - Populating data based on key fields. For example - Populating product details depending on product code, company details using CIN, director details using din  
   etc. 
   Any failures / errors in this scenario will result in upload failure and user will be prompted to correct those errors. 
   *The Business validations will trigger only when all such enrichment errors are resolved.
   Please refer to below mentioned list of fields specific to this form and make sure that all the fields are filled with proper data before uploading the excel.</t>
  </si>
  <si>
    <t>b. After business validation - Adjusting the date time to corrected format for PDF generations, clearing unwanted data etc. Any failures in this scenario will result into technical error. 
   In this scenario user is requested to connect with support to resolve the issue</t>
  </si>
  <si>
    <r>
      <rPr>
        <b/>
        <sz val="12"/>
        <color rgb="FF000000"/>
        <rFont val="Aptos Display"/>
        <family val="2"/>
      </rPr>
      <t>Business validations</t>
    </r>
    <r>
      <rPr>
        <sz val="12"/>
        <color rgb="FF000000"/>
        <rFont val="Aptos Display"/>
        <family val="2"/>
      </rPr>
      <t xml:space="preserve"> - After uploading the excel, business validations will be performed to validate the data according to the business / functional rules specified by the Honourable Ministry of Corporate Affairs.</t>
    </r>
  </si>
  <si>
    <r>
      <rPr>
        <b/>
        <sz val="12"/>
        <color rgb="FF000000"/>
        <rFont val="Aptos Display"/>
        <family val="2"/>
      </rPr>
      <t>a.</t>
    </r>
    <r>
      <rPr>
        <sz val="12"/>
        <color rgb="FF000000"/>
        <rFont val="Times New Roman"/>
        <family val="1"/>
      </rPr>
      <t xml:space="preserve"> </t>
    </r>
    <r>
      <rPr>
        <sz val="12"/>
        <color rgb="FF000000"/>
        <rFont val="Aptos Display"/>
        <family val="2"/>
      </rPr>
      <t>If any of the rules fail, an error text file will be generated which user can download.</t>
    </r>
  </si>
  <si>
    <r>
      <rPr>
        <b/>
        <sz val="12"/>
        <color rgb="FF000000"/>
        <rFont val="Aptos Display"/>
        <family val="2"/>
      </rPr>
      <t>b.</t>
    </r>
    <r>
      <rPr>
        <sz val="12"/>
        <color rgb="FF000000"/>
        <rFont val="Times New Roman"/>
        <family val="1"/>
      </rPr>
      <t xml:space="preserve"> </t>
    </r>
    <r>
      <rPr>
        <sz val="12"/>
        <color rgb="FF000000"/>
        <rFont val="Aptos Display"/>
        <family val="2"/>
      </rPr>
      <t>User will have to fix the errors specified in the text file and re-upload the updated excel file.</t>
    </r>
  </si>
  <si>
    <r>
      <rPr>
        <b/>
        <sz val="12"/>
        <color rgb="FF000000"/>
        <rFont val="Aptos Display"/>
        <family val="2"/>
      </rPr>
      <t>c.</t>
    </r>
    <r>
      <rPr>
        <sz val="12"/>
        <color rgb="FF000000"/>
        <rFont val="Times New Roman"/>
        <family val="1"/>
      </rPr>
      <t xml:space="preserve"> </t>
    </r>
    <r>
      <rPr>
        <sz val="12"/>
        <color rgb="FF000000"/>
        <rFont val="Aptos Display"/>
        <family val="2"/>
      </rPr>
      <t xml:space="preserve">Steps </t>
    </r>
    <r>
      <rPr>
        <b/>
        <sz val="12"/>
        <color rgb="FF000000"/>
        <rFont val="Aptos Display"/>
        <family val="2"/>
      </rPr>
      <t>a</t>
    </r>
    <r>
      <rPr>
        <sz val="12"/>
        <color rgb="FF000000"/>
        <rFont val="Aptos Display"/>
        <family val="2"/>
      </rPr>
      <t xml:space="preserve"> and </t>
    </r>
    <r>
      <rPr>
        <b/>
        <sz val="12"/>
        <color rgb="FF000000"/>
        <rFont val="Aptos Display"/>
        <family val="2"/>
      </rPr>
      <t>b</t>
    </r>
    <r>
      <rPr>
        <sz val="12"/>
        <color rgb="FF000000"/>
        <rFont val="Aptos Display"/>
        <family val="2"/>
      </rPr>
      <t xml:space="preserve"> will be repeated un-till all the business validation errors are fixed by the user.</t>
    </r>
  </si>
  <si>
    <t>After successful upload of the excel, user will then be prompted to update the declaration section on the portal and proceed with further filing journey.</t>
  </si>
  <si>
    <t>Business validations will be triggered only after valid data is filled in below mentioned fields before uploading the excel</t>
  </si>
  <si>
    <t>AOC4</t>
  </si>
  <si>
    <r>
      <rPr>
        <sz val="12"/>
        <color rgb="FF000000"/>
        <rFont val="Aptos Display"/>
        <family val="2"/>
      </rPr>
      <t xml:space="preserve">Please enter valid </t>
    </r>
    <r>
      <rPr>
        <b/>
        <sz val="12"/>
        <color rgb="FF000000"/>
        <rFont val="Aptos Display"/>
        <family val="2"/>
      </rPr>
      <t>Product or service category code (ITC/ NPCS 4 digit code)</t>
    </r>
    <r>
      <rPr>
        <sz val="12"/>
        <color rgb="FF000000"/>
        <rFont val="Aptos Display"/>
        <family val="2"/>
      </rPr>
      <t xml:space="preserve"> under IV Details related to principal products or services of the company for all the applicable rows if 
*Total number of product/ services category(ies) is greater than zero</t>
    </r>
  </si>
  <si>
    <t>2</t>
  </si>
  <si>
    <r>
      <rPr>
        <sz val="12"/>
        <color rgb="FF000000"/>
        <rFont val="Aptos Display"/>
        <family val="2"/>
      </rPr>
      <t xml:space="preserve">Please enter valid </t>
    </r>
    <r>
      <rPr>
        <b/>
        <sz val="12"/>
        <color rgb="FF000000"/>
        <rFont val="Aptos Display"/>
        <family val="2"/>
      </rPr>
      <t>*Director identification number of the director; or PAN of the manager or CEO or CFO or Interim Resolution Professional (IRP) or Resolution Professional (RP) or Liquidator or Membership number of the secretary</t>
    </r>
    <r>
      <rPr>
        <sz val="12"/>
        <color rgb="FF000000"/>
        <rFont val="Aptos Display"/>
        <family val="2"/>
      </rPr>
      <t xml:space="preserve"> under Declaration</t>
    </r>
  </si>
  <si>
    <t>AOC1</t>
  </si>
  <si>
    <r>
      <rPr>
        <sz val="12"/>
        <color rgb="FF000000"/>
        <rFont val="Aptos Display"/>
        <family val="2"/>
      </rPr>
      <t xml:space="preserve">Please enter valid </t>
    </r>
    <r>
      <rPr>
        <b/>
        <sz val="12"/>
        <color rgb="FF000000"/>
        <rFont val="Aptos Display"/>
        <family val="2"/>
      </rPr>
      <t xml:space="preserve">*CIN/ any other registration number </t>
    </r>
    <r>
      <rPr>
        <sz val="12"/>
        <color rgb="FF000000"/>
        <rFont val="Aptos Display"/>
        <family val="2"/>
      </rPr>
      <t>of subsidiary company under Details of Subsidiaries for all applicable rows if 1. Number of subsidiaries is greater than zero</t>
    </r>
  </si>
  <si>
    <r>
      <rPr>
        <sz val="12"/>
        <color rgb="FF000000"/>
        <rFont val="Aptos Display"/>
        <family val="2"/>
      </rPr>
      <t xml:space="preserve">Please enter valid </t>
    </r>
    <r>
      <rPr>
        <b/>
        <sz val="12"/>
        <color rgb="FF000000"/>
        <rFont val="Aptos Display"/>
        <family val="2"/>
      </rPr>
      <t xml:space="preserve">*CIN/ any other registration number </t>
    </r>
    <r>
      <rPr>
        <sz val="12"/>
        <color rgb="FF000000"/>
        <rFont val="Aptos Display"/>
        <family val="2"/>
      </rPr>
      <t>under Details of Subsidiaries for all applicable rows if 2 Number of subsidiaries which are yet to commence operations is greater than zero</t>
    </r>
  </si>
  <si>
    <r>
      <rPr>
        <sz val="12"/>
        <color rgb="FF000000"/>
        <rFont val="Aptos Display"/>
        <family val="2"/>
      </rPr>
      <t xml:space="preserve">Please enter valid </t>
    </r>
    <r>
      <rPr>
        <b/>
        <sz val="12"/>
        <color rgb="FF000000"/>
        <rFont val="Aptos Display"/>
        <family val="2"/>
      </rPr>
      <t xml:space="preserve">*CIN/ any other registration number </t>
    </r>
    <r>
      <rPr>
        <sz val="12"/>
        <color rgb="FF000000"/>
        <rFont val="Aptos Display"/>
        <family val="2"/>
      </rPr>
      <t>under Details of Subsidiaries for all applicable rows if 3 Number of subsidiaries which have been liquidated or have ceased to be a subsidiary during the year is greater than zero</t>
    </r>
  </si>
  <si>
    <r>
      <rPr>
        <sz val="12"/>
        <color rgb="FF000000"/>
        <rFont val="Aptos Display"/>
        <family val="2"/>
      </rPr>
      <t xml:space="preserve">Please enter valid </t>
    </r>
    <r>
      <rPr>
        <b/>
        <sz val="12"/>
        <color rgb="FF000000"/>
        <rFont val="Aptos Display"/>
        <family val="2"/>
      </rPr>
      <t>*CIN/ any other registration number</t>
    </r>
    <r>
      <rPr>
        <sz val="12"/>
        <color rgb="FF000000"/>
        <rFont val="Aptos Display"/>
        <family val="2"/>
      </rPr>
      <t xml:space="preserve"> under Details of Subsidiaries for all applicable rows if 5 Number of associates or joint ventures which are yet to commence operations is greater than zero</t>
    </r>
  </si>
  <si>
    <r>
      <rPr>
        <sz val="12"/>
        <color rgb="FF000000"/>
        <rFont val="Aptos Display"/>
        <family val="2"/>
      </rPr>
      <t xml:space="preserve">Please enter valid </t>
    </r>
    <r>
      <rPr>
        <b/>
        <sz val="12"/>
        <color rgb="FF000000"/>
        <rFont val="Aptos Display"/>
        <family val="2"/>
      </rPr>
      <t>*CIN/ any other registration number</t>
    </r>
    <r>
      <rPr>
        <sz val="12"/>
        <color rgb="FF000000"/>
        <rFont val="Aptos Display"/>
        <family val="2"/>
      </rPr>
      <t xml:space="preserve"> under Details of Subsidiaries for all applicable rows if 6 Number of associates or joint ventures which have been liquidated or have ceased to be associate or joint venture during the year is greater than zero</t>
    </r>
  </si>
  <si>
    <t>6</t>
  </si>
  <si>
    <t>AOC2</t>
  </si>
  <si>
    <r>
      <rPr>
        <sz val="12"/>
        <color rgb="FF000000"/>
        <rFont val="Aptos Display"/>
        <family val="2"/>
      </rPr>
      <t xml:space="preserve">Please enter valid </t>
    </r>
    <r>
      <rPr>
        <b/>
        <sz val="12"/>
        <color rgb="FF000000"/>
        <rFont val="Aptos Display"/>
        <family val="2"/>
      </rPr>
      <t>*Corporate identity number (CIN) or foreign company registration number (FCRN) or Limited Liability Partnership number (LLPIN) or Foreign Limited Liability Partnership number (FLLPIN) or Permanent Account Number (PAN)/Passport for individuals or any other registration number under</t>
    </r>
    <r>
      <rPr>
        <sz val="12"/>
        <color rgb="FF000000"/>
        <rFont val="Aptos Display"/>
        <family val="2"/>
      </rPr>
      <t xml:space="preserve"> 1.Details of contracts or arrangements or transactions not at arm's length basis. for all applicable rows if *Number of contracts or arrangements or transactions not at arm’s length basis is greater than zero</t>
    </r>
  </si>
  <si>
    <r>
      <rPr>
        <sz val="12"/>
        <color rgb="FF000000"/>
        <rFont val="Aptos Display"/>
        <family val="2"/>
      </rPr>
      <t xml:space="preserve">Please enter valid </t>
    </r>
    <r>
      <rPr>
        <b/>
        <sz val="12"/>
        <color rgb="FF000000"/>
        <rFont val="Aptos Display"/>
        <family val="2"/>
      </rPr>
      <t>*Corporate identity number (CIN) or foreign company registration number (FCRN) or Limited Liability Partnership number (LLPIN) or Foreign Limited Liability Partnership number (FLLPIN) or Permanent Account Number (PAN)/Passport for individuals or any other registration number</t>
    </r>
    <r>
      <rPr>
        <sz val="12"/>
        <color rgb="FF000000"/>
        <rFont val="Aptos Display"/>
        <family val="2"/>
      </rPr>
      <t xml:space="preserve"> under 2.Details of material contracts or arrangement or transactions at arm's length basis. for all applicable rows if Number of material contracts or arrangements or transactions at arm’s length basis is greater than zero</t>
    </r>
  </si>
  <si>
    <t>3</t>
  </si>
  <si>
    <t>AOC4NBFC</t>
  </si>
  <si>
    <r>
      <rPr>
        <sz val="12"/>
        <color rgb="FF000000"/>
        <rFont val="Aptos Display"/>
        <family val="2"/>
      </rPr>
      <t xml:space="preserve">Please enter valid </t>
    </r>
    <r>
      <rPr>
        <b/>
        <sz val="12"/>
        <color rgb="FF000000"/>
        <rFont val="Aptos Display"/>
        <family val="2"/>
      </rPr>
      <t xml:space="preserve">Product or service category code (ITC/ NPCS 4 digit code) </t>
    </r>
    <r>
      <rPr>
        <sz val="12"/>
        <color rgb="FF000000"/>
        <rFont val="Aptos Display"/>
        <family val="2"/>
      </rPr>
      <t>under III Details related to principal products or services of the company for all the applicable rows if 
*Total number of product/ services category(ies) is greater than zero</t>
    </r>
  </si>
  <si>
    <t>AOC4CFSNBFC</t>
  </si>
  <si>
    <t>1</t>
  </si>
  <si>
    <t>AOC4CFS</t>
  </si>
  <si>
    <t>EAuditorStandalone</t>
  </si>
  <si>
    <r>
      <rPr>
        <sz val="12"/>
        <color rgb="FF000000"/>
        <rFont val="Aptos Display"/>
        <family val="2"/>
      </rPr>
      <t xml:space="preserve">Please enter valid </t>
    </r>
    <r>
      <rPr>
        <b/>
        <sz val="12"/>
        <color rgb="FF000000"/>
        <rFont val="Aptos Display"/>
        <family val="2"/>
      </rPr>
      <t>*Director identification number of the director or PAN of the Interim Resolution Professional (IRP)/ Resolution Professional (RP)/ Liquidator</t>
    </r>
    <r>
      <rPr>
        <sz val="12"/>
        <color rgb="FF000000"/>
        <rFont val="Aptos Display"/>
        <family val="2"/>
      </rPr>
      <t xml:space="preserve"> under Declaration by Director</t>
    </r>
  </si>
  <si>
    <t>EAuditorConsolidated</t>
  </si>
  <si>
    <t>Edirector</t>
  </si>
  <si>
    <r>
      <rPr>
        <sz val="12"/>
        <color rgb="FF000000"/>
        <rFont val="Aptos Display"/>
        <family val="2"/>
      </rPr>
      <t xml:space="preserve">Please enter valid </t>
    </r>
    <r>
      <rPr>
        <b/>
        <sz val="12"/>
        <color rgb="FF000000"/>
        <rFont val="Aptos Display"/>
        <family val="2"/>
      </rPr>
      <t>*Director identification number of the director or PAN of the Interim Resolution Professional (IRP)/ Resolution Professional (RP)/ Liquidator</t>
    </r>
    <r>
      <rPr>
        <sz val="12"/>
        <color rgb="FF000000"/>
        <rFont val="Aptos Display"/>
        <family val="2"/>
      </rPr>
      <t xml:space="preserve"> under Declaration</t>
    </r>
  </si>
  <si>
    <t>MGT7</t>
  </si>
  <si>
    <r>
      <rPr>
        <sz val="12"/>
        <color rgb="FF000000"/>
        <rFont val="Aptos Display"/>
        <family val="2"/>
      </rPr>
      <t xml:space="preserve">Please enter valid </t>
    </r>
    <r>
      <rPr>
        <b/>
        <sz val="12"/>
        <color rgb="FF000000"/>
        <rFont val="Aptos Display"/>
        <family val="2"/>
      </rPr>
      <t xml:space="preserve">CIN of the Registrar and Transfer Agent </t>
    </r>
    <r>
      <rPr>
        <sz val="12"/>
        <color rgb="FF000000"/>
        <rFont val="Aptos Display"/>
        <family val="2"/>
      </rPr>
      <t>under viii Number of Registrar and Transfer Agent for all the applicable rows if viii Number of Registrar and Transfer Agent is greater than zero</t>
    </r>
  </si>
  <si>
    <r>
      <rPr>
        <sz val="12"/>
        <color rgb="FF000000"/>
        <rFont val="Aptos Display"/>
        <family val="2"/>
      </rPr>
      <t xml:space="preserve">Please enter valid </t>
    </r>
    <r>
      <rPr>
        <b/>
        <sz val="12"/>
        <color rgb="FF000000"/>
        <rFont val="Aptos Display"/>
        <family val="2"/>
      </rPr>
      <t xml:space="preserve">CIN /FCRN </t>
    </r>
    <r>
      <rPr>
        <sz val="12"/>
        <color rgb="FF000000"/>
        <rFont val="Aptos Display"/>
        <family val="2"/>
      </rPr>
      <t xml:space="preserve"> under II PRINCIPAL BUSINESS ACTIVITIES OF THE COMPANY for all applicable rows if i *No. of Companies for which information is to be given is greater than zero</t>
    </r>
  </si>
  <si>
    <r>
      <rPr>
        <sz val="12"/>
        <color rgb="FF000000"/>
        <rFont val="Aptos Display"/>
        <family val="2"/>
      </rPr>
      <t xml:space="preserve">Please enter valid </t>
    </r>
    <r>
      <rPr>
        <b/>
        <sz val="12"/>
        <color rgb="FF000000"/>
        <rFont val="Aptos Display"/>
        <family val="2"/>
      </rPr>
      <t xml:space="preserve">(a) DIN/PAN/Membership number of Designated Person </t>
    </r>
    <r>
      <rPr>
        <sz val="12"/>
        <color rgb="FF000000"/>
        <rFont val="Aptos Display"/>
        <family val="2"/>
      </rPr>
      <t>under XVI Declaration under Rule 9(4) of the Companies (Management and Administration) Rules, 2014</t>
    </r>
  </si>
  <si>
    <t>4</t>
  </si>
  <si>
    <t>MGT7A</t>
  </si>
  <si>
    <r>
      <rPr>
        <sz val="12"/>
        <color rgb="FF000000"/>
        <rFont val="Aptos Display"/>
        <family val="2"/>
      </rPr>
      <t xml:space="preserve">Please enter valid </t>
    </r>
    <r>
      <rPr>
        <b/>
        <sz val="12"/>
        <color rgb="FF000000"/>
        <rFont val="Aptos Display"/>
        <family val="2"/>
      </rPr>
      <t xml:space="preserve">CIN /FCRN </t>
    </r>
    <r>
      <rPr>
        <sz val="12"/>
        <color rgb="FF000000"/>
        <rFont val="Aptos Display"/>
        <family val="2"/>
      </rPr>
      <t xml:space="preserve"> under III PARTICULARS OF ASSOCIATE COMPANIES (INCLUDING JOINT VENTURES) (not applicable for OPC) for all applicable rows if i *No. of Companies for which information is to be given is greater than zero</t>
    </r>
  </si>
  <si>
    <r>
      <rPr>
        <sz val="12"/>
        <color rgb="FF000000"/>
        <rFont val="Aptos Display"/>
        <family val="2"/>
      </rPr>
      <t xml:space="preserve">Please enter valid </t>
    </r>
    <r>
      <rPr>
        <b/>
        <sz val="12"/>
        <color rgb="FF000000"/>
        <rFont val="Aptos Display"/>
        <family val="2"/>
      </rPr>
      <t xml:space="preserve">DIN </t>
    </r>
    <r>
      <rPr>
        <sz val="12"/>
        <color rgb="FF000000"/>
        <rFont val="Aptos Display"/>
        <family val="2"/>
      </rPr>
      <t>under C ATTENDANCE OF DIRECTORS (not applicable for OPC) in VII NUMBER OF PROMOTERS, MEMBERS, DEBENTURE HOLDERS for all applicable rows</t>
    </r>
  </si>
  <si>
    <r>
      <rPr>
        <sz val="12"/>
        <color rgb="FF000000"/>
        <rFont val="Aptos Display"/>
        <family val="2"/>
      </rPr>
      <t xml:space="preserve">Please enter valid </t>
    </r>
    <r>
      <rPr>
        <b/>
        <sz val="12"/>
        <color rgb="FF000000"/>
        <rFont val="Aptos Display"/>
        <family val="2"/>
      </rPr>
      <t>(a) DIN/PAN/Membership number of Designated Person</t>
    </r>
    <r>
      <rPr>
        <sz val="12"/>
        <color rgb="FF000000"/>
        <rFont val="Aptos Display"/>
        <family val="2"/>
      </rPr>
      <t xml:space="preserve"> under XV Declaration under Rule 9(4) of the Companies (Management and Administration) Rules, 2014 </t>
    </r>
  </si>
  <si>
    <t>CSR2</t>
  </si>
  <si>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7 (b)(I) Details of CSR amount spent against ongoing projects for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</si>
  <si>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7 (b)(ii) Details of CSR amount spent against other than ongoing projects for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 xml:space="preserve">. </t>
    </r>
  </si>
  <si>
    <r>
      <rPr>
        <sz val="12"/>
        <color rgb="FF000000"/>
        <rFont val="Aptos Display"/>
        <family val="2"/>
      </rPr>
      <t xml:space="preserve">Please enter valid </t>
    </r>
    <r>
      <rPr>
        <b/>
        <sz val="12"/>
        <color rgb="FF000000"/>
        <rFont val="Aptos Display"/>
        <family val="2"/>
      </rPr>
      <t>Project ID</t>
    </r>
    <r>
      <rPr>
        <sz val="12"/>
        <color rgb="FF000000"/>
        <rFont val="Aptos Display"/>
        <family val="2"/>
      </rPr>
      <t xml:space="preserve"> under 10 (b) Details of CSR amount spent in the financial year for ongoing projects of the preceding financial year(s) for all applicable rows if Number of Ongoing Projects for the financial year is greater than zero Project Id shall be in the format FY&lt;Financial year end date&gt;__Sr No for each company. Project related information will be populated based on the given Project ID</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</si>
  <si>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10 (c)(iii) Details of amount spent against new ongoing CSR project in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</si>
  <si>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10 (c)(iv) Details of amount spent against new other than ongoing projects in the financial year if Number of Ongoing Projects for the financial year is greater than zero and if "</t>
    </r>
    <r>
      <rPr>
        <b/>
        <sz val="12"/>
        <color rgb="FF000000"/>
        <rFont val="Aptos Display"/>
        <family val="2"/>
      </rPr>
      <t>No</t>
    </r>
    <r>
      <rPr>
        <sz val="12"/>
        <color rgb="FF000000"/>
        <rFont val="Aptos Display"/>
        <family val="2"/>
      </rPr>
      <t xml:space="preserve">" is selected in </t>
    </r>
    <r>
      <rPr>
        <b/>
        <sz val="12"/>
        <color rgb="FF000000"/>
        <rFont val="Aptos Display"/>
        <family val="2"/>
      </rPr>
      <t>Mode of Implementation - Direct</t>
    </r>
    <r>
      <rPr>
        <sz val="12"/>
        <color rgb="FF000000"/>
        <rFont val="Aptos Display"/>
        <family val="2"/>
      </rPr>
      <t xml:space="preserve">. </t>
    </r>
  </si>
  <si>
    <r>
      <rPr>
        <sz val="12"/>
        <color rgb="FF000000"/>
        <rFont val="Aptos Display"/>
        <family val="2"/>
      </rPr>
      <t xml:space="preserve">Please enter valid </t>
    </r>
    <r>
      <rPr>
        <b/>
        <sz val="12"/>
        <color rgb="FF000000"/>
        <rFont val="Aptos Display"/>
        <family val="2"/>
      </rPr>
      <t>CSR Registration No</t>
    </r>
    <r>
      <rPr>
        <sz val="12"/>
        <color rgb="FF000000"/>
        <rFont val="Aptos Display"/>
        <family val="2"/>
      </rPr>
      <t xml:space="preserve"> under </t>
    </r>
    <r>
      <rPr>
        <b/>
        <sz val="12"/>
        <color rgb="FF000000"/>
        <rFont val="Aptos Display"/>
        <family val="2"/>
      </rPr>
      <t>Mode of Implementation - Through Implementing Agency</t>
    </r>
    <r>
      <rPr>
        <sz val="12"/>
        <color rgb="FF000000"/>
        <rFont val="Aptos Display"/>
        <family val="2"/>
      </rPr>
      <t xml:space="preserve"> for all applicable Project Details under 11 Details of amount spent against CSR projects in the financial year if Number of CSR Projects is greater than zero and if "No" is selected in </t>
    </r>
    <r>
      <rPr>
        <b/>
        <sz val="12"/>
        <color rgb="FF000000"/>
        <rFont val="Aptos Display"/>
        <family val="2"/>
      </rPr>
      <t>Mode of Implementation - Direct</t>
    </r>
    <r>
      <rPr>
        <sz val="12"/>
        <color rgb="FF000000"/>
        <rFont val="Aptos Display"/>
        <family val="2"/>
      </rPr>
      <t xml:space="preserve">. </t>
    </r>
  </si>
  <si>
    <r>
      <rPr>
        <sz val="12"/>
        <color rgb="FF000000"/>
        <rFont val="Aptos Display"/>
        <family val="2"/>
      </rPr>
      <t xml:space="preserve">Please enter valid </t>
    </r>
    <r>
      <rPr>
        <b/>
        <sz val="12"/>
        <color rgb="FF000000"/>
        <rFont val="Aptos Display"/>
        <family val="2"/>
      </rPr>
      <t>Pin code</t>
    </r>
    <r>
      <rPr>
        <sz val="12"/>
        <color rgb="FF000000"/>
        <rFont val="Aptos Display"/>
        <family val="2"/>
      </rPr>
      <t xml:space="preserve"> of the property or asset(s) under Details of entity/ Authority/ beneficiary of the registered owner Mode of Implementation - Through Implementing Agency for all applicable Asset Details under Capital assets acquired through CSR if 12 Whether any capital assets have been created or acquired through CSR spent in the financial year is set to "</t>
    </r>
    <r>
      <rPr>
        <b/>
        <sz val="12"/>
        <color rgb="FF000000"/>
        <rFont val="Aptos Display"/>
        <family val="2"/>
      </rPr>
      <t>Yes</t>
    </r>
    <r>
      <rPr>
        <sz val="12"/>
        <color rgb="FF000000"/>
        <rFont val="Aptos Display"/>
        <family val="2"/>
      </rPr>
      <t>" and If yes, enter the number of Capital assets created/ acquired is greater than zero.</t>
    </r>
  </si>
  <si>
    <r>
      <rPr>
        <sz val="12"/>
        <color rgb="FF000000"/>
        <rFont val="Aptos Display"/>
        <family val="2"/>
      </rPr>
      <t xml:space="preserve">Please enter valid </t>
    </r>
    <r>
      <rPr>
        <b/>
        <sz val="12"/>
        <color rgb="FF000000"/>
        <rFont val="Aptos Display"/>
        <family val="2"/>
      </rPr>
      <t>CSR Registration Number, if applicable</t>
    </r>
    <r>
      <rPr>
        <sz val="12"/>
        <color rgb="FF000000"/>
        <rFont val="Aptos Display"/>
        <family val="2"/>
      </rPr>
      <t xml:space="preserve"> under Details of entity/ Authority/ beneficiary of the registered owner Mode of Implementation - Through Implementing Agency for all applicable Asset Details under Capital assets acquired through CSR if 12 Whether any capital assets have been created or acquired through CSR spent in the financial year is set to "</t>
    </r>
    <r>
      <rPr>
        <b/>
        <sz val="12"/>
        <color rgb="FF000000"/>
        <rFont val="Aptos Display"/>
        <family val="2"/>
      </rPr>
      <t>Yes</t>
    </r>
    <r>
      <rPr>
        <sz val="12"/>
        <color rgb="FF000000"/>
        <rFont val="Aptos Display"/>
        <family val="2"/>
      </rPr>
      <t>" and If yes, enter the number of Capital assets created/ acquired is greater than zero.</t>
    </r>
  </si>
  <si>
    <t>9</t>
  </si>
  <si>
    <r>
      <rPr>
        <sz val="12"/>
        <color rgb="FF000000"/>
        <rFont val="Aptos Display"/>
        <family val="2"/>
      </rPr>
      <t xml:space="preserve">Please enter valid </t>
    </r>
    <r>
      <rPr>
        <b/>
        <sz val="12"/>
        <color rgb="FF000000"/>
        <rFont val="Aptos Display"/>
        <family val="2"/>
      </rPr>
      <t>*Director identification number of the director or PAN of the Interim Resolution Professional (IRP) or Resolution Professional (RP) or Liquidator</t>
    </r>
    <r>
      <rPr>
        <sz val="12"/>
        <color rgb="FF000000"/>
        <rFont val="Aptos Display"/>
        <family val="2"/>
      </rPr>
      <t xml:space="preserve"> under Declaration</t>
    </r>
  </si>
  <si>
    <t>For form filing proceed to next tab</t>
  </si>
  <si>
    <t>Andaman_and_Nicobar_Islands</t>
  </si>
  <si>
    <t>Andhra_Pradesh</t>
  </si>
  <si>
    <t>Arunachal_Pradesh</t>
  </si>
  <si>
    <t>Assam</t>
  </si>
  <si>
    <t>Bihar</t>
  </si>
  <si>
    <t>Chandigarh</t>
  </si>
  <si>
    <t>Chattisgarh</t>
  </si>
  <si>
    <t>Dadra_AND_Nagar_Haveli</t>
  </si>
  <si>
    <t>Daman_and_Diu</t>
  </si>
  <si>
    <t>Delhi</t>
  </si>
  <si>
    <t>Goa</t>
  </si>
  <si>
    <t>Gujarat</t>
  </si>
  <si>
    <t>Haryana</t>
  </si>
  <si>
    <t>Himachal_Pradesh</t>
  </si>
  <si>
    <t>Jammu_AND_Kashmir</t>
  </si>
  <si>
    <t>Jharkhand</t>
  </si>
  <si>
    <t>Karnataka</t>
  </si>
  <si>
    <t>Kerala</t>
  </si>
  <si>
    <t>Lakshadweep</t>
  </si>
  <si>
    <t>Madhya_Pradesh</t>
  </si>
  <si>
    <t>Maharashtra</t>
  </si>
  <si>
    <t>Manipur</t>
  </si>
  <si>
    <t>Meghalaya</t>
  </si>
  <si>
    <t>Mizoram</t>
  </si>
  <si>
    <t>Nagaland</t>
  </si>
  <si>
    <t>Orissa</t>
  </si>
  <si>
    <t>Pondicherry</t>
  </si>
  <si>
    <t>Punjab</t>
  </si>
  <si>
    <t>Rajasthan</t>
  </si>
  <si>
    <t>Sikkim</t>
  </si>
  <si>
    <t>Tamil_Nadu</t>
  </si>
  <si>
    <t>Telangana</t>
  </si>
  <si>
    <t>Tripura</t>
  </si>
  <si>
    <t>Uttar_Pradesh</t>
  </si>
  <si>
    <t>Uttarakhand</t>
  </si>
  <si>
    <t>West_Bengal</t>
  </si>
  <si>
    <t>Nicobar</t>
  </si>
  <si>
    <t>Ananthapur</t>
  </si>
  <si>
    <t>Changlang</t>
  </si>
  <si>
    <t>Baksa</t>
  </si>
  <si>
    <t>Araria</t>
  </si>
  <si>
    <t>Balod</t>
  </si>
  <si>
    <t>Dadra &amp; Nagar Haveli</t>
  </si>
  <si>
    <t>Daman</t>
  </si>
  <si>
    <t>Central Delhi</t>
  </si>
  <si>
    <t>North Goa</t>
  </si>
  <si>
    <t>Ahmedabad</t>
  </si>
  <si>
    <t>Ambala</t>
  </si>
  <si>
    <t>Bilaspur (HP)</t>
  </si>
  <si>
    <t>Ananthnag</t>
  </si>
  <si>
    <t>Bokaro</t>
  </si>
  <si>
    <t>Bagalkot</t>
  </si>
  <si>
    <t>Alappuzha</t>
  </si>
  <si>
    <t>Alirajpur</t>
  </si>
  <si>
    <t>Ahmed Nagar</t>
  </si>
  <si>
    <t>bishnupur</t>
  </si>
  <si>
    <t>East Garo Hills</t>
  </si>
  <si>
    <t>Aizawal</t>
  </si>
  <si>
    <t>Dimapur</t>
  </si>
  <si>
    <t>Angul</t>
  </si>
  <si>
    <t>Karaikal</t>
  </si>
  <si>
    <t>Amritsar</t>
  </si>
  <si>
    <t>Ajmer</t>
  </si>
  <si>
    <t>East Sikkim</t>
  </si>
  <si>
    <t>Ariyalur</t>
  </si>
  <si>
    <t>Adilabad</t>
  </si>
  <si>
    <t>Dhalai</t>
  </si>
  <si>
    <t>Agra</t>
  </si>
  <si>
    <t>Almora</t>
  </si>
  <si>
    <t>Bankura</t>
  </si>
  <si>
    <t>North And Middle Andaman</t>
  </si>
  <si>
    <t>Bhadrachalam</t>
  </si>
  <si>
    <t>Dibang Valley</t>
  </si>
  <si>
    <t>Barpeta</t>
  </si>
  <si>
    <t>Arwal</t>
  </si>
  <si>
    <t>Bastar</t>
  </si>
  <si>
    <t>Diu</t>
  </si>
  <si>
    <t>East Delhi</t>
  </si>
  <si>
    <t>South Goa</t>
  </si>
  <si>
    <t>Ahmedabad City</t>
  </si>
  <si>
    <t>Bhiwani</t>
  </si>
  <si>
    <t>Bilaspur Hp</t>
  </si>
  <si>
    <t>Bandipur</t>
  </si>
  <si>
    <t>Chatra</t>
  </si>
  <si>
    <t>Ballari</t>
  </si>
  <si>
    <t>Ernakulam</t>
  </si>
  <si>
    <t>Anuppur</t>
  </si>
  <si>
    <t>Akola</t>
  </si>
  <si>
    <t>chandel</t>
  </si>
  <si>
    <t>East Jaintia Hills</t>
  </si>
  <si>
    <t>Aizawl</t>
  </si>
  <si>
    <t>Kiphire</t>
  </si>
  <si>
    <t>Anugul</t>
  </si>
  <si>
    <t>Mahe</t>
  </si>
  <si>
    <t>Barnala</t>
  </si>
  <si>
    <t>Alwar</t>
  </si>
  <si>
    <t>North Sikkim</t>
  </si>
  <si>
    <t>Chennai</t>
  </si>
  <si>
    <t>Gadwal</t>
  </si>
  <si>
    <t>Dharmanagar</t>
  </si>
  <si>
    <t>Aligarh</t>
  </si>
  <si>
    <t>Bageshwar</t>
  </si>
  <si>
    <t>Bardhaman</t>
  </si>
  <si>
    <t>South Andaman</t>
  </si>
  <si>
    <t>Bhongir</t>
  </si>
  <si>
    <t>East Kameng</t>
  </si>
  <si>
    <t>Bongaigaon</t>
  </si>
  <si>
    <t>Aurangabad</t>
  </si>
  <si>
    <t>Bijapur(CGH)</t>
  </si>
  <si>
    <t>New Delhi</t>
  </si>
  <si>
    <t>Amreli</t>
  </si>
  <si>
    <t>Faridabad</t>
  </si>
  <si>
    <t>Chamba</t>
  </si>
  <si>
    <t>Baramulla</t>
  </si>
  <si>
    <t>Deoghar</t>
  </si>
  <si>
    <t>Bangalore</t>
  </si>
  <si>
    <t>Idukki</t>
  </si>
  <si>
    <t>Ashok Nagar</t>
  </si>
  <si>
    <t>Amravati</t>
  </si>
  <si>
    <t>churachandpur</t>
  </si>
  <si>
    <t>East Khasi Hills</t>
  </si>
  <si>
    <t>Champhai</t>
  </si>
  <si>
    <t>Kohima</t>
  </si>
  <si>
    <t>Balangir</t>
  </si>
  <si>
    <t>Bathinda</t>
  </si>
  <si>
    <t>Banswara</t>
  </si>
  <si>
    <t>South Sikkim</t>
  </si>
  <si>
    <t>Coimbatore</t>
  </si>
  <si>
    <t>Hyderabad</t>
  </si>
  <si>
    <t>Gomati</t>
  </si>
  <si>
    <t>Allahabad</t>
  </si>
  <si>
    <t>Chamoli</t>
  </si>
  <si>
    <t>Birbhum</t>
  </si>
  <si>
    <t>Chittoor</t>
  </si>
  <si>
    <t>East Siang</t>
  </si>
  <si>
    <t>Cachar</t>
  </si>
  <si>
    <t>Aurangabad(BH)</t>
  </si>
  <si>
    <t>Bilaspur(CGH)</t>
  </si>
  <si>
    <t>North Delhi</t>
  </si>
  <si>
    <t>Anand</t>
  </si>
  <si>
    <t>Fatehabad</t>
  </si>
  <si>
    <t>Hamirpur(HP)</t>
  </si>
  <si>
    <t>Budgam</t>
  </si>
  <si>
    <t>Dhanbad</t>
  </si>
  <si>
    <t>Bangalore Rural</t>
  </si>
  <si>
    <t>Kannur</t>
  </si>
  <si>
    <t>Balaghat</t>
  </si>
  <si>
    <t>imphal east</t>
  </si>
  <si>
    <t>Jaintia Hills</t>
  </si>
  <si>
    <t>Kolasib</t>
  </si>
  <si>
    <t>Longleng</t>
  </si>
  <si>
    <t>Baleshwar</t>
  </si>
  <si>
    <t>Chandighar</t>
  </si>
  <si>
    <t>Baran</t>
  </si>
  <si>
    <t>West Sikkim</t>
  </si>
  <si>
    <t>Cuddalore</t>
  </si>
  <si>
    <t>Jangaon</t>
  </si>
  <si>
    <t>Gomti</t>
  </si>
  <si>
    <t>Ambedkar Nagar</t>
  </si>
  <si>
    <t>Champawat</t>
  </si>
  <si>
    <t>Cooch Behar</t>
  </si>
  <si>
    <t>Cuddapah</t>
  </si>
  <si>
    <t>Kurung Kumey</t>
  </si>
  <si>
    <t>Darrang</t>
  </si>
  <si>
    <t>Banka</t>
  </si>
  <si>
    <t>Dantewada</t>
  </si>
  <si>
    <t>North East Delhi</t>
  </si>
  <si>
    <t>Banaskantha</t>
  </si>
  <si>
    <t>Gurgaon</t>
  </si>
  <si>
    <t>Kangra</t>
  </si>
  <si>
    <t>Doda</t>
  </si>
  <si>
    <t>Dumka</t>
  </si>
  <si>
    <t>Belagavi</t>
  </si>
  <si>
    <t>Kasaragod</t>
  </si>
  <si>
    <t>Barwani</t>
  </si>
  <si>
    <t>Beed</t>
  </si>
  <si>
    <t>imphal west</t>
  </si>
  <si>
    <t>Na</t>
  </si>
  <si>
    <t>Lawngtlai</t>
  </si>
  <si>
    <t>Mokokchung</t>
  </si>
  <si>
    <t>Baleswar</t>
  </si>
  <si>
    <t>Faridkot</t>
  </si>
  <si>
    <t>Barmer</t>
  </si>
  <si>
    <t>Dharmapuri</t>
  </si>
  <si>
    <t>K.V.Rangareddy</t>
  </si>
  <si>
    <t>Auraiya</t>
  </si>
  <si>
    <t>Dehradun</t>
  </si>
  <si>
    <t>Darjeeling</t>
  </si>
  <si>
    <t>East Godavari</t>
  </si>
  <si>
    <t>Lohit</t>
  </si>
  <si>
    <t>Dhemaji</t>
  </si>
  <si>
    <t>Begusarai</t>
  </si>
  <si>
    <t>Dhamtari</t>
  </si>
  <si>
    <t>North West</t>
  </si>
  <si>
    <t>Bharuch</t>
  </si>
  <si>
    <t>Hisar</t>
  </si>
  <si>
    <t>Kinnaur</t>
  </si>
  <si>
    <t>Ganderbal</t>
  </si>
  <si>
    <t>East Singhbhum</t>
  </si>
  <si>
    <t>Belgaum</t>
  </si>
  <si>
    <t>Kasargod</t>
  </si>
  <si>
    <t>Betul</t>
  </si>
  <si>
    <t>Bhandara</t>
  </si>
  <si>
    <t>senapati</t>
  </si>
  <si>
    <t>Ri Bhoi</t>
  </si>
  <si>
    <t>Lunglei</t>
  </si>
  <si>
    <t>Mon</t>
  </si>
  <si>
    <t>Bargarh</t>
  </si>
  <si>
    <t>Fatehgarh Sahib</t>
  </si>
  <si>
    <t>Bharatpur</t>
  </si>
  <si>
    <t>Dindigul</t>
  </si>
  <si>
    <t>Karim Nagar</t>
  </si>
  <si>
    <t>North Tripura</t>
  </si>
  <si>
    <t>Azamgarh</t>
  </si>
  <si>
    <t>Haridwar</t>
  </si>
  <si>
    <t>Darjiling</t>
  </si>
  <si>
    <t>Guntur</t>
  </si>
  <si>
    <t>Lower Dibang Valley</t>
  </si>
  <si>
    <t>Dhubri</t>
  </si>
  <si>
    <t>Bhagalpur</t>
  </si>
  <si>
    <t>Durg</t>
  </si>
  <si>
    <t>North West Delhi</t>
  </si>
  <si>
    <t>Bhavnagar</t>
  </si>
  <si>
    <t>Jhajjar</t>
  </si>
  <si>
    <t>Kullu</t>
  </si>
  <si>
    <t>Jammu</t>
  </si>
  <si>
    <t>Garhwa</t>
  </si>
  <si>
    <t>Bellary</t>
  </si>
  <si>
    <t>Kollam</t>
  </si>
  <si>
    <t>Bhind</t>
  </si>
  <si>
    <t>Buldhana</t>
  </si>
  <si>
    <t>tamenglong</t>
  </si>
  <si>
    <t>Shillong</t>
  </si>
  <si>
    <t>Mamit</t>
  </si>
  <si>
    <t>Peren</t>
  </si>
  <si>
    <t>Bhadrak</t>
  </si>
  <si>
    <t>Fazilka</t>
  </si>
  <si>
    <t>Bhilwara</t>
  </si>
  <si>
    <t>Erode</t>
  </si>
  <si>
    <t>Khammam</t>
  </si>
  <si>
    <t>Sepahijala</t>
  </si>
  <si>
    <t>Bagpat</t>
  </si>
  <si>
    <t>Nainital</t>
  </si>
  <si>
    <t>East Midnapore</t>
  </si>
  <si>
    <t>Kadapa</t>
  </si>
  <si>
    <t>Lower Subansiri</t>
  </si>
  <si>
    <t>Dibrugarh</t>
  </si>
  <si>
    <t>Bhojpur</t>
  </si>
  <si>
    <t>Gariaband</t>
  </si>
  <si>
    <t>Shahdara</t>
  </si>
  <si>
    <t>Dahod</t>
  </si>
  <si>
    <t>Jind</t>
  </si>
  <si>
    <t>Lahul &amp; Spiti</t>
  </si>
  <si>
    <t>Kargil</t>
  </si>
  <si>
    <t>Giridh</t>
  </si>
  <si>
    <t>Bengaluru</t>
  </si>
  <si>
    <t>Kottayam</t>
  </si>
  <si>
    <t>Bhopal</t>
  </si>
  <si>
    <t>Chandrapur</t>
  </si>
  <si>
    <t>thoubal</t>
  </si>
  <si>
    <t>South Garo Hills</t>
  </si>
  <si>
    <t>Mammit</t>
  </si>
  <si>
    <t>Phek</t>
  </si>
  <si>
    <t>Boudh</t>
  </si>
  <si>
    <t>Firozpur</t>
  </si>
  <si>
    <t>Bikaner</t>
  </si>
  <si>
    <t>Kanchipuram</t>
  </si>
  <si>
    <t>Mahabub Nagar</t>
  </si>
  <si>
    <t>South Tripura</t>
  </si>
  <si>
    <t>Bahraich</t>
  </si>
  <si>
    <t>Pauri Garhwal</t>
  </si>
  <si>
    <t>Hooghly</t>
  </si>
  <si>
    <t>Krishna</t>
  </si>
  <si>
    <t>Papum Pare</t>
  </si>
  <si>
    <t>Goalpara</t>
  </si>
  <si>
    <t>Buxar</t>
  </si>
  <si>
    <t>Janjgir-Champa</t>
  </si>
  <si>
    <t>South Delhi</t>
  </si>
  <si>
    <t>Gandhi Nagar</t>
  </si>
  <si>
    <t>Kaithal</t>
  </si>
  <si>
    <t>Mandi</t>
  </si>
  <si>
    <t>Kathua</t>
  </si>
  <si>
    <t>Godda</t>
  </si>
  <si>
    <t>Bengaluru Rural</t>
  </si>
  <si>
    <t>Kozhikode</t>
  </si>
  <si>
    <t>Burhanpur</t>
  </si>
  <si>
    <t>Dhule</t>
  </si>
  <si>
    <t>ukhrul</t>
  </si>
  <si>
    <t>Tura</t>
  </si>
  <si>
    <t>Saiha</t>
  </si>
  <si>
    <t>Tuensang</t>
  </si>
  <si>
    <t>Cuttack</t>
  </si>
  <si>
    <t>Gurdaspur</t>
  </si>
  <si>
    <t>Bundi</t>
  </si>
  <si>
    <t>Kanyakumari</t>
  </si>
  <si>
    <t>Mahabubabad</t>
  </si>
  <si>
    <t>West Tripura</t>
  </si>
  <si>
    <t>Ballia</t>
  </si>
  <si>
    <t>Pithoragarh</t>
  </si>
  <si>
    <t>Howrah</t>
  </si>
  <si>
    <t>Kurnool</t>
  </si>
  <si>
    <t>Tawang</t>
  </si>
  <si>
    <t>Golaghat</t>
  </si>
  <si>
    <t>Darbhanga</t>
  </si>
  <si>
    <t>Janjgir-champa</t>
  </si>
  <si>
    <t>South West Delhi</t>
  </si>
  <si>
    <t>Gandhinagar</t>
  </si>
  <si>
    <t>Karnal</t>
  </si>
  <si>
    <t>Shimla</t>
  </si>
  <si>
    <t>Kulgam</t>
  </si>
  <si>
    <t>Gumla</t>
  </si>
  <si>
    <t>Bidar</t>
  </si>
  <si>
    <t>Malappuram</t>
  </si>
  <si>
    <t>Chhatarpur</t>
  </si>
  <si>
    <t>Gadchiroli</t>
  </si>
  <si>
    <t>West Garo Hills</t>
  </si>
  <si>
    <t>Serchhip</t>
  </si>
  <si>
    <t>Wokha</t>
  </si>
  <si>
    <t>Debagarh</t>
  </si>
  <si>
    <t>Hoshiarpur</t>
  </si>
  <si>
    <t>Chittorgarh</t>
  </si>
  <si>
    <t>Medak</t>
  </si>
  <si>
    <t>Balrampur</t>
  </si>
  <si>
    <t>Rudraprayag</t>
  </si>
  <si>
    <t>Jalpaiguri</t>
  </si>
  <si>
    <t>Nellore</t>
  </si>
  <si>
    <t>Tirap</t>
  </si>
  <si>
    <t>Hailakandi</t>
  </si>
  <si>
    <t>East Champaran</t>
  </si>
  <si>
    <t>Jashpur</t>
  </si>
  <si>
    <t>West Delhi</t>
  </si>
  <si>
    <t>Gir Somnath</t>
  </si>
  <si>
    <t>Kurukshetra</t>
  </si>
  <si>
    <t>Sirmaur</t>
  </si>
  <si>
    <t>Kupwara</t>
  </si>
  <si>
    <t>Hazaribag</t>
  </si>
  <si>
    <t>Bijapur(KAR)</t>
  </si>
  <si>
    <t>Palakkad</t>
  </si>
  <si>
    <t>Chhindwara</t>
  </si>
  <si>
    <t>Gondia</t>
  </si>
  <si>
    <t>West Khasi Hills</t>
  </si>
  <si>
    <t>Zunhebotto</t>
  </si>
  <si>
    <t>Dhenkanal</t>
  </si>
  <si>
    <t>Jalandhar</t>
  </si>
  <si>
    <t>Churu</t>
  </si>
  <si>
    <t>Karur</t>
  </si>
  <si>
    <t>Nalgonda</t>
  </si>
  <si>
    <t>Banda</t>
  </si>
  <si>
    <t>Tehri Garhwal</t>
  </si>
  <si>
    <t>Kolkata</t>
  </si>
  <si>
    <t>Prakasam</t>
  </si>
  <si>
    <t>Upper Siang</t>
  </si>
  <si>
    <t>Jorhat</t>
  </si>
  <si>
    <t>Gaya</t>
  </si>
  <si>
    <t>Kanker</t>
  </si>
  <si>
    <t>Jamnagar</t>
  </si>
  <si>
    <t>Mahendragarh</t>
  </si>
  <si>
    <t>Solan</t>
  </si>
  <si>
    <t>Leh</t>
  </si>
  <si>
    <t>Jamtara</t>
  </si>
  <si>
    <t>Chamrajnagar</t>
  </si>
  <si>
    <t>Pathanamthitta</t>
  </si>
  <si>
    <t>Damoh</t>
  </si>
  <si>
    <t>Hingoli</t>
  </si>
  <si>
    <t>Gajapati</t>
  </si>
  <si>
    <t>Kapurthala</t>
  </si>
  <si>
    <t>Dausa</t>
  </si>
  <si>
    <t>Krishnagiri</t>
  </si>
  <si>
    <t>Nizamabad</t>
  </si>
  <si>
    <t>Barabanki</t>
  </si>
  <si>
    <t>Udam Singh Nagar</t>
  </si>
  <si>
    <t>Malda</t>
  </si>
  <si>
    <t>Rangareddy</t>
  </si>
  <si>
    <t>Upper Subansiri</t>
  </si>
  <si>
    <t>Kamrup</t>
  </si>
  <si>
    <t>Gopalganj</t>
  </si>
  <si>
    <t>Kawardha</t>
  </si>
  <si>
    <t>Junagadh</t>
  </si>
  <si>
    <t>Panchkula</t>
  </si>
  <si>
    <t>Una</t>
  </si>
  <si>
    <t>Poonch</t>
  </si>
  <si>
    <t>Khunti</t>
  </si>
  <si>
    <t>Chickmagalur</t>
  </si>
  <si>
    <t>Thiruvananthapuram</t>
  </si>
  <si>
    <t>Datia</t>
  </si>
  <si>
    <t>Jalgaon</t>
  </si>
  <si>
    <t>Ganjam</t>
  </si>
  <si>
    <t>Ludhiana</t>
  </si>
  <si>
    <t>Dholpur</t>
  </si>
  <si>
    <t>Madurai</t>
  </si>
  <si>
    <t>Peddapalli</t>
  </si>
  <si>
    <t>Bareilly</t>
  </si>
  <si>
    <t>Udham Singh Nagar</t>
  </si>
  <si>
    <t>Medinipur</t>
  </si>
  <si>
    <t>Spsr Nellore</t>
  </si>
  <si>
    <t>West Kameng</t>
  </si>
  <si>
    <t>Kamrup Metropolitan</t>
  </si>
  <si>
    <t>Jamui</t>
  </si>
  <si>
    <t>Korba</t>
  </si>
  <si>
    <t>Kachchh</t>
  </si>
  <si>
    <t>Panipat</t>
  </si>
  <si>
    <t>Pulwama</t>
  </si>
  <si>
    <t>Koderma</t>
  </si>
  <si>
    <t>Chikkaballapur</t>
  </si>
  <si>
    <t>Thrissur</t>
  </si>
  <si>
    <t>Dewas</t>
  </si>
  <si>
    <t>Jalna</t>
  </si>
  <si>
    <t>Jagatsinghapur</t>
  </si>
  <si>
    <t>Mansa</t>
  </si>
  <si>
    <t>Dungarpur</t>
  </si>
  <si>
    <t>Nagapattinam</t>
  </si>
  <si>
    <t>Ranga Reddy</t>
  </si>
  <si>
    <t>Basti</t>
  </si>
  <si>
    <t>Uttarkashi</t>
  </si>
  <si>
    <t>Murshidabad</t>
  </si>
  <si>
    <t>Srikakulam</t>
  </si>
  <si>
    <t>West Siang</t>
  </si>
  <si>
    <t>Karbi Anglong</t>
  </si>
  <si>
    <t>Jehanabad</t>
  </si>
  <si>
    <t>Koriya</t>
  </si>
  <si>
    <t>Kheda</t>
  </si>
  <si>
    <t>Rewari</t>
  </si>
  <si>
    <t>Rajauri</t>
  </si>
  <si>
    <t>Latehar</t>
  </si>
  <si>
    <t>Chitradurga</t>
  </si>
  <si>
    <t>Wayanad</t>
  </si>
  <si>
    <t>Dhar</t>
  </si>
  <si>
    <t>Kolhapur</t>
  </si>
  <si>
    <t>Jajapur</t>
  </si>
  <si>
    <t>Moga</t>
  </si>
  <si>
    <t>Ganganagar</t>
  </si>
  <si>
    <t>Namakkal</t>
  </si>
  <si>
    <t>Bijnor</t>
  </si>
  <si>
    <t>Nadia</t>
  </si>
  <si>
    <t>Srikalahasti</t>
  </si>
  <si>
    <t>Karimganj</t>
  </si>
  <si>
    <t>Kaimur (Bhabua)</t>
  </si>
  <si>
    <t>Mahasamund</t>
  </si>
  <si>
    <t>Mahesana</t>
  </si>
  <si>
    <t>Rohtak</t>
  </si>
  <si>
    <t>Reasi</t>
  </si>
  <si>
    <t>Lohardaga</t>
  </si>
  <si>
    <t>Dakshina Kannada</t>
  </si>
  <si>
    <t>Dindori</t>
  </si>
  <si>
    <t>Latur</t>
  </si>
  <si>
    <t>Jharsuguda</t>
  </si>
  <si>
    <t>Mohali</t>
  </si>
  <si>
    <t>Hanumangarh</t>
  </si>
  <si>
    <t>Nilgiris</t>
  </si>
  <si>
    <t>Sangareddy</t>
  </si>
  <si>
    <t>Budaun</t>
  </si>
  <si>
    <t>North 24 Parganas</t>
  </si>
  <si>
    <t>Visakhapatnam</t>
  </si>
  <si>
    <t>Kokrajhar</t>
  </si>
  <si>
    <t>Katihar</t>
  </si>
  <si>
    <t>Makdi</t>
  </si>
  <si>
    <t>Morbi</t>
  </si>
  <si>
    <t>Sirsa</t>
  </si>
  <si>
    <t>Shopian</t>
  </si>
  <si>
    <t>Pakur</t>
  </si>
  <si>
    <t>Davangere</t>
  </si>
  <si>
    <t>East Nimar</t>
  </si>
  <si>
    <t>Mumbai</t>
  </si>
  <si>
    <t>Kalahandi</t>
  </si>
  <si>
    <t>Muktsar</t>
  </si>
  <si>
    <t>Jaipur</t>
  </si>
  <si>
    <t>Perambalur</t>
  </si>
  <si>
    <t>Siddipet</t>
  </si>
  <si>
    <t>Bulandshahr</t>
  </si>
  <si>
    <t>North Dinajpur</t>
  </si>
  <si>
    <t>Vizianagaram</t>
  </si>
  <si>
    <t>Lakhimpur</t>
  </si>
  <si>
    <t>Khagaria</t>
  </si>
  <si>
    <t>Narayanpur</t>
  </si>
  <si>
    <t>Narmada</t>
  </si>
  <si>
    <t>Sonipat</t>
  </si>
  <si>
    <t>Srinagar</t>
  </si>
  <si>
    <t>Palamau</t>
  </si>
  <si>
    <t>Dharwad</t>
  </si>
  <si>
    <t>Guna</t>
  </si>
  <si>
    <t>Nagpur</t>
  </si>
  <si>
    <t>Kandhamal</t>
  </si>
  <si>
    <t>Nawanshahr</t>
  </si>
  <si>
    <t>Jaisalmer</t>
  </si>
  <si>
    <t>Pudukkottai</t>
  </si>
  <si>
    <t>Suryapet</t>
  </si>
  <si>
    <t>Chandauli</t>
  </si>
  <si>
    <t>Purulia</t>
  </si>
  <si>
    <t>West Godavari</t>
  </si>
  <si>
    <t>Marigaon</t>
  </si>
  <si>
    <t>Kishanganj</t>
  </si>
  <si>
    <t>Raigarh</t>
  </si>
  <si>
    <t>Navsari</t>
  </si>
  <si>
    <t>Yamuna Nagar</t>
  </si>
  <si>
    <t>Udhampur</t>
  </si>
  <si>
    <t>Ramgarh</t>
  </si>
  <si>
    <t>Gadag</t>
  </si>
  <si>
    <t>Gwalior</t>
  </si>
  <si>
    <t>Nanded</t>
  </si>
  <si>
    <t>Kendrapara</t>
  </si>
  <si>
    <t>Pathankot</t>
  </si>
  <si>
    <t>Jalor</t>
  </si>
  <si>
    <t>Ramanathapuram</t>
  </si>
  <si>
    <t>Vikarabad</t>
  </si>
  <si>
    <t>Chitrakoot</t>
  </si>
  <si>
    <t>Puruliya</t>
  </si>
  <si>
    <t>Nagaon</t>
  </si>
  <si>
    <t>Lakhisarai</t>
  </si>
  <si>
    <t>Raipur</t>
  </si>
  <si>
    <t>Panch Mahals</t>
  </si>
  <si>
    <t>Ranchi</t>
  </si>
  <si>
    <t>Gulbarga</t>
  </si>
  <si>
    <t>Harda</t>
  </si>
  <si>
    <t>Nandurbar</t>
  </si>
  <si>
    <t>Kendujhar</t>
  </si>
  <si>
    <t>Patiala</t>
  </si>
  <si>
    <t>Jhalawar</t>
  </si>
  <si>
    <t>Salem</t>
  </si>
  <si>
    <t>Wanaparthy</t>
  </si>
  <si>
    <t>Deoria</t>
  </si>
  <si>
    <t>South 24 Parganas</t>
  </si>
  <si>
    <t>Nalbari</t>
  </si>
  <si>
    <t>Madhepura</t>
  </si>
  <si>
    <t>Rajnandgaon</t>
  </si>
  <si>
    <t>Patan</t>
  </si>
  <si>
    <t>Sahibganj</t>
  </si>
  <si>
    <t>Hassan</t>
  </si>
  <si>
    <t>Hoshangabad</t>
  </si>
  <si>
    <t>Nashik</t>
  </si>
  <si>
    <t>Khorda</t>
  </si>
  <si>
    <t>Ropar</t>
  </si>
  <si>
    <t>Jhujhunu</t>
  </si>
  <si>
    <t>Sivaganga</t>
  </si>
  <si>
    <t>Warangal</t>
  </si>
  <si>
    <t>Etah</t>
  </si>
  <si>
    <t>South Dinajpur</t>
  </si>
  <si>
    <t>Sibsagar</t>
  </si>
  <si>
    <t>Madhubani</t>
  </si>
  <si>
    <t>Surguja</t>
  </si>
  <si>
    <t>Porbandar</t>
  </si>
  <si>
    <t>Seraikela-kharsawan</t>
  </si>
  <si>
    <t>Haveri</t>
  </si>
  <si>
    <t>Indore</t>
  </si>
  <si>
    <t>Osmanabad</t>
  </si>
  <si>
    <t>Khordha</t>
  </si>
  <si>
    <t>Rupnagar</t>
  </si>
  <si>
    <t>Jhunjhunu</t>
  </si>
  <si>
    <t>Thanjavur</t>
  </si>
  <si>
    <t>Warangal Rural</t>
  </si>
  <si>
    <t>Etawah</t>
  </si>
  <si>
    <t>West Midnapore</t>
  </si>
  <si>
    <t>Sonitpur</t>
  </si>
  <si>
    <t>Munger</t>
  </si>
  <si>
    <t>Rajkot</t>
  </si>
  <si>
    <t>Seraikelakharsawan</t>
  </si>
  <si>
    <t>Kalaburagi</t>
  </si>
  <si>
    <t>Jabalpur</t>
  </si>
  <si>
    <t>Parbhani</t>
  </si>
  <si>
    <t>Koraput</t>
  </si>
  <si>
    <t>Sangrur</t>
  </si>
  <si>
    <t>Jodhpur</t>
  </si>
  <si>
    <t>Theni</t>
  </si>
  <si>
    <t>Faizabad</t>
  </si>
  <si>
    <t>Tinsukia</t>
  </si>
  <si>
    <t>Muzaffarpur</t>
  </si>
  <si>
    <t>Sabar Kantha</t>
  </si>
  <si>
    <t>Simdega</t>
  </si>
  <si>
    <t>Kodagu</t>
  </si>
  <si>
    <t>Jhabua</t>
  </si>
  <si>
    <t>Pune</t>
  </si>
  <si>
    <t>Malkangiri</t>
  </si>
  <si>
    <t>Tarn Taran</t>
  </si>
  <si>
    <t>Karauli</t>
  </si>
  <si>
    <t>Tiruchirappalli</t>
  </si>
  <si>
    <t>Farrukhabad</t>
  </si>
  <si>
    <t>Nalanda</t>
  </si>
  <si>
    <t>Sabarkantha</t>
  </si>
  <si>
    <t>West Singhbhum</t>
  </si>
  <si>
    <t>Kolar</t>
  </si>
  <si>
    <t>Katni</t>
  </si>
  <si>
    <t>Raigad</t>
  </si>
  <si>
    <t>Mayurbhanj</t>
  </si>
  <si>
    <t>Kota</t>
  </si>
  <si>
    <t>Tirunelveli</t>
  </si>
  <si>
    <t>Fatehpur</t>
  </si>
  <si>
    <t>Nawada</t>
  </si>
  <si>
    <t>Surat</t>
  </si>
  <si>
    <t>Koppal</t>
  </si>
  <si>
    <t>Khandwa</t>
  </si>
  <si>
    <t>Raigarh(MH)</t>
  </si>
  <si>
    <t>Nabarangapur</t>
  </si>
  <si>
    <t>Nagaur</t>
  </si>
  <si>
    <t>Tiruppur</t>
  </si>
  <si>
    <t>Firozabad</t>
  </si>
  <si>
    <t>Patna</t>
  </si>
  <si>
    <t>Surendra Nagar</t>
  </si>
  <si>
    <t>Mandya</t>
  </si>
  <si>
    <t>Khargone</t>
  </si>
  <si>
    <t>Ratnagiri</t>
  </si>
  <si>
    <t>Nayagarh</t>
  </si>
  <si>
    <t>Pali</t>
  </si>
  <si>
    <t>Tiruvallur</t>
  </si>
  <si>
    <t>Gautam Buddha Nagar</t>
  </si>
  <si>
    <t>Purnia</t>
  </si>
  <si>
    <t>Tapi</t>
  </si>
  <si>
    <t>Mysore</t>
  </si>
  <si>
    <t>Mandla</t>
  </si>
  <si>
    <t>Sangli</t>
  </si>
  <si>
    <t>Nuapada</t>
  </si>
  <si>
    <t>Pratapghar</t>
  </si>
  <si>
    <t>Tiruvannamalai</t>
  </si>
  <si>
    <t>Ghaziabad</t>
  </si>
  <si>
    <t>Rohtas</t>
  </si>
  <si>
    <t>The Dangs</t>
  </si>
  <si>
    <t>Mysuru</t>
  </si>
  <si>
    <t>Mandsaur</t>
  </si>
  <si>
    <t>Satara</t>
  </si>
  <si>
    <t>Puri</t>
  </si>
  <si>
    <t>Rajsamand</t>
  </si>
  <si>
    <t>Tiruvarur</t>
  </si>
  <si>
    <t>Ghazipur</t>
  </si>
  <si>
    <t>Saharsa</t>
  </si>
  <si>
    <t>Vadodara</t>
  </si>
  <si>
    <t>Raichur</t>
  </si>
  <si>
    <t>Morena</t>
  </si>
  <si>
    <t>Sindhudurg</t>
  </si>
  <si>
    <t>Rayagada</t>
  </si>
  <si>
    <t>Sawai Madhopur</t>
  </si>
  <si>
    <t>Tuticorin</t>
  </si>
  <si>
    <t>Gonda</t>
  </si>
  <si>
    <t>Samastipur</t>
  </si>
  <si>
    <t>Valsad</t>
  </si>
  <si>
    <t>Ramanagar</t>
  </si>
  <si>
    <t>Narsinghpur</t>
  </si>
  <si>
    <t>Solapur</t>
  </si>
  <si>
    <t>Sambalpur</t>
  </si>
  <si>
    <t>Sikar</t>
  </si>
  <si>
    <t>Vellore</t>
  </si>
  <si>
    <t>Gorakhpur</t>
  </si>
  <si>
    <t>Saran</t>
  </si>
  <si>
    <t>Shimoga</t>
  </si>
  <si>
    <t>Neemuch</t>
  </si>
  <si>
    <t>Thane</t>
  </si>
  <si>
    <t>Sonapur</t>
  </si>
  <si>
    <t>Sirohi</t>
  </si>
  <si>
    <t>Villupuram</t>
  </si>
  <si>
    <t>Hamirpur</t>
  </si>
  <si>
    <t>Sheikhpura</t>
  </si>
  <si>
    <t>Tumkur</t>
  </si>
  <si>
    <t>Panna</t>
  </si>
  <si>
    <t>Wardha</t>
  </si>
  <si>
    <t>Sundergarh</t>
  </si>
  <si>
    <t>Sriganganagar</t>
  </si>
  <si>
    <t>Virudhunagar</t>
  </si>
  <si>
    <t>Hardoi</t>
  </si>
  <si>
    <t>Sheohar</t>
  </si>
  <si>
    <t>Udupi</t>
  </si>
  <si>
    <t>Raisen</t>
  </si>
  <si>
    <t>Washim</t>
  </si>
  <si>
    <t>Tonk</t>
  </si>
  <si>
    <t>Hathras</t>
  </si>
  <si>
    <t>Sitamarhi</t>
  </si>
  <si>
    <t>Uttara Kannada</t>
  </si>
  <si>
    <t>Rajgarh</t>
  </si>
  <si>
    <t>Yavatmal</t>
  </si>
  <si>
    <t>Udaipur</t>
  </si>
  <si>
    <t>Jalaun</t>
  </si>
  <si>
    <t>Siwan</t>
  </si>
  <si>
    <t>Yadgir</t>
  </si>
  <si>
    <t>Ratlam</t>
  </si>
  <si>
    <t>Jaunpur</t>
  </si>
  <si>
    <t>Supaul</t>
  </si>
  <si>
    <t>Rewa</t>
  </si>
  <si>
    <t>Jhansi</t>
  </si>
  <si>
    <t>Vaishali</t>
  </si>
  <si>
    <t>Sagar</t>
  </si>
  <si>
    <t>Jyotiba Phule Nagar</t>
  </si>
  <si>
    <t>West Champaran</t>
  </si>
  <si>
    <t>Satna</t>
  </si>
  <si>
    <t>Kannauj</t>
  </si>
  <si>
    <t>Sehore</t>
  </si>
  <si>
    <t>Kanpur Dehat</t>
  </si>
  <si>
    <t>Seoni</t>
  </si>
  <si>
    <t>Kanpur Nagar</t>
  </si>
  <si>
    <t>Shahdol</t>
  </si>
  <si>
    <t>Kaushambi</t>
  </si>
  <si>
    <t>Shajapur</t>
  </si>
  <si>
    <t>Kheri</t>
  </si>
  <si>
    <t>Sheopur</t>
  </si>
  <si>
    <t>Kushi Nagar</t>
  </si>
  <si>
    <t>Shivpuri</t>
  </si>
  <si>
    <t>Kushinagar</t>
  </si>
  <si>
    <t>Sidhi</t>
  </si>
  <si>
    <t>Lalitpur</t>
  </si>
  <si>
    <t>Singrauli</t>
  </si>
  <si>
    <t>Lucknow</t>
  </si>
  <si>
    <t>Tikamgarh</t>
  </si>
  <si>
    <t>Maharajganj</t>
  </si>
  <si>
    <t>Ujjain</t>
  </si>
  <si>
    <t>Mahoba</t>
  </si>
  <si>
    <t>Umaria</t>
  </si>
  <si>
    <t>Mainpuri</t>
  </si>
  <si>
    <t>Vidisha</t>
  </si>
  <si>
    <t>Mathura</t>
  </si>
  <si>
    <t>West Nimar</t>
  </si>
  <si>
    <t>Mau</t>
  </si>
  <si>
    <t>Meerut</t>
  </si>
  <si>
    <t>Mirzapur</t>
  </si>
  <si>
    <t>Moradabad</t>
  </si>
  <si>
    <t>Muzaffarnagar</t>
  </si>
  <si>
    <t>Pilibhit</t>
  </si>
  <si>
    <t>Pratapgarh</t>
  </si>
  <si>
    <t>Prayagraj</t>
  </si>
  <si>
    <t>Prayagraj Allahabad</t>
  </si>
  <si>
    <t>Raebareli</t>
  </si>
  <si>
    <t>Rampur</t>
  </si>
  <si>
    <t>Saharanpur</t>
  </si>
  <si>
    <t>Sant Kabir Nagar</t>
  </si>
  <si>
    <t>Sant Ravidas Nagar</t>
  </si>
  <si>
    <t>Shahjahanpur</t>
  </si>
  <si>
    <t>Shrawasti</t>
  </si>
  <si>
    <t>Siddharthnagar</t>
  </si>
  <si>
    <t>Sitapur</t>
  </si>
  <si>
    <t>Sonbhadra</t>
  </si>
  <si>
    <t>Sultanpur</t>
  </si>
  <si>
    <t>Unnao</t>
  </si>
  <si>
    <t>Varanasi</t>
  </si>
  <si>
    <t>Linked Cell</t>
  </si>
  <si>
    <t>Formula</t>
  </si>
  <si>
    <t>Smart Marker</t>
  </si>
  <si>
    <r>
      <rPr>
        <b/>
        <sz val="12"/>
        <color rgb="FF000000"/>
        <rFont val="Calibri"/>
        <family val="2"/>
      </rPr>
      <t>Row Numbe</t>
    </r>
    <r>
      <rPr>
        <b/>
        <sz val="11"/>
        <color rgb="FF000000"/>
        <rFont val="Calibri"/>
        <family val="2"/>
      </rPr>
      <t>r</t>
    </r>
  </si>
  <si>
    <t>datasource</t>
  </si>
  <si>
    <t>datasourceTarget</t>
  </si>
  <si>
    <t>sectionName</t>
  </si>
  <si>
    <t>collectionProperty</t>
  </si>
  <si>
    <t>multiline</t>
  </si>
  <si>
    <t>startRow</t>
  </si>
  <si>
    <t>startCol</t>
  </si>
  <si>
    <t>endRow</t>
  </si>
  <si>
    <t>endCol</t>
  </si>
  <si>
    <t>actualEndRow</t>
  </si>
  <si>
    <t>fieldName</t>
  </si>
  <si>
    <t>startRowOffset</t>
  </si>
  <si>
    <t>valueColumn</t>
  </si>
  <si>
    <t>numeric</t>
  </si>
  <si>
    <t>validations</t>
  </si>
  <si>
    <t>editable</t>
  </si>
  <si>
    <t>restrictEditIfPrePropulated</t>
  </si>
  <si>
    <t>target</t>
  </si>
  <si>
    <t>type</t>
  </si>
  <si>
    <t>valueRef</t>
  </si>
  <si>
    <t>valueToSet</t>
  </si>
  <si>
    <t>prePopVal</t>
  </si>
  <si>
    <t>linkedRef</t>
  </si>
  <si>
    <t>cellRefEditabilty</t>
  </si>
  <si>
    <t>cellRefErrMsg</t>
  </si>
  <si>
    <t>Languages</t>
  </si>
  <si>
    <t>YesNoOptions</t>
  </si>
  <si>
    <t>ExplanationForNotSpending</t>
  </si>
  <si>
    <t>TypeOfPerson</t>
  </si>
  <si>
    <t>NatureOfTransaction</t>
  </si>
  <si>
    <t>ModeOfAmountSpent</t>
  </si>
  <si>
    <t>Designation</t>
  </si>
  <si>
    <t>TypeOfRemark</t>
  </si>
  <si>
    <t>SectorInWhichProjectIsCovered</t>
  </si>
  <si>
    <t xml:space="preserve">Extract of Board’s Report </t>
  </si>
  <si>
    <t>BookKeepingInfo</t>
  </si>
  <si>
    <t>bookKeepingInfo</t>
  </si>
  <si>
    <t>BoardMeetingDetails</t>
  </si>
  <si>
    <t>currenteDirectorsData.formData.boardMeetingDetails</t>
  </si>
  <si>
    <t>B</t>
  </si>
  <si>
    <t>M</t>
  </si>
  <si>
    <t>sno</t>
  </si>
  <si>
    <t>requestBody.formData.boardMeetingDetails</t>
  </si>
  <si>
    <t>requestBody.formData.webAddress</t>
  </si>
  <si>
    <t>Field</t>
  </si>
  <si>
    <t>excelVersionNumber</t>
  </si>
  <si>
    <t>Yes</t>
  </si>
  <si>
    <t>Inability of company to formulate a well-conceived CSR Policy</t>
  </si>
  <si>
    <t>Individual</t>
  </si>
  <si>
    <t>Loan</t>
  </si>
  <si>
    <t>Directly by company</t>
  </si>
  <si>
    <t>Director</t>
  </si>
  <si>
    <t>Qualification</t>
  </si>
  <si>
    <t>Eradicating hunger, poverty and malnutrition, [‘‘promoting health care including preventinve health care’’] and sanitation [including contribution to the Swach Bharat Kosh set-up by the Central Government for the promotion of sanitation] and making available safe drinking water.</t>
  </si>
  <si>
    <t>[Pursuant to Section 134 of the Companies Act, 2013 and Rule 8, 8A &amp; 12 of The Companies (Accounts) Rules, 2014]</t>
  </si>
  <si>
    <t>FormData</t>
  </si>
  <si>
    <t>currenteDirectorsData.formData</t>
  </si>
  <si>
    <t>CommitteeMeetingDetails</t>
  </si>
  <si>
    <t>currenteDirectorsData.formData.committeeMeetingDetails</t>
  </si>
  <si>
    <t>O</t>
  </si>
  <si>
    <t>dateOfMeeting</t>
  </si>
  <si>
    <t>C</t>
  </si>
  <si>
    <t>requestBody.formData.whetherSmallCompany</t>
  </si>
  <si>
    <t>Dropdown</t>
  </si>
  <si>
    <t>(a) Whether Company is an OPC or Small Company as at the FY end date</t>
  </si>
  <si>
    <t>offlineRefNum</t>
  </si>
  <si>
    <t>No</t>
  </si>
  <si>
    <t>Adoption of long gestation CSR programs / projects</t>
  </si>
  <si>
    <t>Entity</t>
  </si>
  <si>
    <t>Guarantee</t>
  </si>
  <si>
    <t>By Trusts/Societies/ Section 8 company set up by company itself</t>
  </si>
  <si>
    <t>IRP/RP/Liquidator</t>
  </si>
  <si>
    <t>Reservation</t>
  </si>
  <si>
    <t>Promoting education, including special education and employment enhancing vocation skills especially among children, women, elderly and the differently abled and livelihood enhancement projects.</t>
  </si>
  <si>
    <t xml:space="preserve">Refer instruction kit for filing the form                                                                                                                                                                                                                                                                                                                                                      All fields marked in * are mandatory                                                                                                                                                                                                                                                                                         </t>
  </si>
  <si>
    <t>AuditRemarks</t>
  </si>
  <si>
    <t>currenteDirectorsData.formData.auditRemarksDetail</t>
  </si>
  <si>
    <t>totalNoOfDirectors</t>
  </si>
  <si>
    <t>F</t>
  </si>
  <si>
    <t>requestBody.formData.noOfBoardMeetingHeld</t>
  </si>
  <si>
    <t>templateVersionNumber</t>
  </si>
  <si>
    <t>Suitable implementing agencies not found</t>
  </si>
  <si>
    <t>Security purchased</t>
  </si>
  <si>
    <t>By Trusts/Societies/ Section 8 company set up by Central or State Government or entities established under special Act of Parliament/State Legislature</t>
  </si>
  <si>
    <t>Adverse remarks</t>
  </si>
  <si>
    <t>Promoting gender equality, empowering women, setting up homes and hostels for women and orphans; setting up old age homes, day care centres and such other facilities for senior citizens and measures for reducing inequalities faced by socially and economically backward groups.</t>
  </si>
  <si>
    <t>SectorialAuditorRemarks</t>
  </si>
  <si>
    <t>currenteDirectorsData.formData.sectorialAuditorRemarks</t>
  </si>
  <si>
    <t>noOfDirectorAttended</t>
  </si>
  <si>
    <t>I</t>
  </si>
  <si>
    <t>requestBody.formData.noOfCommitteeMeetingHeld</t>
  </si>
  <si>
    <t>onlineRefNum</t>
  </si>
  <si>
    <t>1-26784797349</t>
  </si>
  <si>
    <t>Non-receipt of utilization certificate from implementing agencies</t>
  </si>
  <si>
    <t>Other implementing agencies</t>
  </si>
  <si>
    <t>Disclaimer</t>
  </si>
  <si>
    <t>Ensuring environmental sustainability, ecological balance, protection of flora and fauna, animal welfare, agroforestry, conservation of natural resources and maintaining quality of soil, air and water [including contribution to the Clean Ganga Fund set-up by the Central Government for rejuvenation of river Ganga].</t>
  </si>
  <si>
    <t xml:space="preserve">*Name of the Company </t>
  </si>
  <si>
    <t>M/s VIBESEK VENTURES PRIVATE LIMITED</t>
  </si>
  <si>
    <t>CsrDetails</t>
  </si>
  <si>
    <t>currenteDirectorsData.formData.csrDetails</t>
  </si>
  <si>
    <t>EnquiringDetails</t>
  </si>
  <si>
    <t>currenteDirectorsData.formData.enquiringDetails</t>
  </si>
  <si>
    <t>Z</t>
  </si>
  <si>
    <t>percentageOfAttendance</t>
  </si>
  <si>
    <t>L</t>
  </si>
  <si>
    <t>requestBody.formData.directorResponsibilityStatement</t>
  </si>
  <si>
    <t>startColumnToHide</t>
  </si>
  <si>
    <t>Delay in formation of CSR committee</t>
  </si>
  <si>
    <t>Protection of national heritage, art and culture including restoration of buildings and sites of historical importance and works of art; setting up public libraries; promotion and development of traditional art and handicrafts;</t>
  </si>
  <si>
    <t>NetProfitForlast3Year</t>
  </si>
  <si>
    <t>currenteDirectorsData.formData.csrDetails.netProfitForlast3Year</t>
  </si>
  <si>
    <t>NoOfCsrActivities</t>
  </si>
  <si>
    <t>currenteDirectorsData.formData.csrDetails.mannerAmountSpentDuringFinancialYear</t>
  </si>
  <si>
    <t>U</t>
  </si>
  <si>
    <t>requestBody.formData.fraudReportedByAuditors</t>
  </si>
  <si>
    <t>numberOfColumnToHide</t>
  </si>
  <si>
    <t>Delay in implementation of plan</t>
  </si>
  <si>
    <t>Measures for the benefit of armed forces veterans, war widows and their dependents, 9[ Central Armed Police Forces (CAPF) and Central Para Military Forces (CPMF) veterans, and their dependents including widows];</t>
  </si>
  <si>
    <t>Web address</t>
  </si>
  <si>
    <t>HideRow</t>
  </si>
  <si>
    <t>rowHideShowMarkers</t>
  </si>
  <si>
    <t>requestBody.formData.committeeMeetingDetails</t>
  </si>
  <si>
    <t>requestBody.formData.disclosureOfStatementOnDecalaration</t>
  </si>
  <si>
    <t>storageRandomId</t>
  </si>
  <si>
    <t>08d+fjqN5RyorGB6AH6NRprEviY3opMY</t>
  </si>
  <si>
    <t>Restructuring of CSR Policies etc.</t>
  </si>
  <si>
    <t>Training to promote rural sports, nationally recognised sports, paralympic sports and olympic sports</t>
  </si>
  <si>
    <t>requestBody.formData.disclosureForCompaniesOnDirectorAppointmentAndReumeration</t>
  </si>
  <si>
    <t>Budget advanced to NGO’s but not spent</t>
  </si>
  <si>
    <t>Contribution to the prime minister's national relief fund 8[or Prime Minister’s Citizen Assistance and Relief in Emergency Situations Fund (PM CARES Fund)] or any other fund set up by the central govt. for socio economic development and relief and welfare of the schedule caste, tribes, other backward classes, minorities and women;</t>
  </si>
  <si>
    <t xml:space="preserve">1 Web address, if any, where annual return referred to in sub-section (3) of section  92 has been placed
   </t>
  </si>
  <si>
    <t>typeOfMeeting</t>
  </si>
  <si>
    <t>requestBody.formData.whetherAnyLoanGuaranteeByCompany</t>
  </si>
  <si>
    <t>(a) *Whether any loan, guarantee is given by the company or securities of any other body corporate purchased?</t>
  </si>
  <si>
    <t>Delay in project  identification</t>
  </si>
  <si>
    <t>Contribution to incubators funded by Central Government or State Government or any agency or Public Sector Undertaking of Central Government or State Government, and contributions to public funded Universities, Indian Institute of Technology (IITs), National Laboratories and Autonomous Bodies (established under the auspices of Indian Council of Agricultural Research (ICAR), Indian Council of Medical Research (ICMR), Council of Scientific and Industrial Research (CSIR), Department of Atomic Energy (DAE), Defence Research and Development Organisation (DRDO), [Department of Biotechnology (DBT)], Department of Science and Technology (DST), Ministry of Electronics and Information Technology) engaged in conducting research in science, technology, engineering and medicine aimed at promoting Sustainable Development Goals (SDGs).</t>
  </si>
  <si>
    <t>requestBody.formData.whetherAnyCompanyFallsInCategory</t>
  </si>
  <si>
    <t>(b) Whether the Company falls in the category provided under section 186(11)?</t>
  </si>
  <si>
    <t>Lack of prior expertise</t>
  </si>
  <si>
    <t>Rural development projects</t>
  </si>
  <si>
    <t>2 Disclosures with regard to Meetings of the Board</t>
  </si>
  <si>
    <t>requestBody.formData.anyReportableTarnsactions</t>
  </si>
  <si>
    <t>(c) *Are there any reportable transactions on which section 186 applies? (whether or not- threshold exceeds 60% of its paid-up share capital, free reserves and securities premium account or 100%  of its free reserves and securities premium account)</t>
  </si>
  <si>
    <t>Delay in capacity building</t>
  </si>
  <si>
    <t>Slum area development.</t>
  </si>
  <si>
    <t>K</t>
  </si>
  <si>
    <t>requestBody.formData.briefDetails</t>
  </si>
  <si>
    <t>Fiield</t>
  </si>
  <si>
    <t>Others</t>
  </si>
  <si>
    <t>Disaster management, including relief, rehabilitation and reconstruction activities.</t>
  </si>
  <si>
    <t>(a) * Whether Company is an OPC or Small Company as at the FY end date</t>
  </si>
  <si>
    <t>0</t>
  </si>
  <si>
    <t>requestBody.formData.noOfTransactionForEnquiringDetails</t>
  </si>
  <si>
    <t>requestBody.formData.auditRemarksDetail</t>
  </si>
  <si>
    <t>requestBody.formData.descriptionOfStateOfCompanyAffairs</t>
  </si>
  <si>
    <t>(b) BOARD MEETINGS</t>
  </si>
  <si>
    <t>sNo</t>
  </si>
  <si>
    <t>requestBody.formData.reserveDetails.briefDescription</t>
  </si>
  <si>
    <t>(i) *Number of meetings held</t>
  </si>
  <si>
    <t>5</t>
  </si>
  <si>
    <t>auditorQualification</t>
  </si>
  <si>
    <t>requestBody.formData.reserveDetails.amount</t>
  </si>
  <si>
    <t>directorRemarks</t>
  </si>
  <si>
    <t>requestBody.formData.dividendDetails.briefDescription</t>
  </si>
  <si>
    <t>S. No.</t>
  </si>
  <si>
    <t>Date of meeting (DD/MM/YYYY)</t>
  </si>
  <si>
    <t xml:space="preserve">Total Number of directors as on the date of meeting  </t>
  </si>
  <si>
    <t>Attendance</t>
  </si>
  <si>
    <t>requestBody.formData.sectorialAuditorRemarks</t>
  </si>
  <si>
    <t>requestBody.formData.dividendDetails.amount</t>
  </si>
  <si>
    <t>Number of directors attended</t>
  </si>
  <si>
    <t xml:space="preserve">% of attendance  </t>
  </si>
  <si>
    <t>requestBody.formData.detailsOfMaterialChangesAndCommitment</t>
  </si>
  <si>
    <t>Directors Board Meeting</t>
  </si>
  <si>
    <t>qualification</t>
  </si>
  <si>
    <t>requestBody.formData.disclosureOfStementOnDevelopmentAndImplemetationOfRiskMgmt</t>
  </si>
  <si>
    <t>requestBody.formData.csrDetails.whetherCsrApplicableAsPerSec135</t>
  </si>
  <si>
    <t>DropDown</t>
  </si>
  <si>
    <t>(a)(i) *Whether CSR is applicable as per section 135</t>
  </si>
  <si>
    <t>(c) COMMITTEE MEETINGS</t>
  </si>
  <si>
    <t>requestBody.formData.enquiringDetails</t>
  </si>
  <si>
    <t>requestBody.formData.csrDetails.turnover</t>
  </si>
  <si>
    <t>(i) Number of meetings held</t>
  </si>
  <si>
    <t>requestBody.formData.csrDetails.netWorth</t>
  </si>
  <si>
    <t>cinLlpin</t>
  </si>
  <si>
    <t>requestBody.formData.csrDetails.avgNetProfitForLast3FinancialYear</t>
  </si>
  <si>
    <t xml:space="preserve">S. No.
 </t>
  </si>
  <si>
    <t xml:space="preserve">Type of meeting </t>
  </si>
  <si>
    <t xml:space="preserve">Total Number of Members as on the date of meeting  </t>
  </si>
  <si>
    <t>nameOfParty</t>
  </si>
  <si>
    <t>E</t>
  </si>
  <si>
    <t>requestBody.formData.csrDetails.prescribedCsrExpenditure</t>
  </si>
  <si>
    <t>Number of members attended</t>
  </si>
  <si>
    <t>typeOfPerson</t>
  </si>
  <si>
    <t>G</t>
  </si>
  <si>
    <t>requestBody.formData.csrDetails.totalAmountSpentOnCsrForFinancialYear</t>
  </si>
  <si>
    <t/>
  </si>
  <si>
    <t>natureOfTransaction</t>
  </si>
  <si>
    <t>requestBody.formData.csrDetails.amountSpentInLocalArea</t>
  </si>
  <si>
    <t>rateOfInterest</t>
  </si>
  <si>
    <t>requestBody.formData.csrDetails.noOfCsrActivities</t>
  </si>
  <si>
    <t>Important disclosures</t>
  </si>
  <si>
    <t>briefOnTransaction</t>
  </si>
  <si>
    <t>requestBody.formData.csrDetails.csrDetailsOfImplementingAgencies</t>
  </si>
  <si>
    <t>amount</t>
  </si>
  <si>
    <t>P</t>
  </si>
  <si>
    <t>requestBody.formData.csrDetails.expalanationForNotSpending</t>
  </si>
  <si>
    <t>3 *Directors’ Responsibility Statement</t>
  </si>
  <si>
    <t>dateOfPassingBoardResolution</t>
  </si>
  <si>
    <t>R</t>
  </si>
  <si>
    <t>requestBody.formData.csrDetails.otherSpecify</t>
  </si>
  <si>
    <t>whetherThreshold60percentOfPaidUpShare</t>
  </si>
  <si>
    <t>T</t>
  </si>
  <si>
    <t>requestBody.formData.csrDetails.whetherResponsibilityStatementOfCsrCommitteEnclosedToBoardreport</t>
  </si>
  <si>
    <t>22 Whether a responsibility statement of the CSR Committee on the implementation and monitoring of CSR Policy is enclosed to the Board’s Report</t>
  </si>
  <si>
    <t>whetherTheTransactionFallsUnderThePurviewOfProviso</t>
  </si>
  <si>
    <t>W</t>
  </si>
  <si>
    <t>requestBody.formData.detRegardTechAbsorptionAsperRule83B</t>
  </si>
  <si>
    <t>4 *State the details in respect of frauds reported by auditors under sub-section (12) of section 143 other than                                                                                                                                                                            those which are reportable to the Central Government</t>
  </si>
  <si>
    <t>mgt14Srn</t>
  </si>
  <si>
    <t>Y</t>
  </si>
  <si>
    <t>requestBody.formData.detRegardEngyConserRule83A</t>
  </si>
  <si>
    <t>requestBody.formData.csrDetails.mannerAmountSpentDuringFinancialYear</t>
  </si>
  <si>
    <t>requestBody.formData.detForeignExngeEarnOutgoAsPerRul83C</t>
  </si>
  <si>
    <t>requestBody.formData.rule8Disclosure.reportOnHighlightOfPerformance</t>
  </si>
  <si>
    <t>5 Disclosure of statement on declaration given by Independent Directors under section 149(6)</t>
  </si>
  <si>
    <t>csrProjectOrActivityIdentified</t>
  </si>
  <si>
    <t>requestBody.formData.rule8Disclosure.disclosureOfCompanies</t>
  </si>
  <si>
    <t>sectorInWhichProjectIsIdentified</t>
  </si>
  <si>
    <t>requestBody.formData.stmtRegBoardOpinion</t>
  </si>
  <si>
    <t>specifyTheState</t>
  </si>
  <si>
    <t>requestBody.formData.detInResOfAdequacy</t>
  </si>
  <si>
    <t>6 Disclosure for Companies covered under section 178(1) on Directors appointment and remuneration including other matters provided under section 178(3)</t>
  </si>
  <si>
    <t>specifyTheDistrict</t>
  </si>
  <si>
    <t>J</t>
  </si>
  <si>
    <t>requestBody.formData.disWhetherMaintananceCRReq</t>
  </si>
  <si>
    <t>amountOutlay</t>
  </si>
  <si>
    <t>requestBody.formData.detProceedingPending</t>
  </si>
  <si>
    <t>amountSpentOnProjectsOrProgram</t>
  </si>
  <si>
    <t>requestBody.formData.detDiffBetweenValuationAmt</t>
  </si>
  <si>
    <t>Audit Remarks</t>
  </si>
  <si>
    <t>expenditureOnAdministrativeOverheads</t>
  </si>
  <si>
    <t>Q</t>
  </si>
  <si>
    <t>requestBody.formData.rule8Disclosure.disclsoreOfFinancialSummaryOrHighlight</t>
  </si>
  <si>
    <t>modeOfPaymentSpent</t>
  </si>
  <si>
    <t>S</t>
  </si>
  <si>
    <t>requestBody.formData.rule8Disclosure.disclosureOfChangeInNatureOfBusiness</t>
  </si>
  <si>
    <t>Explanations / comments on qualification, reservation or adverse remark or disclaimer made by the auditor and company secretary in the audit reports</t>
  </si>
  <si>
    <t>requestBody.formData.rule8Disclosure.detailsOfDirectorsOrKeyManagerialAppointedOrresignedDuringYear</t>
  </si>
  <si>
    <t>requestBody.formData.rule8Disclosure.depositsAcceptedDuringYear</t>
  </si>
  <si>
    <t>7 Auditor’s Remarks</t>
  </si>
  <si>
    <t>requestBody.formData.rule8Disclosure.depositsRemainedUnpaidOrUnclaimedAtEndOfYear</t>
  </si>
  <si>
    <t>requestBody.formData.rule8Disclosure.amountOfDefaultInRepaymentOfDepositBeginingOfYear</t>
  </si>
  <si>
    <t>Auditors’ qualifications, reservations or adverse remarks or disclaimer in the auditors’ report</t>
  </si>
  <si>
    <t>Directors’ comments on qualifications, reservations or adverse remarks or disclaimer of the auditors as per Board’s report</t>
  </si>
  <si>
    <t>requestBody.formData.rule8Disclosure.maximumAmountOfDefaultInRepaymentOfDepositDuringYear</t>
  </si>
  <si>
    <t>Directors Auditor Remarks</t>
  </si>
  <si>
    <t>requestBody.formData.rule8Disclosure.amountOfDefaultInRepaymentOfDepositEndOfYear</t>
  </si>
  <si>
    <t>requestBody.formData.rule8Disclosure.noOfCasesOfDefaultInRepaymentOfDepositBeginingOfYear</t>
  </si>
  <si>
    <t>8 Secretarial auditor's remarks</t>
  </si>
  <si>
    <t>requestBody.formData.rule8Disclosure.maximumNoOfCasesOfDefaultInRepaymentOfDepositDuringYear</t>
  </si>
  <si>
    <t>requestBody.formData.rule8Disclosure.noOfCasesOfDefaultInRepaymentOfDepositEndOfYear</t>
  </si>
  <si>
    <t>Qualifications, reservations or adverse remarks or disclaimer in the secretarial auditors’ report</t>
  </si>
  <si>
    <t>Directors’ comments on qualifications, reservations or adverse remarks or disclaimer of the secretarial auditors as per Board’s report</t>
  </si>
  <si>
    <t>requestBody.formData.rule8Disclosure.detailsOfDepositNotInComplianceWithReqOfChapt5OfAct</t>
  </si>
  <si>
    <t>requestBody.formData.rule8Disclosure.detailsOfSinificantAndMaterialOrderPassedByRegulator</t>
  </si>
  <si>
    <t>requestBody.formData.stmtIndicatingAnnualEval</t>
  </si>
  <si>
    <t>Section 186 details</t>
  </si>
  <si>
    <t>requestBody.formData.stmtUnderSexualHarassAct</t>
  </si>
  <si>
    <t>requestBody.formData.numOfSHComplaintsRcvd</t>
  </si>
  <si>
    <t>9 Details of loan, guarantee, investment or security is given by the company as per section 186</t>
  </si>
  <si>
    <t>requestBody.formData.numOfSHComplaintsDispOff</t>
  </si>
  <si>
    <t>requestBody.formData.numOfSHComplaintsBeyond90Days</t>
  </si>
  <si>
    <t>requestBody.formData.stmtCompiledMaternityBenefit</t>
  </si>
  <si>
    <t>requestBody.formData.numOfFemaleEmployee</t>
  </si>
  <si>
    <t>requestBody.formData.numOfMaleEmployee</t>
  </si>
  <si>
    <t>requestBody.formData.numOfTransEmployee</t>
  </si>
  <si>
    <t>(c) *Are there any reportable transactions on which section 186 applies? (whether or not- threshold exceeds 60%                                                                                                                                     of its paid-up share capital, free reserves and securities premium account or 100%  of its free reserves and                                                                                                                                                                         securities premium account)</t>
  </si>
  <si>
    <t>requestBody.formData.noOfMatterToBeIncludedInDirectorReport</t>
  </si>
  <si>
    <t>requestBody.formData.headingForTheMatter</t>
  </si>
  <si>
    <t>requestBody.formData.referenceToSectionRuleItPertains</t>
  </si>
  <si>
    <t>requestBody.formData.briefDescriptionOfMatter</t>
  </si>
  <si>
    <t>(d) Brief details as to why transaction is not reportable</t>
  </si>
  <si>
    <t>requestBody.formData.csrDetails.netProfitForlast3Year.netProfitFinancialYearEnded</t>
  </si>
  <si>
    <t>requestBody.formData.csrDetails.netProfitForlast3Year.netProfitFinancialYearEnded1</t>
  </si>
  <si>
    <t>10 Table for enquiring the details</t>
  </si>
  <si>
    <t>requestBody.formData.csrDetails.netProfitForlast3Year.netProfitFinancialYearEnded2</t>
  </si>
  <si>
    <t>requestBody.formData.csrDetails.netProfitForlast3Year.netProfitBeforeTax</t>
  </si>
  <si>
    <t>*Number of transactions</t>
  </si>
  <si>
    <t>requestBody.formData.csrDetails.netProfitForlast3Year.netProfitBeforeTax1</t>
  </si>
  <si>
    <t>requestBody.formData.csrDetails.netProfitForlast3Year.netProfitBeforeTax2</t>
  </si>
  <si>
    <t>S.No.</t>
  </si>
  <si>
    <t xml:space="preserve">Corporate identity number (CIN) or foreign company         
registration number (FCRN) or Limited Liability Partnership number (LLPIN) or Foreign Limited Liability Partnership number (FLLPIN) or Permanent Account Number (PAN)/Passport for individuals or any other registration number </t>
  </si>
  <si>
    <t>Name of the Party</t>
  </si>
  <si>
    <t>Type of person (Individual / Entity)</t>
  </si>
  <si>
    <t>Nature of transaction</t>
  </si>
  <si>
    <t>In case of loan, rate of interest would be enquired</t>
  </si>
  <si>
    <t>Brief on the transaction</t>
  </si>
  <si>
    <t>Amount (in INR)</t>
  </si>
  <si>
    <t>Date of passing Board resolution (DD/MM/YYYY)</t>
  </si>
  <si>
    <t>Whether the threshold of 60% of paid-up share capital, free reserves and securities premium account or 100% of its free reserves and securities premium account breached?</t>
  </si>
  <si>
    <t>Whether the transaction falls under the purview of proviso to Section 186(3) and Company is not required to pass SR.</t>
  </si>
  <si>
    <t>SRN of MGT-14</t>
  </si>
  <si>
    <t>requestBody.formData.csrDetails.netProfitForlast3Year.netProfitComputed</t>
  </si>
  <si>
    <t>requestBody.formData.csrDetails.netProfitForlast3Year.netProfitComputed1</t>
  </si>
  <si>
    <t>requestBody.formData.csrDetails.netProfitForlast3Year.netProfitComputed2</t>
  </si>
  <si>
    <t>11 *Description of state of company’s affairs</t>
  </si>
  <si>
    <t>requestBody.formData.csrDetails.totalAmountOutlay</t>
  </si>
  <si>
    <t>requestBody.formData.csrDetails.totalAmountSpentOnProjectsOrProgram</t>
  </si>
  <si>
    <t>12 Disclosure relating to amounts if any which is proposed to carry to any reserves</t>
  </si>
  <si>
    <t>requestBody.formData.csrDetails.totalExpenditureOnAdministrativeOverheads</t>
  </si>
  <si>
    <t>requestBody.formData.declaration.resolutionNo</t>
  </si>
  <si>
    <t>(a) Brief description</t>
  </si>
  <si>
    <t>requestBody.formData.declaration.decalartionDate</t>
  </si>
  <si>
    <t>requestBody.formData.declaration.decalartionDSC3</t>
  </si>
  <si>
    <t>requestBody.formData.declaration.designation3</t>
  </si>
  <si>
    <t>*Designation Liquidator/Interim Resolution Professional (IRP)Resolution Professional (RP)</t>
  </si>
  <si>
    <t>(b) Amount (in INR)</t>
  </si>
  <si>
    <t>requestBody.formData.declaration.pan</t>
  </si>
  <si>
    <t>13 Disclosures relating to amount recommended to be paid as dividend</t>
  </si>
  <si>
    <t>14 *Details of material changes and commitment occurred during the period  between 
the end of FY and the date of report, affecting financial position of company</t>
  </si>
  <si>
    <t>15 *Disclosure of statement on development and implementation of risk management policy</t>
  </si>
  <si>
    <t>CSR details</t>
  </si>
  <si>
    <t>16 Details on policy development and implementation by company on corporate social responsibility initiatives taken during year</t>
  </si>
  <si>
    <t xml:space="preserve">    (ii)  Turnover (in Rs.)</t>
  </si>
  <si>
    <t xml:space="preserve">    (iii)  Net worth (in Rs.)</t>
  </si>
  <si>
    <t>(b) Net profits for last three financial years</t>
  </si>
  <si>
    <t>(i)	Financial year ended 
(DD/MM/YYYY)</t>
  </si>
  <si>
    <t xml:space="preserve">(ii)	Profit before tax (In Rs.) </t>
  </si>
  <si>
    <t>(iii)	Net Profit computed u/s 198 adjusted as per rule 2(1)(f) of the Companies (CSR Policy) Rules, 2014 (in Rs.)</t>
  </si>
  <si>
    <t>17 Average net profit of the company for last three financial years (as defined in Explanation to sub-section (5) section 135 of the Act) (in Rupees)</t>
  </si>
  <si>
    <t xml:space="preserve">18 Prescribed CSR Expenditure (two per cent. of the amount as in item 17 above)(in Rupees) </t>
  </si>
  <si>
    <t>19 (a) Total amount spent on CSR for the financial year (in Rupees)</t>
  </si>
  <si>
    <t xml:space="preserve">    (b) Amount spent in local area (in Rupees)</t>
  </si>
  <si>
    <t xml:space="preserve">    (c) Manner in which the amount spent during the financial year as detailed below</t>
  </si>
  <si>
    <t>Number of CSR activities</t>
  </si>
  <si>
    <t>(If number of programmes/ projects/ activities is more than twenty, submit the remaining details                                                                                                                                                                                                      in EXCEL sheet as specified in instruction kit):</t>
  </si>
  <si>
    <t>S. No</t>
  </si>
  <si>
    <t>CSR project or activity identified</t>
  </si>
  <si>
    <t xml:space="preserve">Sector in which the Project is covered </t>
  </si>
  <si>
    <t xml:space="preserve">Projects or programs 
- Specify the 
State /Union Territory  where the Project/ Program  was undertaken </t>
  </si>
  <si>
    <t xml:space="preserve">Projects or programs -
Specify the district where projects or programs was undertaken </t>
  </si>
  <si>
    <t>Amount outlay (budget) project or programs wise 
(in Rs.)</t>
  </si>
  <si>
    <t xml:space="preserve">Amount spent on the projects or programs 
(in Rs.) </t>
  </si>
  <si>
    <t>Expenditure on Administrative overheads 
(in Rs.)</t>
  </si>
  <si>
    <t xml:space="preserve">Mode of Amount spent </t>
  </si>
  <si>
    <t>(1)</t>
  </si>
  <si>
    <t>(2)</t>
  </si>
  <si>
    <t>(3)</t>
  </si>
  <si>
    <t>(4)</t>
  </si>
  <si>
    <t>(5)</t>
  </si>
  <si>
    <t>(6)</t>
  </si>
  <si>
    <t>(7)</t>
  </si>
  <si>
    <t>(8)</t>
  </si>
  <si>
    <t>(9)</t>
  </si>
  <si>
    <t>TOTAL</t>
  </si>
  <si>
    <t>20 *Give details (name, address and email address) of implementing agency(ies)</t>
  </si>
  <si>
    <r>
      <rPr>
        <sz val="10"/>
        <color theme="1"/>
        <rFont val="Calibri"/>
        <family val="2"/>
      </rPr>
      <t xml:space="preserve">21 (a) Explanation for not spending
           </t>
    </r>
    <r>
      <rPr>
        <i/>
        <sz val="10"/>
        <color rgb="FF000000"/>
        <rFont val="Calibri"/>
        <family val="2"/>
      </rPr>
      <t xml:space="preserve"> (Inability of company to formulate a well-conceived CSR Policy/Adoption of long gestation CSR 
            programmes or  projects/Suitable implementing agencies not found/ Non-receipt of utilization certificate
            from implementing agencies/Delay in formation of CSR committee/Delay in implementation of plan/
           Restructuring of CSR Policies etc./Budget advanced to NGO’s but not spent/Delay in project  identification/
           Lack of prior expertise/Delay in capacity building/Others)</t>
    </r>
  </si>
  <si>
    <t xml:space="preserve">      (b) If others, specify</t>
  </si>
  <si>
    <t>Rule 8/8A disclosures</t>
  </si>
  <si>
    <t>23 Disclosures under Rule 8/8A of Companies Accounts Rules 2014</t>
  </si>
  <si>
    <t>(a)* Details regarding technology absorption as per Rule 8(3)(B)</t>
  </si>
  <si>
    <t>(b)* Details regarding energy conservation as per Rule 8(3)(A)</t>
  </si>
  <si>
    <t>(c)* Details regarding foreign exchange earnings and outgo as per Rule 8(3)(C)</t>
  </si>
  <si>
    <t xml:space="preserve">                                                                                                                                                                                                                                                                                                                                                                                                          (d) Report on highlights on performance of subsidiaries, associates and joint venture companies and their                                                                                                                                               contribution to overall performance of the companies during  the period under report
          </t>
  </si>
  <si>
    <t>(e) Disclosure as per rule 8(5) of Companies Accounts Rules 2014</t>
  </si>
  <si>
    <t>(i) Disclosure of companies which have become or ceased to be its subsidiaries, joint ventures or associate companies during year</t>
  </si>
  <si>
    <t>(ii) Statement regarding opinion of the Board with regard to integrity, expertise and experience (including the proficiency) of the independent directors appointed during the year</t>
  </si>
  <si>
    <t>(iii) The details in respect of adequacy of internal financial controls with reference to the Financial Statements.</t>
  </si>
  <si>
    <t>(iv) A disclosure, as to whether maintenance of cost records as specified by the Central Government under sub section (1) of section 148 of the Companies Act, 2013, is required by the Company and accordingly such accounts and records are made and maintained.</t>
  </si>
  <si>
    <t>(v) The details of application made or any proceeding pending under the Insolvency and Bankruptcy Code, 2016 (31 of 2016) during the year along with their status as at the end of the financial year.</t>
  </si>
  <si>
    <t>(vi) The details of difference between amount of the valuation done at the time of one time settlement and the valuation done while taking loan from the Banks or Financial Institutions along with the reasons thereof</t>
  </si>
  <si>
    <t>(vii) *Disclosure of financial summary or highlights</t>
  </si>
  <si>
    <t>(viii)* Disclosure of change in nature of business</t>
  </si>
  <si>
    <t xml:space="preserve">(ix) *Details of directors or key managerial personnel who were appointed or have resigned during year
               </t>
  </si>
  <si>
    <t xml:space="preserve">(f) Other disclosures relating to deposits covered under Chapter V of Companies Act under Rule 8(5) </t>
  </si>
  <si>
    <t>(i) Deposits accepted during year</t>
  </si>
  <si>
    <t>(ii) Deposits remained unpaid or unclaimed at end of year</t>
  </si>
  <si>
    <t>(iii) Amount of default in repayment of deposits or payment of interest thereon beginning of year</t>
  </si>
  <si>
    <t>(iv) Maximum amount of default in repayment of deposits or payment of interest thereon during year</t>
  </si>
  <si>
    <t>(v) Amount of default in repayment of deposits or payment of interest thereon end of year</t>
  </si>
  <si>
    <t>(vi) Number of cases of default in repayment of deposits or payment of interest thereon beginning of year</t>
  </si>
  <si>
    <t>(vii) Maximum number of cases of default in repayment of deposits or payment of interest thereon during year</t>
  </si>
  <si>
    <t>(viii) Number of cases of default in repayment of deposits or payment of interest thereon end of year</t>
  </si>
  <si>
    <t>(ix) Details of deposits which are not in compliance with requirements of Chapter V of Act</t>
  </si>
  <si>
    <t>(g) *Details of significant and material orders passed by regulators or courts or tribunals 
 impacting going concern status and company’s operations in future</t>
  </si>
  <si>
    <t>(h) A statement indicating the manner in which formal annual evaluation has been made
 by the Board of its own performance and that of its committees and individual directors</t>
  </si>
  <si>
    <t>(i) Disclosure for compliance with other statutory laws</t>
  </si>
  <si>
    <t>(a) A statement that the company has complied with provisions relating to the constitution  of                                                                                                                                                                                                    Internal Complaints Committee under the Sexual Harassment of Women at Workplace                                                                                                                                                                                                    (Prevention, Prohibition and Redressal) Act, 2013.</t>
  </si>
  <si>
    <t>(i) Number of Sexual Harassment Complaints received</t>
  </si>
  <si>
    <t>(ii) Number of Sexual Harassment Complaints disposed off</t>
  </si>
  <si>
    <t>(iii) Number of Sexual Harassment Complaints beyond 90 days.</t>
  </si>
  <si>
    <t>(b) Statement that the company has complied with Maternity Benefit Act.</t>
  </si>
  <si>
    <t>(j) Number of employees as on the closure of financial year</t>
  </si>
  <si>
    <t xml:space="preserve">    Female</t>
  </si>
  <si>
    <t xml:space="preserve">    Male</t>
  </si>
  <si>
    <t xml:space="preserve">    Transgender</t>
  </si>
  <si>
    <t xml:space="preserve">24 (i) Number of other matters to be included in Director’s Report. </t>
  </si>
  <si>
    <t>(ii) Heading for the matter</t>
  </si>
  <si>
    <t>(iii) Reference to section/rule to which it pertains</t>
  </si>
  <si>
    <t xml:space="preserve">(iv) Brief description of the matter </t>
  </si>
  <si>
    <t>Declaration</t>
  </si>
  <si>
    <t xml:space="preserve">  I am authorised by the Board of Directors of the Company vide resolution number*</t>
  </si>
  <si>
    <t xml:space="preserve"> Dated*</t>
  </si>
  <si>
    <t xml:space="preserve">   to sign this form and declare that all the requirements of Companies Act, </t>
  </si>
  <si>
    <t xml:space="preserve"> 2013 and the rules made thereunder in respect of the subject matter of this form and matters incidental thereto have been</t>
  </si>
  <si>
    <t xml:space="preserve"> complied with. I further declare that:</t>
  </si>
  <si>
    <t>1  Whatever is stated in this form and in the attachments thereto is true, correct and complete and no information</t>
  </si>
  <si>
    <t>material to the subject matter of this form has been suppressed or concealed and is as per the original records</t>
  </si>
  <si>
    <t>maintained by the company.</t>
  </si>
  <si>
    <t>2  All the required attachments have been completely and legibly attached to this form.</t>
  </si>
  <si>
    <t>*To be digitally signed by</t>
  </si>
  <si>
    <t>DSC BOX</t>
  </si>
  <si>
    <t>* Designation</t>
  </si>
  <si>
    <t>(Director/Liquidator/Interim Resolution Professional (IRP)Resolution Professional (RP))</t>
  </si>
  <si>
    <t xml:space="preserve">*Director identification number of the director or PAN of the Interim Resolution </t>
  </si>
  <si>
    <t>Professional (IRP) or Resolution Professional (RP) or Liquidator</t>
  </si>
</sst>
</file>

<file path=xl/styles.xml><?xml version="1.0" encoding="utf-8"?>
<styleSheet xmlns="http://schemas.openxmlformats.org/spreadsheetml/2006/main">
  <numFmts count="1">
    <numFmt numFmtId="177" formatCode=";;;"/>
  </numFmts>
  <fonts count="27">
    <font>
      <sz val="10"/>
      <color theme="1"/>
      <name val="Arial"/>
      <family val="2"/>
    </font>
    <font>
      <b/>
      <sz val="12"/>
      <color rgb="FF000000"/>
      <name val="Aptos Display"/>
      <family val="2"/>
    </font>
    <font>
      <sz val="11"/>
      <color theme="1"/>
      <name val="Aptos Narrow"/>
      <family val="2"/>
      <scheme val="minor"/>
    </font>
    <font>
      <sz val="12"/>
      <color rgb="FF000000"/>
      <name val="Aptos Display"/>
      <family val="2"/>
    </font>
    <font>
      <sz val="12"/>
      <color theme="1"/>
      <name val="Aptos Narrow"/>
      <family val="2"/>
      <scheme val="minor"/>
    </font>
    <font>
      <sz val="10"/>
      <color theme="1"/>
      <name val="Calibri"/>
      <family val="2"/>
    </font>
    <font>
      <sz val="11"/>
      <color theme="1"/>
      <name val="Calibri"/>
      <family val="2"/>
    </font>
    <font>
      <b/>
      <sz val="10"/>
      <color theme="1"/>
      <name val="Calibri"/>
      <family val="2"/>
    </font>
    <font>
      <b/>
      <sz val="11"/>
      <color theme="1"/>
      <name val="Calibri"/>
      <family val="2"/>
    </font>
    <font>
      <sz val="10"/>
      <color theme="1"/>
      <name val="Aptos Narrow"/>
      <family val="2"/>
      <scheme val="minor"/>
    </font>
    <font>
      <sz val="10"/>
      <color rgb="FF000000"/>
      <name val="Aptos Narrow"/>
      <family val="2"/>
      <scheme val="minor"/>
    </font>
    <font>
      <b/>
      <sz val="10"/>
      <color rgb="FF000000"/>
      <name val="Aptos Narrow"/>
      <family val="2"/>
      <scheme val="minor"/>
    </font>
    <font>
      <sz val="10"/>
      <color rgb="FF242424"/>
      <name val="Calibri"/>
      <family val="2"/>
    </font>
    <font>
      <sz val="11"/>
      <color rgb="FF000000"/>
      <name val="Calibri"/>
      <family val="2"/>
    </font>
    <font>
      <i/>
      <sz val="10"/>
      <color theme="1"/>
      <name val="Calibri"/>
      <family val="2"/>
    </font>
    <font>
      <i/>
      <sz val="11"/>
      <color theme="1"/>
      <name val="Calibri"/>
      <family val="2"/>
    </font>
    <font>
      <b/>
      <sz val="18"/>
      <color theme="1"/>
      <name val="Calibri"/>
      <family val="2"/>
    </font>
    <font>
      <b/>
      <sz val="11"/>
      <color theme="1"/>
      <name val="Aptos Narrow"/>
      <family val="2"/>
      <scheme val="minor"/>
    </font>
    <font>
      <b/>
      <sz val="12"/>
      <color theme="1"/>
      <name val="Calibri"/>
      <family val="2"/>
    </font>
    <font>
      <b/>
      <sz val="12"/>
      <color theme="1"/>
      <name val="Aptos Narrow"/>
      <family val="2"/>
      <scheme val="minor"/>
    </font>
    <font>
      <b/>
      <u val="single"/>
      <sz val="12"/>
      <color rgb="FF000000"/>
      <name val="Aptos Display"/>
      <family val="2"/>
    </font>
    <font>
      <b/>
      <u val="single"/>
      <sz val="14"/>
      <color rgb="FF000000"/>
      <name val="Aptos Display"/>
      <family val="2"/>
    </font>
    <font>
      <b/>
      <sz val="12"/>
      <color rgb="FF000000"/>
      <name val="Calibri"/>
      <family val="2"/>
    </font>
    <font>
      <b/>
      <sz val="11"/>
      <color rgb="FF000000"/>
      <name val="Calibri"/>
      <family val="2"/>
    </font>
    <font>
      <i/>
      <sz val="10"/>
      <color rgb="FF000000"/>
      <name val="Calibri"/>
      <family val="2"/>
    </font>
    <font>
      <b/>
      <sz val="12"/>
      <color rgb="FF000000"/>
      <name val="Times New Roman"/>
      <family val="1"/>
    </font>
    <font>
      <sz val="12"/>
      <color rgb="FF000000"/>
      <name val="Times New Roman"/>
      <family val="1"/>
    </font>
  </fonts>
  <fills count="11">
    <fill>
      <patternFill patternType="none"/>
    </fill>
    <fill>
      <patternFill patternType="gray125"/>
    </fill>
    <fill>
      <patternFill patternType="solid">
        <fgColor rgb="FFC1E5F5"/>
        <bgColor indexed="64"/>
      </patternFill>
    </fill>
    <fill>
      <patternFill patternType="solid">
        <fgColor rgb="FFFBE3D6"/>
        <bgColor indexed="64"/>
      </patternFill>
    </fill>
    <fill>
      <patternFill patternType="solid">
        <fgColor rgb="FFC2F1C8"/>
        <bgColor indexed="64"/>
      </patternFill>
    </fill>
    <fill>
      <patternFill patternType="solid">
        <fgColor rgb="FFF2F2F2"/>
        <bgColor indexed="64"/>
      </patternFill>
    </fill>
    <fill>
      <patternFill patternType="solid">
        <fgColor rgb="FFDCEAF7"/>
        <bgColor indexed="64"/>
      </patternFill>
    </fill>
    <fill>
      <patternFill patternType="solid">
        <fgColor rgb="FFE8E8E8"/>
        <bgColor indexed="64"/>
      </patternFill>
    </fill>
    <fill>
      <patternFill patternType="solid">
        <fgColor rgb="FFE0FFFF"/>
        <bgColor indexed="64"/>
      </patternFill>
    </fill>
    <fill>
      <patternFill patternType="solid">
        <fgColor rgb="FFD3D3D3"/>
        <bgColor indexed="64"/>
      </patternFill>
    </fill>
    <fill>
      <patternFill patternType="solid">
        <fgColor indexed="65"/>
        <bgColor indexed="64"/>
      </patternFill>
    </fill>
  </fills>
  <borders count="31">
    <border>
      <left/>
      <right/>
      <top/>
      <bottom/>
      <diagonal/>
    </border>
    <border>
      <left style="thin">
        <color auto="1"/>
      </left>
      <right style="thin">
        <color auto="1"/>
      </right>
      <top style="thin">
        <color auto="1"/>
      </top>
      <bottom style="thin">
        <color auto="1"/>
      </bottom>
    </border>
    <border>
      <left style="thin">
        <color auto="1"/>
      </left>
      <right/>
      <top style="thin">
        <color auto="1"/>
      </top>
      <bottom/>
    </border>
    <border>
      <left/>
      <right style="thin">
        <color auto="1"/>
      </right>
      <top style="thin">
        <color auto="1"/>
      </top>
      <bottom/>
    </border>
    <border>
      <left style="thin">
        <color auto="1"/>
      </left>
      <right style="thin">
        <color auto="1"/>
      </right>
      <top style="thin">
        <color auto="1"/>
      </top>
      <bottom/>
    </border>
    <border>
      <left style="thin">
        <color auto="1"/>
      </left>
      <right style="thin">
        <color auto="1"/>
      </right>
      <top/>
      <bottom/>
    </border>
    <border>
      <left style="thin">
        <color auto="1"/>
      </left>
      <right style="thin">
        <color auto="1"/>
      </right>
      <top/>
      <bottom style="thin">
        <color auto="1"/>
      </bottom>
    </border>
    <border>
      <left style="thin">
        <color auto="1"/>
      </left>
      <right/>
      <top style="thin">
        <color auto="1"/>
      </top>
      <bottom style="thin">
        <color auto="1"/>
      </bottom>
    </border>
    <border>
      <left/>
      <right style="thin">
        <color auto="1"/>
      </right>
      <top style="thin">
        <color auto="1"/>
      </top>
      <bottom style="thin">
        <color auto="1"/>
      </bottom>
    </border>
    <border>
      <left style="thin">
        <color auto="1"/>
      </left>
      <right/>
      <top/>
      <bottom style="thin">
        <color auto="1"/>
      </bottom>
    </border>
    <border>
      <left/>
      <right/>
      <top style="thin">
        <color auto="1"/>
      </top>
      <bottom style="thin">
        <color auto="1"/>
      </bottom>
    </border>
    <border>
      <left/>
      <right/>
      <top/>
      <bottom style="thin">
        <color auto="1"/>
      </bottom>
    </border>
    <border>
      <left style="thin">
        <color auto="1"/>
      </left>
      <right/>
      <top style="thin">
        <color rgb="FF000000"/>
      </top>
      <bottom style="thin">
        <color auto="1"/>
      </bottom>
    </border>
    <border>
      <left style="thin">
        <color auto="1"/>
      </left>
      <right/>
      <top style="thin">
        <color rgb="FF000000"/>
      </top>
      <bottom style="thin">
        <color rgb="FF000000"/>
      </bottom>
    </border>
    <border>
      <left style="thin">
        <color rgb="FF000000"/>
      </left>
      <right/>
      <top style="thin">
        <color rgb="FF000000"/>
      </top>
      <bottom style="thin">
        <color rgb="FF000000"/>
      </bottom>
    </border>
    <border>
      <left style="thin">
        <color auto="1"/>
      </left>
      <right style="thin">
        <color rgb="FF000000"/>
      </right>
      <top style="thin">
        <color rgb="FF000000"/>
      </top>
      <bottom style="thin">
        <color rgb="FF000000"/>
      </bottom>
    </border>
    <border>
      <left style="thin">
        <color auto="1"/>
      </left>
      <right style="thin">
        <color auto="1"/>
      </right>
      <top style="thin">
        <color rgb="FF000000"/>
      </top>
      <bottom style="thin">
        <color auto="1"/>
      </bottom>
    </border>
    <border>
      <left/>
      <right/>
      <top/>
      <bottom style="thin">
        <color rgb="FF000000"/>
      </bottom>
    </border>
    <border>
      <left style="thin">
        <color auto="1"/>
      </left>
      <right style="thin">
        <color auto="1"/>
      </right>
      <top style="thin">
        <color rgb="FF000000"/>
      </top>
      <bottom style="thin">
        <color rgb="FF000000"/>
      </bottom>
    </border>
    <border>
      <left style="thin">
        <color rgb="FF000000"/>
      </left>
      <right style="thin">
        <color auto="1"/>
      </right>
      <top style="thin">
        <color rgb="FF000000"/>
      </top>
      <bottom style="thin">
        <color rgb="FF000000"/>
      </bottom>
    </border>
    <border>
      <left style="thin">
        <color auto="1"/>
      </left>
      <right style="thin">
        <color auto="1"/>
      </right>
      <top style="thin">
        <color auto="1"/>
      </top>
      <bottom style="thin">
        <color rgb="FF000000"/>
      </bottom>
    </border>
    <border>
      <left style="thin">
        <color rgb="FF000000"/>
      </left>
      <right style="thin">
        <color auto="1"/>
      </right>
      <top style="thin">
        <color rgb="FF000000"/>
      </top>
      <bottom style="thin">
        <color auto="1"/>
      </bottom>
    </border>
    <border>
      <left style="thin">
        <color rgb="FF000000"/>
      </left>
      <right style="thin">
        <color auto="1"/>
      </right>
      <top style="thin">
        <color auto="1"/>
      </top>
      <bottom style="thin">
        <color rgb="FF000000"/>
      </bottom>
    </border>
    <border>
      <left style="thin">
        <color auto="1"/>
      </left>
      <right style="thin">
        <color rgb="FF000000"/>
      </right>
      <top style="thin">
        <color rgb="FF000000"/>
      </top>
      <bottom style="thin">
        <color auto="1"/>
      </bottom>
    </border>
    <border>
      <left style="thin">
        <color auto="1"/>
      </left>
      <right style="thin">
        <color rgb="FF000000"/>
      </right>
      <top style="thin">
        <color auto="1"/>
      </top>
      <bottom style="thin">
        <color rgb="FF000000"/>
      </bottom>
    </border>
    <border>
      <left style="thin">
        <color auto="1"/>
      </left>
      <right/>
      <top style="thin">
        <color auto="1"/>
      </top>
      <bottom style="thin">
        <color rgb="FF000000"/>
      </bottom>
    </border>
    <border>
      <left/>
      <right style="thin">
        <color auto="1"/>
      </right>
      <top style="thin">
        <color auto="1"/>
      </top>
      <bottom style="thin">
        <color rgb="FF000000"/>
      </bottom>
    </border>
    <border>
      <left/>
      <right/>
      <top style="thin">
        <color auto="1"/>
      </top>
      <bottom style="thin">
        <color rgb="FF000000"/>
      </bottom>
    </border>
    <border>
      <left style="thin">
        <color rgb="FF000000"/>
      </left>
      <right/>
      <top/>
      <bottom/>
    </border>
    <border>
      <left style="thin">
        <color auto="1"/>
      </left>
      <right/>
      <top/>
      <bottom/>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18">
    <xf numFmtId="0" fontId="0" fillId="0" borderId="0" xfId="0"/>
    <xf numFmtId="0" fontId="2" fillId="0" borderId="0" xfId="0"/>
    <xf numFmtId="49" fontId="4" fillId="2" borderId="1" xfId="0" applyNumberFormat="1" applyFont="1" applyFill="1" applyBorder="1" applyAlignment="1">
      <alignment horizontal="left" vertical="top"/>
    </xf>
    <xf numFmtId="49" fontId="20" fillId="3" borderId="2" xfId="0" applyNumberFormat="1" applyFont="1" applyFill="1" applyBorder="1" applyAlignment="1">
      <alignment horizontal="center" vertical="center" wrapText="1"/>
    </xf>
    <xf numFmtId="49" fontId="20" fillId="3" borderId="3" xfId="0" applyNumberFormat="1" applyFont="1" applyFill="1" applyBorder="1" applyAlignment="1">
      <alignment horizontal="center" vertical="center" wrapText="1"/>
    </xf>
    <xf numFmtId="49" fontId="21" fillId="0" borderId="1" xfId="0" applyNumberFormat="1" applyFont="1" applyBorder="1" applyAlignment="1">
      <alignment vertical="center"/>
    </xf>
    <xf numFmtId="49" fontId="1" fillId="4" borderId="1" xfId="0" applyNumberFormat="1" applyFont="1" applyFill="1" applyBorder="1" applyAlignment="1">
      <alignment horizontal="right" vertical="top" wrapText="1"/>
    </xf>
    <xf numFmtId="49" fontId="3" fillId="4" borderId="1" xfId="0" applyNumberFormat="1" applyFont="1" applyFill="1" applyBorder="1" applyAlignment="1">
      <alignment vertical="top" wrapText="1"/>
    </xf>
    <xf numFmtId="49" fontId="1" fillId="4" borderId="4" xfId="0" applyNumberFormat="1" applyFont="1" applyFill="1" applyBorder="1" applyAlignment="1">
      <alignment horizontal="right" vertical="top" wrapText="1"/>
    </xf>
    <xf numFmtId="49" fontId="1" fillId="4" borderId="5" xfId="0" applyNumberFormat="1" applyFont="1" applyFill="1" applyBorder="1" applyAlignment="1">
      <alignment horizontal="right" vertical="top" wrapText="1"/>
    </xf>
    <xf numFmtId="49" fontId="1" fillId="4" borderId="6" xfId="0" applyNumberFormat="1" applyFont="1" applyFill="1" applyBorder="1" applyAlignment="1">
      <alignment horizontal="right" vertical="top" wrapText="1"/>
    </xf>
    <xf numFmtId="49" fontId="3" fillId="4" borderId="1" xfId="0" applyNumberFormat="1" applyFont="1" applyFill="1" applyBorder="1" applyAlignment="1" quotePrefix="1">
      <alignment vertical="top" wrapText="1"/>
    </xf>
    <xf numFmtId="49" fontId="20" fillId="3" borderId="7" xfId="0" applyNumberFormat="1" applyFont="1" applyFill="1" applyBorder="1" applyAlignment="1">
      <alignment horizontal="center" vertical="center" wrapText="1"/>
    </xf>
    <xf numFmtId="49" fontId="20" fillId="3" borderId="8" xfId="0" applyNumberFormat="1" applyFont="1" applyFill="1" applyBorder="1" applyAlignment="1">
      <alignment horizontal="center" vertical="center" wrapText="1"/>
    </xf>
    <xf numFmtId="49" fontId="1" fillId="2" borderId="6" xfId="0" applyNumberFormat="1" applyFont="1" applyFill="1" applyBorder="1" applyAlignment="1">
      <alignment horizontal="right" vertical="top" wrapText="1"/>
    </xf>
    <xf numFmtId="49" fontId="3" fillId="2" borderId="1" xfId="0" applyNumberFormat="1" applyFont="1" applyFill="1" applyBorder="1" applyAlignment="1">
      <alignment vertical="top" wrapText="1"/>
    </xf>
    <xf numFmtId="49" fontId="1" fillId="2" borderId="9" xfId="0" applyNumberFormat="1" applyFont="1" applyFill="1" applyBorder="1" applyAlignment="1">
      <alignment horizontal="right" vertical="top" wrapText="1"/>
    </xf>
    <xf numFmtId="49" fontId="4" fillId="0" borderId="1" xfId="0" applyNumberFormat="1" applyFont="1" applyBorder="1" applyAlignment="1">
      <alignment horizontal="left" vertical="top"/>
    </xf>
    <xf numFmtId="49" fontId="2" fillId="0" borderId="1" xfId="0" applyNumberFormat="1" applyBorder="1" applyAlignment="1">
      <alignment horizontal="left" vertical="top"/>
    </xf>
    <xf numFmtId="49" fontId="2" fillId="0" borderId="1" xfId="0" applyNumberFormat="1" applyBorder="1"/>
    <xf numFmtId="49" fontId="2" fillId="0" borderId="1" xfId="0" applyNumberFormat="1" applyBorder="1" applyAlignment="1">
      <alignment wrapText="1"/>
    </xf>
    <xf numFmtId="0" fontId="19" fillId="0" borderId="0" xfId="0" applyFont="1" applyProtection="1">
      <protection hidden="1"/>
    </xf>
    <xf numFmtId="0" fontId="18" fillId="0" borderId="0" xfId="0" applyFont="1" applyProtection="1">
      <protection hidden="1"/>
    </xf>
    <xf numFmtId="0" fontId="2" fillId="0" borderId="0" xfId="0" applyProtection="1">
      <protection hidden="1"/>
    </xf>
    <xf numFmtId="0" fontId="6" fillId="0" borderId="0" xfId="0" applyFont="1" applyProtection="1">
      <protection hidden="1"/>
    </xf>
    <xf numFmtId="0" fontId="17" fillId="0" borderId="0" xfId="0" applyFont="1" applyProtection="1">
      <protection hidden="1"/>
    </xf>
    <xf numFmtId="0" fontId="8" fillId="0" borderId="0" xfId="0" applyFont="1" applyProtection="1">
      <protection hidden="1"/>
    </xf>
    <xf numFmtId="0" fontId="16" fillId="0" borderId="0" xfId="0" applyFont="1" applyAlignment="1" applyProtection="1">
      <alignment horizontal="left" vertical="center"/>
      <protection hidden="1"/>
    </xf>
    <xf numFmtId="0" fontId="6" fillId="0" borderId="0" xfId="0" applyFont="1" applyAlignment="1" applyProtection="1">
      <alignment wrapText="1"/>
      <protection hidden="1"/>
    </xf>
    <xf numFmtId="0" fontId="6" fillId="0" borderId="0" xfId="0" applyFont="1" applyAlignment="1" applyProtection="1">
      <alignment vertical="center" wrapText="1"/>
      <protection hidden="1"/>
    </xf>
    <xf numFmtId="49" fontId="6" fillId="0" borderId="0" xfId="0" applyNumberFormat="1" applyFont="1" applyProtection="1">
      <protection hidden="1"/>
    </xf>
    <xf numFmtId="0" fontId="5" fillId="0" borderId="0" xfId="0" applyFont="1" applyAlignment="1" applyProtection="1">
      <alignment horizontal="left" vertical="top" wrapText="1"/>
      <protection hidden="1"/>
    </xf>
    <xf numFmtId="0" fontId="14" fillId="0" borderId="0" xfId="0" applyFont="1" applyAlignment="1" applyProtection="1">
      <alignment vertical="top" wrapText="1"/>
      <protection hidden="1"/>
    </xf>
    <xf numFmtId="0" fontId="15" fillId="0" borderId="0" xfId="0" applyFont="1" applyProtection="1">
      <protection hidden="1"/>
    </xf>
    <xf numFmtId="0" fontId="14" fillId="0" borderId="0" xfId="0" applyFont="1" applyAlignment="1" applyProtection="1">
      <alignment vertical="top"/>
      <protection hidden="1"/>
    </xf>
    <xf numFmtId="49" fontId="6" fillId="5" borderId="1" xfId="0" applyNumberFormat="1" applyFont="1" applyFill="1" applyBorder="1" applyAlignment="1">
      <alignment horizontal="left" vertical="top" wrapText="1"/>
    </xf>
    <xf numFmtId="0" fontId="13" fillId="0" borderId="0" xfId="0" applyFont="1"/>
    <xf numFmtId="0" fontId="5" fillId="0" borderId="0" xfId="0" applyFont="1" applyProtection="1">
      <protection hidden="1"/>
    </xf>
    <xf numFmtId="49" fontId="6" fillId="0" borderId="7" xfId="0" applyNumberFormat="1" applyFont="1" applyBorder="1" applyAlignment="1" applyProtection="1">
      <alignment horizontal="left" vertical="top"/>
      <protection locked="0"/>
    </xf>
    <xf numFmtId="49" fontId="6" fillId="0" borderId="8" xfId="0" applyNumberFormat="1" applyFont="1" applyBorder="1" applyAlignment="1" applyProtection="1">
      <alignment horizontal="left" vertical="top"/>
      <protection locked="0"/>
    </xf>
    <xf numFmtId="49" fontId="6" fillId="0" borderId="0" xfId="0" applyNumberFormat="1" applyFont="1" applyAlignment="1" applyProtection="1">
      <alignment horizontal="right"/>
      <protection hidden="1"/>
    </xf>
    <xf numFmtId="0" fontId="5" fillId="0" borderId="0" xfId="0" applyFont="1" applyAlignment="1" applyProtection="1">
      <alignment horizontal="left" vertical="top"/>
      <protection hidden="1"/>
    </xf>
    <xf numFmtId="0" fontId="8" fillId="0" borderId="0" xfId="0" applyFont="1" applyAlignment="1" applyProtection="1">
      <alignment vertical="top"/>
      <protection hidden="1"/>
    </xf>
    <xf numFmtId="0" fontId="5" fillId="0" borderId="0" xfId="0" applyFont="1" applyAlignment="1" applyProtection="1">
      <alignment horizontal="left"/>
      <protection hidden="1"/>
    </xf>
    <xf numFmtId="49" fontId="6" fillId="5" borderId="1" xfId="0" applyNumberFormat="1" applyFont="1" applyFill="1" applyBorder="1" applyAlignment="1">
      <alignment horizontal="right"/>
    </xf>
    <xf numFmtId="0" fontId="7" fillId="6" borderId="1" xfId="0" applyFont="1" applyFill="1" applyBorder="1" applyAlignment="1" applyProtection="1">
      <alignment horizontal="center" vertical="center"/>
      <protection hidden="1"/>
    </xf>
    <xf numFmtId="0" fontId="7" fillId="6" borderId="1" xfId="0" applyFont="1" applyFill="1" applyBorder="1" applyAlignment="1" applyProtection="1">
      <alignment horizontal="center" vertical="center" wrapText="1"/>
      <protection hidden="1"/>
    </xf>
    <xf numFmtId="0" fontId="7" fillId="6" borderId="7" xfId="0" applyFont="1" applyFill="1" applyBorder="1" applyAlignment="1" applyProtection="1">
      <alignment horizontal="center" vertical="center" wrapText="1"/>
      <protection hidden="1"/>
    </xf>
    <xf numFmtId="0" fontId="7" fillId="6" borderId="10" xfId="0" applyFont="1" applyFill="1" applyBorder="1" applyAlignment="1" applyProtection="1">
      <alignment horizontal="center" vertical="center" wrapText="1"/>
      <protection hidden="1"/>
    </xf>
    <xf numFmtId="0" fontId="7" fillId="6" borderId="8" xfId="0" applyFont="1" applyFill="1" applyBorder="1" applyAlignment="1" applyProtection="1">
      <alignment horizontal="center" vertical="center" wrapText="1"/>
      <protection hidden="1"/>
    </xf>
    <xf numFmtId="0" fontId="8" fillId="6" borderId="1" xfId="0" applyFont="1" applyFill="1" applyBorder="1" applyAlignment="1" applyProtection="1">
      <alignment horizontal="center" vertical="center"/>
      <protection hidden="1"/>
    </xf>
    <xf numFmtId="49" fontId="6" fillId="5" borderId="1" xfId="0" applyNumberFormat="1" applyFont="1" applyFill="1" applyBorder="1" applyAlignment="1">
      <alignment horizontal="right" vertical="top"/>
    </xf>
    <xf numFmtId="49" fontId="6" fillId="5" borderId="1" xfId="0" applyNumberFormat="1" applyFont="1" applyFill="1" applyBorder="1" applyAlignment="1" applyProtection="1">
      <alignment horizontal="right" vertical="top"/>
      <protection locked="0"/>
    </xf>
    <xf numFmtId="0" fontId="6" fillId="5" borderId="1" xfId="0" applyFont="1" applyFill="1" applyBorder="1" applyAlignment="1">
      <alignment horizontal="right" vertical="top"/>
    </xf>
    <xf numFmtId="177" fontId="6" fillId="0" borderId="0" xfId="0" applyNumberFormat="1" applyFont="1" applyProtection="1">
      <protection hidden="1"/>
    </xf>
    <xf numFmtId="0" fontId="6" fillId="0" borderId="0" xfId="0" applyFont="1" applyAlignment="1" applyProtection="1">
      <alignment vertical="top"/>
      <protection hidden="1"/>
    </xf>
    <xf numFmtId="0" fontId="5" fillId="0" borderId="0" xfId="0" applyFont="1" applyAlignment="1" applyProtection="1">
      <alignment vertical="top"/>
      <protection hidden="1"/>
    </xf>
    <xf numFmtId="49" fontId="5" fillId="5" borderId="7" xfId="0" applyNumberFormat="1" applyFont="1" applyFill="1" applyBorder="1" applyAlignment="1">
      <alignment horizontal="right"/>
    </xf>
    <xf numFmtId="49" fontId="5" fillId="5" borderId="8" xfId="0" applyNumberFormat="1" applyFont="1" applyFill="1" applyBorder="1" applyAlignment="1">
      <alignment horizontal="right"/>
    </xf>
    <xf numFmtId="0" fontId="7" fillId="6" borderId="1" xfId="0" applyFont="1" applyFill="1" applyBorder="1" applyAlignment="1" applyProtection="1">
      <alignment horizontal="center" wrapText="1"/>
      <protection hidden="1"/>
    </xf>
    <xf numFmtId="0" fontId="7" fillId="6" borderId="1" xfId="0" applyFont="1" applyFill="1" applyBorder="1" applyAlignment="1" applyProtection="1">
      <alignment horizontal="center"/>
      <protection hidden="1"/>
    </xf>
    <xf numFmtId="49" fontId="6" fillId="5" borderId="1" xfId="0" applyNumberFormat="1" applyFont="1" applyFill="1" applyBorder="1" applyAlignment="1" applyProtection="1">
      <alignment horizontal="left" vertical="top" wrapText="1"/>
      <protection locked="0"/>
    </xf>
    <xf numFmtId="49" fontId="6" fillId="0" borderId="1" xfId="0" applyNumberFormat="1" applyFont="1" applyBorder="1" applyAlignment="1" applyProtection="1">
      <alignment horizontal="left" vertical="top" wrapText="1"/>
      <protection locked="0"/>
    </xf>
    <xf numFmtId="0" fontId="5" fillId="0" borderId="0" xfId="0" applyFont="1" applyAlignment="1" applyProtection="1">
      <alignment wrapText="1"/>
      <protection hidden="1"/>
    </xf>
    <xf numFmtId="0" fontId="6" fillId="0" borderId="0" xfId="0" applyFont="1" applyAlignment="1" applyProtection="1">
      <alignment horizontal="right"/>
      <protection hidden="1"/>
    </xf>
    <xf numFmtId="0" fontId="5" fillId="0" borderId="0" xfId="0" applyFont="1" applyAlignment="1" applyProtection="1">
      <alignment horizontal="left" wrapText="1"/>
      <protection hidden="1"/>
    </xf>
    <xf numFmtId="0" fontId="7" fillId="6" borderId="1" xfId="0" applyFont="1" applyFill="1" applyBorder="1" applyAlignment="1" applyProtection="1">
      <alignment vertical="center"/>
      <protection hidden="1"/>
    </xf>
    <xf numFmtId="49" fontId="6" fillId="0" borderId="7" xfId="0" applyNumberFormat="1" applyFont="1" applyBorder="1" applyAlignment="1" applyProtection="1">
      <alignment horizontal="left" vertical="top" wrapText="1"/>
      <protection locked="0"/>
    </xf>
    <xf numFmtId="49" fontId="6" fillId="0" borderId="10" xfId="0" applyNumberFormat="1" applyFont="1" applyBorder="1" applyAlignment="1" applyProtection="1">
      <alignment horizontal="left" vertical="top" wrapText="1"/>
      <protection locked="0"/>
    </xf>
    <xf numFmtId="49" fontId="6" fillId="0" borderId="8" xfId="0" applyNumberFormat="1" applyFont="1" applyBorder="1" applyAlignment="1" applyProtection="1">
      <alignment horizontal="left" vertical="top" wrapText="1"/>
      <protection locked="0"/>
    </xf>
    <xf numFmtId="0" fontId="5" fillId="0" borderId="0" xfId="0" applyFont="1" applyAlignment="1" applyProtection="1">
      <alignment vertical="top" wrapText="1"/>
      <protection hidden="1"/>
    </xf>
    <xf numFmtId="0" fontId="5" fillId="0" borderId="0" xfId="0" applyFont="1" applyAlignment="1" applyProtection="1">
      <alignment horizontal="left" vertical="center" wrapText="1"/>
      <protection hidden="1"/>
    </xf>
    <xf numFmtId="49" fontId="6" fillId="0" borderId="0" xfId="0" applyNumberFormat="1" applyFont="1" applyAlignment="1" applyProtection="1">
      <alignment horizontal="left" vertical="top"/>
      <protection hidden="1"/>
    </xf>
    <xf numFmtId="0" fontId="7" fillId="6" borderId="1" xfId="0" applyFont="1" applyFill="1" applyBorder="1" applyAlignment="1" applyProtection="1">
      <alignment vertical="top" wrapText="1"/>
      <protection hidden="1"/>
    </xf>
    <xf numFmtId="0" fontId="7" fillId="6" borderId="1" xfId="0" applyFont="1" applyFill="1" applyBorder="1" applyAlignment="1" applyProtection="1">
      <alignment horizontal="center" vertical="top" wrapText="1"/>
      <protection hidden="1"/>
    </xf>
    <xf numFmtId="0" fontId="7" fillId="6" borderId="1" xfId="0" applyFont="1" applyFill="1" applyBorder="1" applyAlignment="1" applyProtection="1">
      <alignment horizontal="center" vertical="top"/>
      <protection hidden="1"/>
    </xf>
    <xf numFmtId="49" fontId="6" fillId="0" borderId="1" xfId="0" applyNumberFormat="1" applyFont="1" applyBorder="1" applyAlignment="1">
      <alignment horizontal="left" vertical="top"/>
    </xf>
    <xf numFmtId="49" fontId="6" fillId="0" borderId="1" xfId="0" applyNumberFormat="1" applyFont="1" applyBorder="1" applyAlignment="1" applyProtection="1">
      <alignment horizontal="left" vertical="top"/>
      <protection hidden="1"/>
    </xf>
    <xf numFmtId="49" fontId="6" fillId="0" borderId="1" xfId="0" applyNumberFormat="1" applyFont="1" applyBorder="1" applyAlignment="1">
      <alignment horizontal="right" vertical="top"/>
    </xf>
    <xf numFmtId="49" fontId="6" fillId="0" borderId="1" xfId="0" applyNumberFormat="1" applyFont="1" applyBorder="1" applyAlignment="1">
      <alignment vertical="top"/>
    </xf>
    <xf numFmtId="49" fontId="2" fillId="0" borderId="7" xfId="0" applyNumberFormat="1" applyBorder="1" applyAlignment="1">
      <alignment horizontal="right" vertical="top"/>
    </xf>
    <xf numFmtId="49" fontId="2" fillId="0" borderId="10" xfId="0" applyNumberFormat="1" applyBorder="1" applyAlignment="1">
      <alignment horizontal="right" vertical="top"/>
    </xf>
    <xf numFmtId="0" fontId="6" fillId="0" borderId="0" xfId="0" applyFont="1" applyAlignment="1" applyProtection="1">
      <alignment horizontal="left" vertical="top"/>
      <protection hidden="1"/>
    </xf>
    <xf numFmtId="49" fontId="5" fillId="0" borderId="1" xfId="0" applyNumberFormat="1" applyFont="1" applyBorder="1" applyAlignment="1" applyProtection="1">
      <alignment horizontal="left" vertical="top" wrapText="1"/>
      <protection locked="0"/>
    </xf>
    <xf numFmtId="49" fontId="2" fillId="0" borderId="0" xfId="0" applyNumberFormat="1" applyAlignment="1" applyProtection="1">
      <alignment vertical="top"/>
      <protection hidden="1"/>
    </xf>
    <xf numFmtId="49" fontId="6" fillId="0" borderId="1" xfId="0" applyNumberFormat="1" applyFont="1" applyBorder="1" applyAlignment="1" applyProtection="1">
      <alignment horizontal="right" vertical="top"/>
      <protection locked="0"/>
    </xf>
    <xf numFmtId="0" fontId="5" fillId="0" borderId="0" xfId="0" applyFont="1" applyAlignment="1" applyProtection="1">
      <alignment vertical="center"/>
      <protection hidden="1"/>
    </xf>
    <xf numFmtId="49" fontId="2" fillId="0" borderId="1" xfId="0" applyNumberFormat="1" applyBorder="1" applyAlignment="1" applyProtection="1">
      <alignment horizontal="right" vertical="top"/>
      <protection locked="0"/>
    </xf>
    <xf numFmtId="49" fontId="6" fillId="0" borderId="0" xfId="0" applyNumberFormat="1" applyFont="1" applyAlignment="1" applyProtection="1">
      <alignment vertical="top"/>
      <protection hidden="1"/>
    </xf>
    <xf numFmtId="49" fontId="6" fillId="0" borderId="7" xfId="0" applyNumberFormat="1" applyFont="1" applyBorder="1" applyAlignment="1" applyProtection="1">
      <alignment horizontal="right" vertical="top"/>
      <protection locked="0"/>
    </xf>
    <xf numFmtId="49" fontId="6" fillId="0" borderId="10" xfId="0" applyNumberFormat="1" applyFont="1" applyBorder="1" applyAlignment="1" applyProtection="1">
      <alignment horizontal="right" vertical="top"/>
      <protection locked="0"/>
    </xf>
    <xf numFmtId="49" fontId="6" fillId="0" borderId="8" xfId="0" applyNumberFormat="1" applyFont="1" applyBorder="1" applyAlignment="1" applyProtection="1">
      <alignment horizontal="right" vertical="top"/>
      <protection locked="0"/>
    </xf>
    <xf numFmtId="49" fontId="2" fillId="0" borderId="7" xfId="0" applyNumberFormat="1" applyBorder="1" applyAlignment="1" applyProtection="1">
      <alignment horizontal="right" vertical="top"/>
      <protection locked="0"/>
    </xf>
    <xf numFmtId="49" fontId="2" fillId="0" borderId="10" xfId="0" applyNumberFormat="1" applyBorder="1" applyAlignment="1" applyProtection="1">
      <alignment horizontal="right" vertical="top"/>
      <protection locked="0"/>
    </xf>
    <xf numFmtId="49" fontId="2" fillId="0" borderId="8" xfId="0" applyNumberFormat="1" applyBorder="1" applyAlignment="1" applyProtection="1">
      <alignment horizontal="right" vertical="top"/>
      <protection locked="0"/>
    </xf>
    <xf numFmtId="0" fontId="6" fillId="0" borderId="7" xfId="0" applyFont="1" applyBorder="1" applyAlignment="1">
      <alignment horizontal="right" vertical="top"/>
    </xf>
    <xf numFmtId="0" fontId="6" fillId="0" borderId="8" xfId="0" applyFont="1" applyBorder="1" applyAlignment="1">
      <alignment horizontal="right" vertical="top"/>
    </xf>
    <xf numFmtId="49" fontId="2" fillId="0" borderId="0" xfId="0" applyNumberFormat="1" applyAlignment="1" applyProtection="1">
      <alignment horizontal="right" vertical="top"/>
      <protection hidden="1"/>
    </xf>
    <xf numFmtId="0" fontId="5" fillId="0" borderId="0" xfId="0" applyFont="1" applyAlignment="1" applyProtection="1">
      <alignment horizontal="center" vertical="top" wrapText="1"/>
      <protection hidden="1"/>
    </xf>
    <xf numFmtId="49" fontId="7" fillId="6" borderId="1" xfId="0" applyNumberFormat="1" applyFont="1" applyFill="1" applyBorder="1" applyAlignment="1" applyProtection="1">
      <alignment horizontal="center" vertical="center"/>
      <protection hidden="1"/>
    </xf>
    <xf numFmtId="49" fontId="7" fillId="6" borderId="1" xfId="0" applyNumberFormat="1" applyFont="1" applyFill="1" applyBorder="1" applyAlignment="1" applyProtection="1">
      <alignment horizontal="center"/>
      <protection hidden="1"/>
    </xf>
    <xf numFmtId="49" fontId="6" fillId="0" borderId="1" xfId="0" applyNumberFormat="1" applyFont="1" applyBorder="1" applyAlignment="1" applyProtection="1">
      <alignment horizontal="left" vertical="top"/>
      <protection locked="0"/>
    </xf>
    <xf numFmtId="0" fontId="6" fillId="0" borderId="1" xfId="0" applyFont="1" applyBorder="1"/>
    <xf numFmtId="0" fontId="6" fillId="0" borderId="1" xfId="0" applyFont="1" applyBorder="1" applyAlignment="1">
      <alignment horizontal="center"/>
    </xf>
    <xf numFmtId="0" fontId="6" fillId="0" borderId="1" xfId="0" applyFont="1" applyBorder="1" applyAlignment="1">
      <alignment horizontal="right" vertical="top"/>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0" xfId="0" applyFont="1" applyAlignment="1" applyProtection="1">
      <alignment horizontal="center"/>
      <protection hidden="1"/>
    </xf>
    <xf numFmtId="49" fontId="6" fillId="0" borderId="10" xfId="0" applyNumberFormat="1" applyFont="1" applyBorder="1" applyAlignment="1" applyProtection="1">
      <alignment horizontal="left" vertical="top"/>
      <protection locked="0"/>
    </xf>
    <xf numFmtId="0" fontId="5" fillId="0" borderId="0" xfId="0" applyFont="1" applyAlignment="1" applyProtection="1">
      <alignment horizontal="left" vertical="center"/>
      <protection hidden="1"/>
    </xf>
    <xf numFmtId="0" fontId="6" fillId="0" borderId="1" xfId="0" applyFont="1" applyBorder="1" applyAlignment="1" applyProtection="1">
      <alignment horizontal="left" vertical="top" wrapText="1"/>
      <protection hidden="1"/>
    </xf>
    <xf numFmtId="0" fontId="5" fillId="0" borderId="11" xfId="0" applyFont="1" applyBorder="1" applyAlignment="1" applyProtection="1">
      <alignment horizontal="left" wrapText="1"/>
      <protection hidden="1"/>
    </xf>
    <xf numFmtId="0" fontId="6" fillId="0" borderId="0" xfId="0" applyFont="1" applyAlignment="1" applyProtection="1">
      <alignment horizontal="right" vertical="top"/>
      <protection hidden="1"/>
    </xf>
    <xf numFmtId="0" fontId="12" fillId="0" borderId="0" xfId="0" applyFont="1" applyAlignment="1" applyProtection="1">
      <alignment vertical="top"/>
      <protection hidden="1"/>
    </xf>
    <xf numFmtId="0" fontId="11" fillId="0" borderId="0" xfId="0" applyFont="1" applyAlignment="1">
      <alignment vertical="center"/>
    </xf>
    <xf numFmtId="0" fontId="9" fillId="0" borderId="0" xfId="0" applyFont="1"/>
    <xf numFmtId="0" fontId="10" fillId="0" borderId="0" xfId="0" applyFont="1"/>
    <xf numFmtId="49" fontId="9" fillId="0" borderId="1" xfId="0" applyNumberFormat="1" applyFont="1" applyBorder="1" applyAlignment="1">
      <alignment horizontal="right"/>
    </xf>
    <xf numFmtId="49" fontId="9" fillId="0" borderId="7" xfId="0" applyNumberFormat="1" applyFont="1" applyBorder="1" applyAlignment="1">
      <alignment horizontal="left"/>
    </xf>
    <xf numFmtId="49" fontId="9" fillId="0" borderId="10" xfId="0" applyNumberFormat="1" applyFont="1" applyBorder="1" applyAlignment="1">
      <alignment horizontal="left"/>
    </xf>
    <xf numFmtId="49" fontId="9" fillId="0" borderId="8" xfId="0" applyNumberFormat="1" applyFont="1" applyBorder="1" applyAlignment="1">
      <alignment horizontal="left"/>
    </xf>
    <xf numFmtId="0" fontId="10" fillId="0" borderId="0" xfId="0" applyFont="1" applyAlignment="1">
      <alignment vertical="center"/>
    </xf>
    <xf numFmtId="0" fontId="7" fillId="0" borderId="0" xfId="0" applyFont="1" applyProtection="1">
      <protection hidden="1"/>
    </xf>
    <xf numFmtId="0" fontId="5" fillId="7" borderId="1" xfId="0" applyFont="1" applyFill="1" applyBorder="1" applyAlignment="1">
      <alignment horizontal="left"/>
    </xf>
    <xf numFmtId="0" fontId="5" fillId="0" borderId="1" xfId="0" applyFont="1" applyBorder="1" applyAlignment="1" applyProtection="1">
      <alignment horizontal="center"/>
      <protection hidden="1"/>
    </xf>
    <xf numFmtId="49" fontId="2" fillId="0" borderId="1" xfId="0" applyNumberFormat="1" applyBorder="1" applyAlignment="1">
      <alignment horizontal="left"/>
    </xf>
    <xf numFmtId="49" fontId="6" fillId="8" borderId="7" xfId="0" applyNumberFormat="1" applyFont="1" applyFill="1" applyBorder="1" applyAlignment="1" applyProtection="1">
      <alignment horizontal="left" vertical="top"/>
      <protection locked="0"/>
    </xf>
    <xf numFmtId="49" fontId="6" fillId="8" borderId="12" xfId="0" applyNumberFormat="1" applyFont="1" applyFill="1" applyBorder="1" applyAlignment="1" applyProtection="1">
      <alignment horizontal="left" vertical="top"/>
      <protection locked="0"/>
    </xf>
    <xf numFmtId="49" fontId="6" fillId="8" borderId="13" xfId="0" applyNumberFormat="1" applyFont="1" applyFill="1" applyBorder="1" applyAlignment="1" applyProtection="1">
      <alignment horizontal="left" vertical="top"/>
      <protection locked="0"/>
    </xf>
    <xf numFmtId="49" fontId="6" fillId="8" borderId="14" xfId="0" applyNumberFormat="1" applyFont="1" applyFill="1" applyBorder="1" applyAlignment="1" applyProtection="1">
      <alignment horizontal="left" vertical="top"/>
      <protection locked="0"/>
    </xf>
    <xf numFmtId="49" fontId="6" fillId="8" borderId="15" xfId="0" applyNumberFormat="1" applyFont="1" applyFill="1" applyBorder="1" applyAlignment="1" applyProtection="1">
      <alignment horizontal="left" vertical="top"/>
      <protection locked="0"/>
    </xf>
    <xf numFmtId="49" fontId="6" fillId="8" borderId="1" xfId="0" applyNumberFormat="1" applyFont="1" applyFill="1" applyBorder="1" applyAlignment="1" applyProtection="1">
      <alignment horizontal="left" vertical="top" wrapText="1"/>
      <protection locked="0"/>
    </xf>
    <xf numFmtId="49" fontId="6" fillId="8" borderId="16" xfId="0" applyNumberFormat="1" applyFont="1" applyFill="1" applyBorder="1" applyAlignment="1" applyProtection="1">
      <alignment horizontal="left" vertical="top" wrapText="1"/>
      <protection locked="0"/>
    </xf>
    <xf numFmtId="0" fontId="5" fillId="0" borderId="17" xfId="0" applyFont="1" applyBorder="1" applyProtection="1">
      <protection hidden="1"/>
    </xf>
    <xf numFmtId="49" fontId="6" fillId="8" borderId="18" xfId="0" applyNumberFormat="1" applyFont="1" applyFill="1" applyBorder="1" applyAlignment="1" applyProtection="1">
      <alignment horizontal="left" vertical="top" wrapText="1"/>
      <protection locked="0"/>
    </xf>
    <xf numFmtId="49" fontId="6" fillId="8" borderId="19" xfId="0" applyNumberFormat="1" applyFont="1" applyFill="1" applyBorder="1" applyAlignment="1" applyProtection="1">
      <alignment horizontal="left" vertical="top" wrapText="1"/>
      <protection locked="0"/>
    </xf>
    <xf numFmtId="49" fontId="6" fillId="8" borderId="15" xfId="0" applyNumberFormat="1" applyFont="1" applyFill="1" applyBorder="1" applyAlignment="1" applyProtection="1">
      <alignment horizontal="left" vertical="top" wrapText="1"/>
      <protection locked="0"/>
    </xf>
    <xf numFmtId="0" fontId="5" fillId="0" borderId="17" xfId="0" applyFont="1" applyBorder="1" applyAlignment="1" applyProtection="1">
      <alignment wrapText="1"/>
      <protection hidden="1"/>
    </xf>
    <xf numFmtId="0" fontId="5" fillId="0" borderId="17" xfId="0" applyFont="1" applyBorder="1" applyAlignment="1" applyProtection="1">
      <alignment horizontal="left" wrapText="1"/>
      <protection hidden="1"/>
    </xf>
    <xf numFmtId="0" fontId="6" fillId="8" borderId="0" xfId="0" applyFont="1" applyFill="1" applyProtection="1">
      <protection hidden="1" locked="0"/>
    </xf>
    <xf numFmtId="49" fontId="6" fillId="0" borderId="17" xfId="0" applyNumberFormat="1" applyFont="1" applyBorder="1" applyAlignment="1" applyProtection="1">
      <alignment horizontal="left" vertical="top"/>
      <protection hidden="1"/>
    </xf>
    <xf numFmtId="49" fontId="6" fillId="0" borderId="17" xfId="0" applyNumberFormat="1" applyFont="1" applyBorder="1" applyProtection="1">
      <protection hidden="1"/>
    </xf>
    <xf numFmtId="0" fontId="5" fillId="0" borderId="17" xfId="0" applyFont="1" applyBorder="1" applyAlignment="1" applyProtection="1">
      <alignment vertical="top"/>
      <protection hidden="1"/>
    </xf>
    <xf numFmtId="0" fontId="6" fillId="0" borderId="17" xfId="0" applyFont="1" applyBorder="1" applyAlignment="1" applyProtection="1">
      <alignment horizontal="left" vertical="top"/>
      <protection hidden="1"/>
    </xf>
    <xf numFmtId="49" fontId="5" fillId="8" borderId="1" xfId="0" applyNumberFormat="1" applyFont="1" applyFill="1" applyBorder="1" applyAlignment="1" applyProtection="1">
      <alignment horizontal="left" vertical="top" wrapText="1"/>
      <protection locked="0"/>
    </xf>
    <xf numFmtId="49" fontId="5" fillId="8" borderId="16" xfId="0" applyNumberFormat="1" applyFont="1" applyFill="1" applyBorder="1" applyAlignment="1" applyProtection="1">
      <alignment horizontal="left" vertical="top" wrapText="1"/>
      <protection locked="0"/>
    </xf>
    <xf numFmtId="49" fontId="5" fillId="8" borderId="18" xfId="0" applyNumberFormat="1" applyFont="1" applyFill="1" applyBorder="1" applyAlignment="1" applyProtection="1">
      <alignment horizontal="left" vertical="top" wrapText="1"/>
      <protection locked="0"/>
    </xf>
    <xf numFmtId="49" fontId="5" fillId="8" borderId="19" xfId="0" applyNumberFormat="1" applyFont="1" applyFill="1" applyBorder="1" applyAlignment="1" applyProtection="1">
      <alignment horizontal="left" vertical="top" wrapText="1"/>
      <protection locked="0"/>
    </xf>
    <xf numFmtId="49" fontId="5" fillId="8" borderId="15" xfId="0" applyNumberFormat="1" applyFont="1" applyFill="1" applyBorder="1" applyAlignment="1" applyProtection="1">
      <alignment horizontal="left" vertical="top" wrapText="1"/>
      <protection locked="0"/>
    </xf>
    <xf numFmtId="49" fontId="6" fillId="8" borderId="1" xfId="0" applyNumberFormat="1" applyFont="1" applyFill="1" applyBorder="1" applyAlignment="1" applyProtection="1">
      <alignment horizontal="right" vertical="top"/>
      <protection locked="0"/>
    </xf>
    <xf numFmtId="49" fontId="6" fillId="8" borderId="16" xfId="0" applyNumberFormat="1" applyFont="1" applyFill="1" applyBorder="1" applyAlignment="1" applyProtection="1">
      <alignment horizontal="right" vertical="top"/>
      <protection locked="0"/>
    </xf>
    <xf numFmtId="49" fontId="2" fillId="0" borderId="17" xfId="0" applyNumberFormat="1" applyBorder="1" applyAlignment="1" applyProtection="1">
      <alignment vertical="top"/>
      <protection hidden="1"/>
    </xf>
    <xf numFmtId="49" fontId="6" fillId="8" borderId="18" xfId="0" applyNumberFormat="1" applyFont="1" applyFill="1" applyBorder="1" applyAlignment="1" applyProtection="1">
      <alignment horizontal="right" vertical="top"/>
      <protection locked="0"/>
    </xf>
    <xf numFmtId="49" fontId="6" fillId="8" borderId="19" xfId="0" applyNumberFormat="1" applyFont="1" applyFill="1" applyBorder="1" applyAlignment="1" applyProtection="1">
      <alignment horizontal="right" vertical="top"/>
      <protection locked="0"/>
    </xf>
    <xf numFmtId="49" fontId="6" fillId="8" borderId="15" xfId="0" applyNumberFormat="1" applyFont="1" applyFill="1" applyBorder="1" applyAlignment="1" applyProtection="1">
      <alignment horizontal="right" vertical="top"/>
      <protection locked="0"/>
    </xf>
    <xf numFmtId="49" fontId="2" fillId="8" borderId="1" xfId="0" applyNumberFormat="1" applyFont="1" applyFill="1" applyBorder="1" applyAlignment="1" applyProtection="1">
      <alignment horizontal="right" vertical="top"/>
      <protection locked="0"/>
    </xf>
    <xf numFmtId="49" fontId="2" fillId="8" borderId="16" xfId="0" applyNumberFormat="1" applyFont="1" applyFill="1" applyBorder="1" applyAlignment="1" applyProtection="1">
      <alignment horizontal="right" vertical="top"/>
      <protection locked="0"/>
    </xf>
    <xf numFmtId="49" fontId="2" fillId="8" borderId="18" xfId="0" applyNumberFormat="1" applyFont="1" applyFill="1" applyBorder="1" applyAlignment="1" applyProtection="1">
      <alignment horizontal="right" vertical="top"/>
      <protection locked="0"/>
    </xf>
    <xf numFmtId="49" fontId="2" fillId="8" borderId="19" xfId="0" applyNumberFormat="1" applyFont="1" applyFill="1" applyBorder="1" applyAlignment="1" applyProtection="1">
      <alignment horizontal="right" vertical="top"/>
      <protection locked="0"/>
    </xf>
    <xf numFmtId="49" fontId="2" fillId="8" borderId="15" xfId="0" applyNumberFormat="1" applyFont="1" applyFill="1" applyBorder="1" applyAlignment="1" applyProtection="1">
      <alignment horizontal="right" vertical="top"/>
      <protection locked="0"/>
    </xf>
    <xf numFmtId="0" fontId="5" fillId="0" borderId="17" xfId="0" applyFont="1" applyBorder="1" applyAlignment="1" applyProtection="1">
      <alignment horizontal="left" vertical="top" wrapText="1"/>
      <protection hidden="1"/>
    </xf>
    <xf numFmtId="49" fontId="6" fillId="0" borderId="17" xfId="0" applyNumberFormat="1" applyFont="1" applyBorder="1" applyAlignment="1" applyProtection="1">
      <alignment vertical="top"/>
      <protection hidden="1"/>
    </xf>
    <xf numFmtId="49" fontId="6" fillId="8" borderId="7" xfId="0" applyNumberFormat="1" applyFont="1" applyFill="1" applyBorder="1" applyAlignment="1" applyProtection="1">
      <alignment horizontal="right" vertical="top"/>
      <protection locked="0"/>
    </xf>
    <xf numFmtId="49" fontId="6" fillId="8" borderId="12" xfId="0" applyNumberFormat="1" applyFont="1" applyFill="1" applyBorder="1" applyAlignment="1" applyProtection="1">
      <alignment horizontal="right" vertical="top"/>
      <protection locked="0"/>
    </xf>
    <xf numFmtId="49" fontId="6" fillId="8" borderId="13" xfId="0" applyNumberFormat="1" applyFont="1" applyFill="1" applyBorder="1" applyAlignment="1" applyProtection="1">
      <alignment horizontal="right" vertical="top"/>
      <protection locked="0"/>
    </xf>
    <xf numFmtId="49" fontId="6" fillId="8" borderId="14" xfId="0" applyNumberFormat="1" applyFont="1" applyFill="1" applyBorder="1" applyAlignment="1" applyProtection="1">
      <alignment horizontal="right" vertical="top"/>
      <protection locked="0"/>
    </xf>
    <xf numFmtId="49" fontId="6" fillId="8" borderId="7" xfId="0" applyNumberFormat="1" applyFont="1" applyFill="1" applyBorder="1" applyAlignment="1" applyProtection="1">
      <alignment horizontal="left" vertical="top" wrapText="1"/>
      <protection locked="0"/>
    </xf>
    <xf numFmtId="49" fontId="6" fillId="8" borderId="12" xfId="0" applyNumberFormat="1" applyFont="1" applyFill="1" applyBorder="1" applyAlignment="1" applyProtection="1">
      <alignment horizontal="left" vertical="top" wrapText="1"/>
      <protection locked="0"/>
    </xf>
    <xf numFmtId="49" fontId="6" fillId="8" borderId="13" xfId="0" applyNumberFormat="1" applyFont="1" applyFill="1" applyBorder="1" applyAlignment="1" applyProtection="1">
      <alignment horizontal="left" vertical="top" wrapText="1"/>
      <protection locked="0"/>
    </xf>
    <xf numFmtId="49" fontId="6" fillId="8" borderId="14" xfId="0" applyNumberFormat="1" applyFont="1" applyFill="1" applyBorder="1" applyAlignment="1" applyProtection="1">
      <alignment horizontal="left" vertical="top" wrapText="1"/>
      <protection locked="0"/>
    </xf>
    <xf numFmtId="0" fontId="6" fillId="8" borderId="1" xfId="0" applyFont="1" applyFill="1" applyBorder="1" applyAlignment="1" applyProtection="1">
      <alignment horizontal="left" vertical="top" wrapText="1"/>
      <protection hidden="1" locked="0"/>
    </xf>
    <xf numFmtId="0" fontId="6" fillId="8" borderId="16" xfId="0" applyFont="1" applyFill="1" applyBorder="1" applyAlignment="1" applyProtection="1">
      <alignment horizontal="left" vertical="top" wrapText="1"/>
      <protection hidden="1" locked="0"/>
    </xf>
    <xf numFmtId="0" fontId="6" fillId="0" borderId="17" xfId="0" applyFont="1" applyBorder="1" applyAlignment="1" applyProtection="1">
      <alignment vertical="top"/>
      <protection hidden="1"/>
    </xf>
    <xf numFmtId="0" fontId="6" fillId="8" borderId="18" xfId="0" applyFont="1" applyFill="1" applyBorder="1" applyAlignment="1" applyProtection="1">
      <alignment horizontal="left" vertical="top" wrapText="1"/>
      <protection hidden="1" locked="0"/>
    </xf>
    <xf numFmtId="0" fontId="6" fillId="8" borderId="19" xfId="0" applyFont="1" applyFill="1" applyBorder="1" applyAlignment="1" applyProtection="1">
      <alignment horizontal="left" vertical="top" wrapText="1"/>
      <protection hidden="1" locked="0"/>
    </xf>
    <xf numFmtId="0" fontId="6" fillId="8" borderId="15" xfId="0" applyFont="1" applyFill="1" applyBorder="1" applyAlignment="1" applyProtection="1">
      <alignment horizontal="left" vertical="top" wrapText="1"/>
      <protection hidden="1" locked="0"/>
    </xf>
    <xf numFmtId="0" fontId="5" fillId="0" borderId="17" xfId="0" applyFont="1" applyBorder="1" applyAlignment="1" applyProtection="1">
      <alignment horizontal="left"/>
      <protection hidden="1"/>
    </xf>
    <xf numFmtId="0" fontId="5" fillId="0" borderId="17" xfId="0" applyFont="1" applyBorder="1" applyAlignment="1" applyProtection="1">
      <alignment horizontal="left" vertical="top"/>
      <protection hidden="1"/>
    </xf>
    <xf numFmtId="0" fontId="5" fillId="0" borderId="17" xfId="0" applyFont="1" applyBorder="1" applyAlignment="1" applyProtection="1">
      <alignment vertical="top" wrapText="1"/>
      <protection hidden="1"/>
    </xf>
    <xf numFmtId="49" fontId="6" fillId="8" borderId="20" xfId="0" applyNumberFormat="1" applyFont="1" applyFill="1" applyBorder="1" applyAlignment="1" applyProtection="1">
      <alignment horizontal="left" vertical="top" wrapText="1"/>
      <protection locked="0"/>
    </xf>
    <xf numFmtId="49" fontId="6" fillId="8" borderId="21" xfId="0" applyNumberFormat="1" applyFont="1" applyFill="1" applyBorder="1" applyAlignment="1" applyProtection="1">
      <alignment horizontal="left" vertical="top" wrapText="1"/>
      <protection locked="0"/>
    </xf>
    <xf numFmtId="49" fontId="6" fillId="8" borderId="22" xfId="0" applyNumberFormat="1" applyFont="1" applyFill="1" applyBorder="1" applyAlignment="1" applyProtection="1">
      <alignment horizontal="left" vertical="top" wrapText="1"/>
      <protection locked="0"/>
    </xf>
    <xf numFmtId="49" fontId="6" fillId="8" borderId="23" xfId="0" applyNumberFormat="1" applyFont="1" applyFill="1" applyBorder="1" applyAlignment="1" applyProtection="1">
      <alignment horizontal="left" vertical="top" wrapText="1"/>
      <protection locked="0"/>
    </xf>
    <xf numFmtId="49" fontId="6" fillId="8" borderId="24" xfId="0" applyNumberFormat="1" applyFont="1" applyFill="1" applyBorder="1" applyAlignment="1" applyProtection="1">
      <alignment horizontal="left" vertical="top" wrapText="1"/>
      <protection locked="0"/>
    </xf>
    <xf numFmtId="0" fontId="7" fillId="6" borderId="20" xfId="0" applyFont="1" applyFill="1" applyBorder="1" applyAlignment="1" applyProtection="1">
      <alignment horizontal="center" vertical="top" wrapText="1"/>
      <protection hidden="1"/>
    </xf>
    <xf numFmtId="0" fontId="7" fillId="6" borderId="20" xfId="0" applyFont="1" applyFill="1" applyBorder="1" applyAlignment="1" applyProtection="1">
      <alignment horizontal="center" vertical="top"/>
      <protection hidden="1"/>
    </xf>
    <xf numFmtId="49" fontId="2" fillId="8" borderId="7" xfId="0" applyNumberFormat="1" applyFont="1" applyFill="1" applyBorder="1" applyAlignment="1" applyProtection="1">
      <alignment horizontal="right" vertical="top"/>
      <protection locked="0"/>
    </xf>
    <xf numFmtId="49" fontId="2" fillId="8" borderId="12" xfId="0" applyNumberFormat="1" applyFont="1" applyFill="1" applyBorder="1" applyAlignment="1" applyProtection="1">
      <alignment horizontal="right" vertical="top"/>
      <protection locked="0"/>
    </xf>
    <xf numFmtId="49" fontId="2" fillId="8" borderId="13" xfId="0" applyNumberFormat="1" applyFont="1" applyFill="1" applyBorder="1" applyAlignment="1" applyProtection="1">
      <alignment horizontal="right" vertical="top"/>
      <protection locked="0"/>
    </xf>
    <xf numFmtId="49" fontId="2" fillId="8" borderId="14" xfId="0" applyNumberFormat="1" applyFont="1" applyFill="1" applyBorder="1" applyAlignment="1" applyProtection="1">
      <alignment horizontal="right" vertical="top"/>
      <protection locked="0"/>
    </xf>
    <xf numFmtId="49" fontId="9" fillId="8" borderId="1" xfId="0" applyNumberFormat="1" applyFont="1" applyFill="1" applyBorder="1" applyAlignment="1" applyProtection="1">
      <alignment horizontal="right"/>
      <protection locked="0"/>
    </xf>
    <xf numFmtId="49" fontId="9" fillId="8" borderId="16" xfId="0" applyNumberFormat="1" applyFont="1" applyFill="1" applyBorder="1" applyAlignment="1" applyProtection="1">
      <alignment horizontal="right"/>
      <protection locked="0"/>
    </xf>
    <xf numFmtId="0" fontId="9" fillId="0" borderId="17" xfId="0" applyFont="1" applyBorder="1"/>
    <xf numFmtId="49" fontId="9" fillId="8" borderId="18" xfId="0" applyNumberFormat="1" applyFont="1" applyFill="1" applyBorder="1" applyAlignment="1" applyProtection="1">
      <alignment horizontal="right"/>
      <protection locked="0"/>
    </xf>
    <xf numFmtId="49" fontId="9" fillId="8" borderId="19" xfId="0" applyNumberFormat="1" applyFont="1" applyFill="1" applyBorder="1" applyAlignment="1" applyProtection="1">
      <alignment horizontal="right"/>
      <protection locked="0"/>
    </xf>
    <xf numFmtId="49" fontId="9" fillId="8" borderId="15" xfId="0" applyNumberFormat="1" applyFont="1" applyFill="1" applyBorder="1" applyAlignment="1" applyProtection="1">
      <alignment horizontal="right"/>
      <protection locked="0"/>
    </xf>
    <xf numFmtId="49" fontId="9" fillId="8" borderId="7" xfId="0" applyNumberFormat="1" applyFont="1" applyFill="1" applyBorder="1" applyAlignment="1" applyProtection="1">
      <alignment horizontal="left"/>
      <protection locked="0"/>
    </xf>
    <xf numFmtId="49" fontId="9" fillId="8" borderId="12" xfId="0" applyNumberFormat="1" applyFont="1" applyFill="1" applyBorder="1" applyAlignment="1" applyProtection="1">
      <alignment horizontal="left"/>
      <protection locked="0"/>
    </xf>
    <xf numFmtId="49" fontId="9" fillId="8" borderId="13" xfId="0" applyNumberFormat="1" applyFont="1" applyFill="1" applyBorder="1" applyAlignment="1" applyProtection="1">
      <alignment horizontal="left"/>
      <protection locked="0"/>
    </xf>
    <xf numFmtId="49" fontId="9" fillId="8" borderId="14" xfId="0" applyNumberFormat="1" applyFont="1" applyFill="1" applyBorder="1" applyAlignment="1" applyProtection="1">
      <alignment horizontal="left"/>
      <protection locked="0"/>
    </xf>
    <xf numFmtId="49" fontId="9" fillId="8" borderId="15" xfId="0" applyNumberFormat="1" applyFont="1" applyFill="1" applyBorder="1" applyAlignment="1" applyProtection="1">
      <alignment horizontal="left"/>
      <protection locked="0"/>
    </xf>
    <xf numFmtId="49" fontId="2" fillId="8" borderId="1" xfId="0" applyNumberFormat="1" applyFont="1" applyFill="1" applyBorder="1" applyAlignment="1" applyProtection="1">
      <alignment horizontal="left"/>
      <protection locked="0"/>
    </xf>
    <xf numFmtId="49" fontId="2" fillId="8" borderId="16" xfId="0" applyNumberFormat="1" applyFont="1" applyFill="1" applyBorder="1" applyAlignment="1" applyProtection="1">
      <alignment horizontal="left"/>
      <protection locked="0"/>
    </xf>
    <xf numFmtId="49" fontId="2" fillId="8" borderId="18" xfId="0" applyNumberFormat="1" applyFont="1" applyFill="1" applyBorder="1" applyAlignment="1" applyProtection="1">
      <alignment horizontal="left"/>
      <protection locked="0"/>
    </xf>
    <xf numFmtId="49" fontId="2" fillId="8" borderId="19" xfId="0" applyNumberFormat="1" applyFont="1" applyFill="1" applyBorder="1" applyAlignment="1" applyProtection="1">
      <alignment horizontal="left"/>
      <protection locked="0"/>
    </xf>
    <xf numFmtId="49" fontId="2" fillId="8" borderId="15" xfId="0" applyNumberFormat="1" applyFont="1" applyFill="1" applyBorder="1" applyAlignment="1" applyProtection="1">
      <alignment horizontal="left"/>
      <protection locked="0"/>
    </xf>
    <xf numFmtId="0" fontId="6" fillId="9" borderId="0" xfId="0" applyFont="1" applyFill="1" applyProtection="1">
      <protection hidden="1"/>
    </xf>
    <xf numFmtId="49" fontId="6" fillId="9" borderId="1" xfId="0" applyNumberFormat="1" applyFont="1" applyFill="1" applyBorder="1" applyAlignment="1" applyProtection="1">
      <alignment horizontal="right"/>
      <protection/>
    </xf>
    <xf numFmtId="49" fontId="6" fillId="9" borderId="16" xfId="0" applyNumberFormat="1" applyFont="1" applyFill="1" applyBorder="1" applyAlignment="1" applyProtection="1">
      <alignment horizontal="right"/>
      <protection/>
    </xf>
    <xf numFmtId="49" fontId="6" fillId="9" borderId="18" xfId="0" applyNumberFormat="1" applyFont="1" applyFill="1" applyBorder="1" applyAlignment="1" applyProtection="1">
      <alignment horizontal="right"/>
      <protection/>
    </xf>
    <xf numFmtId="49" fontId="6" fillId="9" borderId="19" xfId="0" applyNumberFormat="1" applyFont="1" applyFill="1" applyBorder="1" applyAlignment="1" applyProtection="1">
      <alignment horizontal="right"/>
      <protection/>
    </xf>
    <xf numFmtId="49" fontId="6" fillId="9" borderId="15" xfId="0" applyNumberFormat="1" applyFont="1" applyFill="1" applyBorder="1" applyAlignment="1" applyProtection="1">
      <alignment horizontal="right"/>
      <protection/>
    </xf>
    <xf numFmtId="49" fontId="5" fillId="9" borderId="7" xfId="0" applyNumberFormat="1" applyFont="1" applyFill="1" applyBorder="1" applyAlignment="1" applyProtection="1">
      <alignment horizontal="right"/>
      <protection/>
    </xf>
    <xf numFmtId="49" fontId="5" fillId="9" borderId="12" xfId="0" applyNumberFormat="1" applyFont="1" applyFill="1" applyBorder="1" applyAlignment="1" applyProtection="1">
      <alignment horizontal="right"/>
      <protection/>
    </xf>
    <xf numFmtId="49" fontId="5" fillId="9" borderId="13" xfId="0" applyNumberFormat="1" applyFont="1" applyFill="1" applyBorder="1" applyAlignment="1" applyProtection="1">
      <alignment horizontal="right"/>
      <protection/>
    </xf>
    <xf numFmtId="49" fontId="5" fillId="9" borderId="14" xfId="0" applyNumberFormat="1" applyFont="1" applyFill="1" applyBorder="1" applyAlignment="1" applyProtection="1">
      <alignment horizontal="right"/>
      <protection/>
    </xf>
    <xf numFmtId="49" fontId="5" fillId="9" borderId="15" xfId="0" applyNumberFormat="1" applyFont="1" applyFill="1" applyBorder="1" applyAlignment="1" applyProtection="1">
      <alignment horizontal="right"/>
      <protection/>
    </xf>
    <xf numFmtId="49" fontId="6" fillId="9" borderId="1" xfId="0" applyNumberFormat="1" applyFont="1" applyFill="1" applyBorder="1" applyAlignment="1" applyProtection="1">
      <alignment horizontal="right" vertical="top"/>
      <protection/>
    </xf>
    <xf numFmtId="49" fontId="6" fillId="9" borderId="16" xfId="0" applyNumberFormat="1" applyFont="1" applyFill="1" applyBorder="1" applyAlignment="1" applyProtection="1">
      <alignment horizontal="right" vertical="top"/>
      <protection/>
    </xf>
    <xf numFmtId="49" fontId="6" fillId="9" borderId="18" xfId="0" applyNumberFormat="1" applyFont="1" applyFill="1" applyBorder="1" applyAlignment="1" applyProtection="1">
      <alignment horizontal="right" vertical="top"/>
      <protection/>
    </xf>
    <xf numFmtId="49" fontId="6" fillId="9" borderId="19" xfId="0" applyNumberFormat="1" applyFont="1" applyFill="1" applyBorder="1" applyAlignment="1" applyProtection="1">
      <alignment horizontal="right" vertical="top"/>
      <protection/>
    </xf>
    <xf numFmtId="49" fontId="6" fillId="9" borderId="15" xfId="0" applyNumberFormat="1" applyFont="1" applyFill="1" applyBorder="1" applyAlignment="1" applyProtection="1">
      <alignment horizontal="right" vertical="top"/>
      <protection/>
    </xf>
    <xf numFmtId="0" fontId="6" fillId="9" borderId="7" xfId="0" applyFont="1" applyFill="1" applyBorder="1" applyAlignment="1" applyProtection="1">
      <alignment horizontal="right" vertical="top"/>
      <protection hidden="1"/>
    </xf>
    <xf numFmtId="0" fontId="6" fillId="9" borderId="12" xfId="0" applyFont="1" applyFill="1" applyBorder="1" applyAlignment="1" applyProtection="1">
      <alignment horizontal="right" vertical="top"/>
      <protection hidden="1"/>
    </xf>
    <xf numFmtId="0" fontId="6" fillId="9" borderId="13" xfId="0" applyFont="1" applyFill="1" applyBorder="1" applyAlignment="1" applyProtection="1">
      <alignment horizontal="right" vertical="top"/>
      <protection hidden="1"/>
    </xf>
    <xf numFmtId="0" fontId="6" fillId="9" borderId="14" xfId="0" applyFont="1" applyFill="1" applyBorder="1" applyAlignment="1" applyProtection="1">
      <alignment horizontal="right" vertical="top"/>
      <protection hidden="1"/>
    </xf>
    <xf numFmtId="0" fontId="6" fillId="9" borderId="15" xfId="0" applyFont="1" applyFill="1" applyBorder="1" applyAlignment="1" applyProtection="1">
      <alignment horizontal="right" vertical="top"/>
      <protection hidden="1"/>
    </xf>
    <xf numFmtId="0" fontId="6" fillId="9" borderId="1" xfId="0" applyFont="1" applyFill="1" applyBorder="1" applyAlignment="1" applyProtection="1">
      <alignment horizontal="right" vertical="top"/>
      <protection hidden="1"/>
    </xf>
    <xf numFmtId="0" fontId="6" fillId="9" borderId="16" xfId="0" applyFont="1" applyFill="1" applyBorder="1" applyAlignment="1" applyProtection="1">
      <alignment horizontal="right" vertical="top"/>
      <protection hidden="1"/>
    </xf>
    <xf numFmtId="49" fontId="2" fillId="0" borderId="25" xfId="0" applyNumberFormat="1" applyBorder="1" applyAlignment="1" applyProtection="1">
      <alignment horizontal="right" vertical="top"/>
      <protection locked="0"/>
    </xf>
    <xf numFmtId="49" fontId="2" fillId="0" borderId="26" xfId="0" applyNumberFormat="1" applyBorder="1" applyAlignment="1" applyProtection="1">
      <alignment horizontal="right" vertical="top"/>
      <protection locked="0"/>
    </xf>
    <xf numFmtId="0" fontId="6" fillId="9" borderId="18" xfId="0" applyFont="1" applyFill="1" applyBorder="1" applyAlignment="1" applyProtection="1">
      <alignment horizontal="right" vertical="top"/>
      <protection hidden="1"/>
    </xf>
    <xf numFmtId="0" fontId="6" fillId="9" borderId="19" xfId="0" applyFont="1" applyFill="1" applyBorder="1" applyAlignment="1" applyProtection="1">
      <alignment horizontal="right" vertical="top"/>
      <protection hidden="1"/>
    </xf>
    <xf numFmtId="49" fontId="2" fillId="0" borderId="20" xfId="0" applyNumberFormat="1" applyBorder="1" applyAlignment="1" applyProtection="1">
      <alignment horizontal="right" vertical="top"/>
      <protection locked="0"/>
    </xf>
    <xf numFmtId="0" fontId="5" fillId="9" borderId="1" xfId="0" applyFont="1" applyFill="1" applyBorder="1" applyAlignment="1" applyProtection="1">
      <alignment horizontal="left"/>
      <protection/>
    </xf>
    <xf numFmtId="0" fontId="5" fillId="9" borderId="16" xfId="0" applyFont="1" applyFill="1" applyBorder="1" applyAlignment="1" applyProtection="1">
      <alignment horizontal="left"/>
      <protection/>
    </xf>
    <xf numFmtId="0" fontId="5" fillId="9" borderId="18" xfId="0" applyFont="1" applyFill="1" applyBorder="1" applyAlignment="1" applyProtection="1">
      <alignment horizontal="left"/>
      <protection/>
    </xf>
    <xf numFmtId="0" fontId="5" fillId="9" borderId="19" xfId="0" applyFont="1" applyFill="1" applyBorder="1" applyAlignment="1" applyProtection="1">
      <alignment horizontal="left"/>
      <protection/>
    </xf>
    <xf numFmtId="0" fontId="5" fillId="9" borderId="15" xfId="0" applyFont="1" applyFill="1" applyBorder="1" applyAlignment="1" applyProtection="1">
      <alignment horizontal="left"/>
      <protection/>
    </xf>
    <xf numFmtId="0" fontId="7" fillId="6" borderId="20"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protection hidden="1"/>
    </xf>
    <xf numFmtId="177" fontId="6" fillId="10" borderId="28" xfId="0" applyNumberFormat="1" applyFont="1" applyFill="1" applyBorder="1" applyProtection="1">
      <protection hidden="1"/>
    </xf>
    <xf numFmtId="177" fontId="6" fillId="10" borderId="29" xfId="0" applyNumberFormat="1" applyFont="1" applyFill="1" applyBorder="1" applyProtection="1">
      <protection hidden="1"/>
    </xf>
    <xf numFmtId="0" fontId="7" fillId="6" borderId="20" xfId="0" applyFont="1" applyFill="1" applyBorder="1" applyAlignment="1" applyProtection="1">
      <alignment horizontal="center" vertical="center"/>
      <protection hidden="1"/>
    </xf>
    <xf numFmtId="0" fontId="6" fillId="9" borderId="1" xfId="0" applyFont="1" applyFill="1" applyBorder="1" applyAlignment="1" applyProtection="1">
      <alignment horizontal="right" vertical="top"/>
      <protection/>
    </xf>
    <xf numFmtId="0" fontId="6" fillId="9" borderId="16" xfId="0" applyFont="1" applyFill="1" applyBorder="1" applyAlignment="1" applyProtection="1">
      <alignment horizontal="right" vertical="top"/>
      <protection/>
    </xf>
    <xf numFmtId="0" fontId="6" fillId="9" borderId="18" xfId="0" applyFont="1" applyFill="1" applyBorder="1" applyAlignment="1" applyProtection="1">
      <alignment horizontal="right" vertical="top"/>
      <protection/>
    </xf>
    <xf numFmtId="0" fontId="6" fillId="9" borderId="19" xfId="0" applyFont="1" applyFill="1" applyBorder="1" applyAlignment="1" applyProtection="1">
      <alignment horizontal="right" vertical="top"/>
      <protection/>
    </xf>
    <xf numFmtId="0" fontId="6" fillId="9" borderId="15" xfId="0" applyFont="1" applyFill="1" applyBorder="1" applyAlignment="1" applyProtection="1">
      <alignment horizontal="right" vertical="top"/>
      <protection/>
    </xf>
    <xf numFmtId="49" fontId="6" fillId="9" borderId="1" xfId="0" applyNumberFormat="1" applyFont="1" applyFill="1" applyBorder="1" applyAlignment="1" applyProtection="1">
      <alignment horizontal="left" vertical="top"/>
      <protection/>
    </xf>
    <xf numFmtId="49" fontId="6" fillId="9" borderId="16" xfId="0" applyNumberFormat="1" applyFont="1" applyFill="1" applyBorder="1" applyAlignment="1" applyProtection="1">
      <alignment horizontal="left" vertical="top"/>
      <protection/>
    </xf>
    <xf numFmtId="49" fontId="6" fillId="9" borderId="18" xfId="0" applyNumberFormat="1" applyFont="1" applyFill="1" applyBorder="1" applyAlignment="1" applyProtection="1">
      <alignment horizontal="left" vertical="top"/>
      <protection/>
    </xf>
    <xf numFmtId="49" fontId="6" fillId="9" borderId="19" xfId="0" applyNumberFormat="1" applyFont="1" applyFill="1" applyBorder="1" applyAlignment="1" applyProtection="1">
      <alignment horizontal="left" vertical="top"/>
      <protection/>
    </xf>
    <xf numFmtId="49" fontId="6" fillId="9" borderId="15" xfId="0" applyNumberFormat="1" applyFont="1" applyFill="1" applyBorder="1" applyAlignment="1" applyProtection="1">
      <alignment horizontal="left" vertical="top"/>
      <protection/>
    </xf>
    <xf numFmtId="49" fontId="6" fillId="8" borderId="1" xfId="0" applyNumberFormat="1" applyFont="1" applyFill="1" applyBorder="1" applyAlignment="1" applyProtection="1">
      <alignment horizontal="left" vertical="top"/>
      <protection locked="0"/>
    </xf>
    <xf numFmtId="49" fontId="6" fillId="8" borderId="16" xfId="0" applyNumberFormat="1" applyFont="1" applyFill="1" applyBorder="1" applyAlignment="1" applyProtection="1">
      <alignment horizontal="left" vertical="top"/>
      <protection locked="0"/>
    </xf>
    <xf numFmtId="49" fontId="6" fillId="8" borderId="18" xfId="0" applyNumberFormat="1" applyFont="1" applyFill="1" applyBorder="1" applyAlignment="1" applyProtection="1">
      <alignment horizontal="left" vertical="top"/>
      <protection locked="0"/>
    </xf>
    <xf numFmtId="49" fontId="6" fillId="8" borderId="19" xfId="0" applyNumberFormat="1" applyFont="1" applyFill="1" applyBorder="1" applyAlignment="1" applyProtection="1">
      <alignment horizontal="left" vertical="top"/>
      <protection locked="0"/>
    </xf>
    <xf numFmtId="49" fontId="6" fillId="8" borderId="1" xfId="0" applyNumberFormat="1" applyFont="1" applyFill="1" applyBorder="1" applyAlignment="1" applyProtection="1">
      <alignment horizontal="left" vertical="top"/>
      <protection hidden="1" locked="0"/>
    </xf>
    <xf numFmtId="49" fontId="6" fillId="8" borderId="16" xfId="0" applyNumberFormat="1" applyFont="1" applyFill="1" applyBorder="1" applyAlignment="1" applyProtection="1">
      <alignment horizontal="left" vertical="top"/>
      <protection hidden="1" locked="0"/>
    </xf>
    <xf numFmtId="0" fontId="7" fillId="6" borderId="20" xfId="0" applyFont="1" applyFill="1" applyBorder="1" applyAlignment="1" applyProtection="1">
      <alignment vertical="top" wrapText="1"/>
      <protection hidden="1"/>
    </xf>
    <xf numFmtId="49" fontId="6" fillId="8" borderId="18" xfId="0" applyNumberFormat="1" applyFont="1" applyFill="1" applyBorder="1" applyAlignment="1" applyProtection="1">
      <alignment horizontal="left" vertical="top"/>
      <protection hidden="1" locked="0"/>
    </xf>
    <xf numFmtId="49" fontId="6" fillId="8" borderId="19" xfId="0" applyNumberFormat="1" applyFont="1" applyFill="1" applyBorder="1" applyAlignment="1" applyProtection="1">
      <alignment horizontal="left" vertical="top"/>
      <protection hidden="1" locked="0"/>
    </xf>
    <xf numFmtId="49" fontId="6" fillId="8" borderId="15" xfId="0" applyNumberFormat="1" applyFont="1" applyFill="1" applyBorder="1" applyAlignment="1" applyProtection="1">
      <alignment horizontal="left" vertical="top"/>
      <protection hidden="1" locked="0"/>
    </xf>
    <xf numFmtId="49" fontId="6" fillId="8" borderId="1" xfId="0" applyNumberFormat="1" applyFont="1" applyFill="1" applyBorder="1" applyAlignment="1" applyProtection="1">
      <alignment vertical="top"/>
      <protection locked="0"/>
    </xf>
    <xf numFmtId="49" fontId="6" fillId="8" borderId="16" xfId="0" applyNumberFormat="1" applyFont="1" applyFill="1" applyBorder="1" applyAlignment="1" applyProtection="1">
      <alignment vertical="top"/>
      <protection locked="0"/>
    </xf>
    <xf numFmtId="49" fontId="6" fillId="8" borderId="18" xfId="0" applyNumberFormat="1" applyFont="1" applyFill="1" applyBorder="1" applyAlignment="1" applyProtection="1">
      <alignment vertical="top"/>
      <protection locked="0"/>
    </xf>
    <xf numFmtId="49" fontId="6" fillId="8" borderId="19" xfId="0" applyNumberFormat="1" applyFont="1" applyFill="1" applyBorder="1" applyAlignment="1" applyProtection="1">
      <alignment vertical="top"/>
      <protection locked="0"/>
    </xf>
    <xf numFmtId="49" fontId="6" fillId="8" borderId="15" xfId="0" applyNumberFormat="1" applyFont="1" applyFill="1" applyBorder="1" applyAlignment="1" applyProtection="1">
      <alignment vertical="top"/>
      <protection locked="0"/>
    </xf>
    <xf numFmtId="49" fontId="6" fillId="8" borderId="30" xfId="0" applyNumberFormat="1" applyFont="1" applyFill="1" applyBorder="1" applyAlignment="1" applyProtection="1">
      <alignment horizontal="left" vertical="top"/>
      <protection locked="0"/>
    </xf>
    <xf numFmtId="49" fontId="7" fillId="6" borderId="20" xfId="0" applyNumberFormat="1" applyFont="1" applyFill="1" applyBorder="1" applyAlignment="1" applyProtection="1">
      <alignment horizontal="center"/>
      <protection hidden="1"/>
    </xf>
    <xf numFmtId="49" fontId="2" fillId="8" borderId="25" xfId="0" applyNumberFormat="1" applyFont="1" applyFill="1" applyBorder="1" applyAlignment="1" applyProtection="1">
      <alignment horizontal="right" vertical="top"/>
      <protection locked="0"/>
    </xf>
    <xf numFmtId="49" fontId="2" fillId="8" borderId="20" xfId="0" applyNumberFormat="1" applyFont="1" applyFill="1" applyBorder="1" applyAlignment="1" applyProtection="1">
      <alignment horizontal="right" vertical="top"/>
      <protection locked="0"/>
    </xf>
    <xf numFmtId="49" fontId="6" fillId="8" borderId="19" xfId="0" applyNumberFormat="1" applyFont="1" applyFill="1" applyBorder="1" applyAlignment="1" applyProtection="1">
      <alignment horizontal="left" vertical="top" wrapText="1"/>
      <protection/>
    </xf>
    <xf numFmtId="49" fontId="6" fillId="8" borderId="18" xfId="0" applyNumberFormat="1" applyFont="1" applyFill="1" applyBorder="1" applyAlignment="1" applyProtection="1">
      <alignment horizontal="left" vertical="top" wrapText="1"/>
      <protection/>
    </xf>
    <xf numFmtId="49" fontId="6" fillId="8" borderId="15" xfId="0" applyNumberFormat="1" applyFont="1" applyFill="1" applyBorder="1" applyAlignment="1" applyProtection="1">
      <alignment horizontal="left" vertical="top" wrapText="1"/>
      <protection/>
    </xf>
    <xf numFmtId="49" fontId="6" fillId="8" borderId="19" xfId="0" applyNumberFormat="1" applyFont="1" applyFill="1" applyBorder="1" applyAlignment="1" applyProtection="1">
      <alignment horizontal="right" vertical="top"/>
      <protection/>
    </xf>
    <xf numFmtId="49" fontId="6" fillId="8" borderId="18" xfId="0" applyNumberFormat="1" applyFont="1" applyFill="1" applyBorder="1" applyAlignment="1" applyProtection="1">
      <alignment horizontal="right" vertical="top"/>
      <protection/>
    </xf>
    <xf numFmtId="49" fontId="6" fillId="8" borderId="15" xfId="0" applyNumberFormat="1" applyFont="1" applyFill="1" applyBorder="1" applyAlignment="1" applyProtection="1">
      <alignment horizontal="right" vertical="top"/>
      <protection/>
    </xf>
    <xf numFmtId="49" fontId="6" fillId="8" borderId="14" xfId="0" applyNumberFormat="1" applyFont="1" applyFill="1" applyBorder="1" applyAlignment="1" applyProtection="1">
      <alignment horizontal="left" vertical="top" wrapText="1"/>
      <protection/>
    </xf>
    <xf numFmtId="49" fontId="6" fillId="8" borderId="13" xfId="0" applyNumberFormat="1" applyFont="1" applyFill="1" applyBorder="1" applyAlignment="1" applyProtection="1">
      <alignment horizontal="left" vertical="top" wrapText="1"/>
      <protection/>
    </xf>
    <xf numFmtId="0" fontId="6" fillId="8" borderId="0" xfId="0" applyFont="1" applyFill="1" applyProtection="1">
      <protection hidden="1"/>
    </xf>
    <xf numFmtId="49" fontId="6" fillId="8" borderId="19" xfId="0" applyNumberFormat="1" applyFont="1" applyFill="1" applyBorder="1" applyAlignment="1" applyProtection="1">
      <alignment horizontal="left" vertical="top"/>
      <protection/>
    </xf>
    <xf numFmtId="49" fontId="6" fillId="8" borderId="15" xfId="0" applyNumberFormat="1" applyFont="1" applyFill="1" applyBorder="1" applyAlignment="1" applyProtection="1">
      <alignment horizontal="left" vertical="top"/>
      <protection/>
    </xf>
    <xf numFmtId="49" fontId="6" fillId="8" borderId="19" xfId="0" applyNumberFormat="1" applyFont="1" applyFill="1" applyBorder="1" applyAlignment="1" applyProtection="1">
      <alignment horizontal="left" vertical="top"/>
      <protection hidden="1"/>
    </xf>
    <xf numFmtId="49" fontId="6" fillId="8" borderId="15" xfId="0" applyNumberFormat="1" applyFont="1" applyFill="1" applyBorder="1" applyAlignment="1" applyProtection="1">
      <alignment horizontal="left" vertical="top"/>
      <protection hidden="1"/>
    </xf>
    <xf numFmtId="49" fontId="6" fillId="8" borderId="19" xfId="0" applyNumberFormat="1" applyFont="1" applyFill="1" applyBorder="1" applyAlignment="1" applyProtection="1">
      <alignment vertical="top"/>
      <protection/>
    </xf>
    <xf numFmtId="49" fontId="6" fillId="8" borderId="18" xfId="0" applyNumberFormat="1" applyFont="1" applyFill="1" applyBorder="1" applyAlignment="1" applyProtection="1">
      <alignment vertical="top"/>
      <protection/>
    </xf>
    <xf numFmtId="49" fontId="6" fillId="8" borderId="15" xfId="0" applyNumberFormat="1" applyFont="1" applyFill="1" applyBorder="1" applyAlignment="1" applyProtection="1">
      <alignment vertical="top"/>
      <protection/>
    </xf>
    <xf numFmtId="49" fontId="2" fillId="8" borderId="14" xfId="0" applyNumberFormat="1" applyFont="1" applyFill="1" applyBorder="1" applyAlignment="1" applyProtection="1">
      <alignment horizontal="right" vertical="top"/>
      <protection/>
    </xf>
    <xf numFmtId="49" fontId="2" fillId="8" borderId="15" xfId="0" applyNumberFormat="1" applyFont="1" applyFill="1" applyBorder="1" applyAlignment="1" applyProtection="1">
      <alignment horizontal="right" vertical="top"/>
      <protection/>
    </xf>
    <xf numFmtId="49" fontId="6" fillId="8" borderId="18" xfId="0" applyNumberFormat="1" applyFont="1" applyFill="1" applyBorder="1" applyAlignment="1" applyProtection="1">
      <alignment horizontal="left" vertical="top"/>
      <protection hidden="1"/>
    </xf>
    <xf numFmtId="49" fontId="6" fillId="8" borderId="30" xfId="0" applyNumberFormat="1" applyFont="1" applyFill="1" applyBorder="1" applyAlignment="1" applyProtection="1">
      <alignment horizontal="left" vertical="top"/>
      <protection/>
    </xf>
    <xf numFmtId="49" fontId="6" fillId="8" borderId="14" xfId="0" applyNumberFormat="1" applyFont="1" applyFill="1" applyBorder="1" applyAlignment="1" applyProtection="1">
      <alignment horizontal="right" vertical="top"/>
      <protection/>
    </xf>
    <xf numFmtId="49" fontId="6" fillId="8" borderId="13" xfId="0" applyNumberFormat="1" applyFont="1" applyFill="1" applyBorder="1" applyAlignment="1" applyProtection="1">
      <alignment horizontal="right" vertical="top"/>
      <protection/>
    </xf>
    <xf numFmtId="49" fontId="2" fillId="8" borderId="13" xfId="0" applyNumberFormat="1" applyFont="1" applyFill="1" applyBorder="1" applyAlignment="1" applyProtection="1">
      <alignment horizontal="right" vertical="top"/>
      <protection/>
    </xf>
    <xf numFmtId="49" fontId="2" fillId="8" borderId="19" xfId="0" applyNumberFormat="1" applyFont="1" applyFill="1" applyBorder="1" applyAlignment="1" applyProtection="1">
      <alignment horizontal="right" vertical="top"/>
      <protection/>
    </xf>
    <xf numFmtId="49" fontId="6" fillId="8" borderId="18" xfId="0" applyNumberFormat="1" applyFont="1" applyFill="1" applyBorder="1" applyAlignment="1" applyProtection="1">
      <alignment horizontal="left" vertical="top"/>
      <protection/>
    </xf>
    <xf numFmtId="49" fontId="6" fillId="8" borderId="14" xfId="0" applyNumberFormat="1" applyFont="1" applyFill="1" applyBorder="1" applyAlignment="1" applyProtection="1">
      <alignment horizontal="left" vertical="top"/>
      <protection/>
    </xf>
    <xf numFmtId="0" fontId="6" fillId="0" borderId="1" xfId="0" applyFont="1" applyBorder="1" applyProtection="1">
      <protection/>
    </xf>
    <xf numFmtId="0" fontId="6" fillId="0" borderId="1" xfId="0" applyFont="1" applyBorder="1" applyAlignment="1" applyProtection="1">
      <alignment horizontal="center"/>
      <protection/>
    </xf>
    <xf numFmtId="0" fontId="6" fillId="0" borderId="7" xfId="0" applyFont="1" applyBorder="1" applyAlignment="1" applyProtection="1">
      <alignment horizontal="center" vertical="center"/>
      <protection/>
    </xf>
    <xf numFmtId="0" fontId="6" fillId="0" borderId="8" xfId="0" applyFont="1" applyBorder="1" applyAlignment="1" applyProtection="1">
      <alignment horizontal="center" vertical="center"/>
      <protection/>
    </xf>
    <xf numFmtId="49" fontId="6" fillId="8" borderId="13" xfId="0" applyNumberFormat="1" applyFont="1" applyFill="1" applyBorder="1" applyAlignment="1" applyProtection="1">
      <alignment horizontal="left" vertical="top"/>
      <protection/>
    </xf>
    <xf numFmtId="0" fontId="6" fillId="8" borderId="19" xfId="0" applyFont="1" applyFill="1" applyBorder="1" applyAlignment="1" applyProtection="1">
      <alignment horizontal="left" vertical="top" wrapText="1"/>
      <protection hidden="1"/>
    </xf>
    <xf numFmtId="0" fontId="6" fillId="8" borderId="18" xfId="0" applyFont="1" applyFill="1" applyBorder="1" applyAlignment="1" applyProtection="1">
      <alignment horizontal="left" vertical="top" wrapText="1"/>
      <protection hidden="1"/>
    </xf>
    <xf numFmtId="0" fontId="6" fillId="8" borderId="15" xfId="0" applyFont="1" applyFill="1" applyBorder="1" applyAlignment="1" applyProtection="1">
      <alignment horizontal="left" vertical="top" wrapText="1"/>
      <protection hidden="1"/>
    </xf>
    <xf numFmtId="49" fontId="5" fillId="8" borderId="19" xfId="0" applyNumberFormat="1" applyFont="1" applyFill="1" applyBorder="1" applyAlignment="1" applyProtection="1">
      <alignment horizontal="left" vertical="top" wrapText="1"/>
      <protection/>
    </xf>
    <xf numFmtId="49" fontId="5" fillId="8" borderId="18" xfId="0" applyNumberFormat="1" applyFont="1" applyFill="1" applyBorder="1" applyAlignment="1" applyProtection="1">
      <alignment horizontal="left" vertical="top" wrapText="1"/>
      <protection/>
    </xf>
    <xf numFmtId="49" fontId="5" fillId="8" borderId="15" xfId="0" applyNumberFormat="1" applyFont="1" applyFill="1" applyBorder="1" applyAlignment="1" applyProtection="1">
      <alignment horizontal="left" vertical="top" wrapText="1"/>
      <protection/>
    </xf>
    <xf numFmtId="49" fontId="4" fillId="2" borderId="1" xfId="0" applyNumberFormat="1" applyFont="1" applyFill="1" applyBorder="1" applyAlignment="1" applyProtection="1">
      <alignment horizontal="left" vertical="top"/>
      <protection/>
    </xf>
    <xf numFmtId="49" fontId="1" fillId="2" borderId="6" xfId="0" applyNumberFormat="1" applyFont="1" applyFill="1" applyBorder="1" applyAlignment="1" applyProtection="1">
      <alignment horizontal="right" vertical="top" wrapText="1"/>
      <protection/>
    </xf>
    <xf numFmtId="49" fontId="3" fillId="2" borderId="1" xfId="0" applyNumberFormat="1" applyFont="1" applyFill="1" applyBorder="1" applyAlignment="1" applyProtection="1">
      <alignment vertical="top" wrapText="1"/>
      <protection/>
    </xf>
    <xf numFmtId="49" fontId="2" fillId="0" borderId="1" xfId="0" applyNumberFormat="1" applyBorder="1" applyProtection="1">
      <protection/>
    </xf>
    <xf numFmtId="49" fontId="1" fillId="2" borderId="9" xfId="0" applyNumberFormat="1" applyFont="1" applyFill="1" applyBorder="1" applyAlignment="1" applyProtection="1">
      <alignment horizontal="right" vertical="top" wrapText="1"/>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dxfs count="2">
    <dxf>
      <font>
        <b val="0"/>
        <i val="0"/>
        <u val="none"/>
        <strike val="0"/>
        <sz val="11"/>
        <name val="Calibri"/>
        <family val="2"/>
        <color theme="1"/>
      </font>
      <protection hidden="1" locked="0"/>
    </dxf>
    <dxf>
      <font>
        <b/>
        <i val="0"/>
        <u val="none"/>
        <strike val="0"/>
        <sz val="12"/>
        <name val="Calibri"/>
        <family val="2"/>
        <color theme="1"/>
      </font>
      <protection hidden="1" locked="0"/>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sharedStrings" Target="sharedStrings.xml" /><Relationship Id="rId7" Type="http://schemas.openxmlformats.org/officeDocument/2006/relationships/calcChain" Target="calcChain.xml" /></Relationships>
</file>

<file path=xl/ctrProps/ctrProp1.xml><?xml version="1.0" encoding="utf-8"?>
<formControlPr xmlns="http://schemas.microsoft.com/office/spreadsheetml/2009/9/main" objectType="Drop" dropLines="8" dropStyle="Combo" dx="15" noThreeD="1" sel="2" fmlaLink="$AA$66" fmlaRange="$BT$2:$BT$3"/>
</file>

<file path=xl/ctrProps/ctrProp2.xml><?xml version="1.0" encoding="utf-8"?>
<formControlPr xmlns="http://schemas.microsoft.com/office/spreadsheetml/2009/9/main" objectType="Drop" dropLines="8" dropStyle="Combo" dx="15" noThreeD="1" sel="1" fmlaLink="$AA$68" fmlaRange="$BT$2:$BT$3"/>
</file>

<file path=xl/ctrProps/ctrProp3.xml><?xml version="1.0" encoding="utf-8"?>
<formControlPr xmlns="http://schemas.microsoft.com/office/spreadsheetml/2009/9/main" objectType="Drop" dropLines="8" dropStyle="Combo" dx="15" noThreeD="1" sel="0" fmlaLink="$AA$106" fmlaRange="$BT$2:$BT$3"/>
</file>

<file path=xl/ctrProps/ctrProp4.xml><?xml version="1.0" encoding="utf-8"?>
<formControlPr xmlns="http://schemas.microsoft.com/office/spreadsheetml/2009/9/main" objectType="Drop" dropLines="8" dropStyle="Combo" dx="15" noThreeD="1" sel="1" fmlaLink="$AA$149" fmlaRange="$BT$2:$BT$3"/>
</file>

<file path=xl/ctrProps/ctrProp5.xml><?xml version="1.0" encoding="utf-8"?>
<formControlPr xmlns="http://schemas.microsoft.com/office/spreadsheetml/2009/9/main" objectType="Drop" dropLines="8" dropStyle="Combo" dx="15" noThreeD="1" sel="1" fmlaLink="$AA$14" fmlaRange="$BT$2:$BT$3"/>
</file>

<file path=xl/ctrProps/ctrProp6.xml><?xml version="1.0" encoding="utf-8"?>
<formControlPr xmlns="http://schemas.microsoft.com/office/spreadsheetml/2009/9/main" objectType="Drop" dropLines="8" dropStyle="Combo" dx="15" noThreeD="1" sel="2" fmlaLink="$AA$70" fmlaRange="$BT$2:$BT$3"/>
</file>

<file path=xl/ctrProps/ctrProp7.xml><?xml version="1.0" encoding="utf-8"?>
<formControlPr xmlns="http://schemas.microsoft.com/office/spreadsheetml/2009/9/main" objectType="Drop" dropLines="8" dropStyle="Combo" dx="15" noThreeD="1" sel="1" fmlaLink="$AA$264" fmlaRange="$BZ$2:$BZ$3"/>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mc:AlternateContent xmlns:mc="http://schemas.openxmlformats.org/markup-compatibility/2006">
    <mc:Choice xmlns:a14="http://schemas.microsoft.com/office/drawing/2010/main" Requires="a14">
      <xdr:twoCellAnchor editAs="oneCell">
        <xdr:from>
          <xdr:col>12</xdr:col>
          <xdr:colOff>12700</xdr:colOff>
          <xdr:row>65</xdr:row>
          <xdr:rowOff>0</xdr:rowOff>
        </xdr:from>
        <xdr:to>
          <xdr:col>13</xdr:col>
          <xdr:colOff>622300</xdr:colOff>
          <xdr:row>66</xdr:row>
          <xdr:rowOff>0</xdr:rowOff>
        </xdr:to>
        <xdr:sp>
          <xdr:nvSpPr>
            <xdr:cNvPr id="3074" name="Drop Down 2" hidden="1">
              <a:extLst>
                <a:ext uri="{63B3BB69-23CF-44E3-9099-C40C66FF867C}">
                  <a14:compatExt spid="_x0000_s3074"/>
                </a:ext>
                <a:ext uri="{FF2B5EF4-FFF2-40B4-BE49-F238E27FC236}">
                  <a16:creationId xmlns:a16="http://schemas.microsoft.com/office/drawing/2014/main" id="{565cb409-76cd-4ced-8bfb-9036b5c32bc6}"/>
                </a:ext>
              </a:extLst>
            </xdr:cNvPr>
            <xdr:cNvSpPr>
              <a:spLocks noRot="1" noTextEdit="1"/>
            </xdr:cNvSpPr>
          </xdr:nvSpPr>
          <xdr:spPr>
            <a:xfrm>
              <a:off x="8896350" y="10982325"/>
              <a:ext cx="1304925" cy="180975"/>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67</xdr:row>
          <xdr:rowOff>0</xdr:rowOff>
        </xdr:from>
        <xdr:to>
          <xdr:col>13</xdr:col>
          <xdr:colOff>622300</xdr:colOff>
          <xdr:row>69</xdr:row>
          <xdr:rowOff>31750</xdr:rowOff>
        </xdr:to>
        <xdr:sp>
          <xdr:nvSpPr>
            <xdr:cNvPr id="3075" name="Drop Down 3" hidden="1">
              <a:extLst>
                <a:ext uri="{63B3BB69-23CF-44E3-9099-C40C66FF867C}">
                  <a14:compatExt spid="_x0000_s3075"/>
                </a:ext>
                <a:ext uri="{FF2B5EF4-FFF2-40B4-BE49-F238E27FC236}">
                  <a16:creationId xmlns:a16="http://schemas.microsoft.com/office/drawing/2014/main" id="{4acbcc92-8aad-4dbe-85d0-17dcf9dbe3e2}"/>
                </a:ext>
              </a:extLst>
            </xdr:cNvPr>
            <xdr:cNvSpPr>
              <a:spLocks noRot="1" noTextEdit="1"/>
            </xdr:cNvSpPr>
          </xdr:nvSpPr>
          <xdr:spPr>
            <a:xfrm>
              <a:off x="8886825" y="11163300"/>
              <a:ext cx="1314450" cy="20955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12700</xdr:colOff>
          <xdr:row>105</xdr:row>
          <xdr:rowOff>0</xdr:rowOff>
        </xdr:from>
        <xdr:to>
          <xdr:col>14</xdr:col>
          <xdr:colOff>0</xdr:colOff>
          <xdr:row>151</xdr:row>
          <xdr:rowOff>12700</xdr:rowOff>
        </xdr:to>
        <xdr:sp>
          <xdr:nvSpPr>
            <xdr:cNvPr id="3076" name="Drop Down 13" hidden="1">
              <a:extLst>
                <a:ext uri="{63B3BB69-23CF-44E3-9099-C40C66FF867C}">
                  <a14:compatExt spid="_x0000_s3076"/>
                </a:ext>
                <a:ext uri="{FF2B5EF4-FFF2-40B4-BE49-F238E27FC236}">
                  <a16:creationId xmlns:a16="http://schemas.microsoft.com/office/drawing/2014/main" id="{b827eb69-d04f-4fc3-a45f-d2a779656091}"/>
                </a:ext>
              </a:extLst>
            </xdr:cNvPr>
            <xdr:cNvSpPr>
              <a:spLocks noRot="1" noTextEdit="1"/>
            </xdr:cNvSpPr>
          </xdr:nvSpPr>
          <xdr:spPr>
            <a:xfrm>
              <a:off x="8896350" y="18116550"/>
              <a:ext cx="1381125" cy="190500"/>
            </a:xfrm>
            <a:prstGeom prst="rect"/>
            <a:ln>
              <a:noFill/>
            </a:ln>
          </xdr:spPr>
          <xdr:txBody>
            <a:bodyPr lIns="91440" tIns="45720" rIns="91440" bIns="45720"/>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148</xdr:row>
          <xdr:rowOff>0</xdr:rowOff>
        </xdr:from>
        <xdr:to>
          <xdr:col>14</xdr:col>
          <xdr:colOff>31750</xdr:colOff>
          <xdr:row>151</xdr:row>
          <xdr:rowOff>0</xdr:rowOff>
        </xdr:to>
        <xdr:sp>
          <xdr:nvSpPr>
            <xdr:cNvPr id="3077" name="Drop Down 18" hidden="1">
              <a:extLst>
                <a:ext uri="{63B3BB69-23CF-44E3-9099-C40C66FF867C}">
                  <a14:compatExt spid="_x0000_s3077"/>
                </a:ext>
                <a:ext uri="{FF2B5EF4-FFF2-40B4-BE49-F238E27FC236}">
                  <a16:creationId xmlns:a16="http://schemas.microsoft.com/office/drawing/2014/main" id="{f73c7349-0f4b-4c7b-99eb-ce8833be8758}"/>
                </a:ext>
              </a:extLst>
            </xdr:cNvPr>
            <xdr:cNvSpPr>
              <a:spLocks noRot="1" noTextEdit="1"/>
            </xdr:cNvSpPr>
          </xdr:nvSpPr>
          <xdr:spPr>
            <a:xfrm>
              <a:off x="8886825" y="18116550"/>
              <a:ext cx="1419225" cy="180975"/>
            </a:xfrm>
            <a:prstGeom prst="rect"/>
            <a:ln>
              <a:noFill/>
            </a:ln>
          </xdr:spPr>
          <xdr:txBody>
            <a:bodyPr lIns="91440" tIns="45720" rIns="91440" bIns="45720"/>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13</xdr:row>
          <xdr:rowOff>0</xdr:rowOff>
        </xdr:from>
        <xdr:to>
          <xdr:col>14</xdr:col>
          <xdr:colOff>31750</xdr:colOff>
          <xdr:row>14</xdr:row>
          <xdr:rowOff>31750</xdr:rowOff>
        </xdr:to>
        <xdr:sp>
          <xdr:nvSpPr>
            <xdr:cNvPr id="3078" name="Drop Down 21" hidden="1">
              <a:extLst>
                <a:ext uri="{63B3BB69-23CF-44E3-9099-C40C66FF867C}">
                  <a14:compatExt spid="_x0000_s3078"/>
                </a:ext>
                <a:ext uri="{FF2B5EF4-FFF2-40B4-BE49-F238E27FC236}">
                  <a16:creationId xmlns:a16="http://schemas.microsoft.com/office/drawing/2014/main" id="{9f65175b-8682-4ca6-ac65-ea6745ccc65d}"/>
                </a:ext>
              </a:extLst>
            </xdr:cNvPr>
            <xdr:cNvSpPr>
              <a:spLocks noRot="1" noTextEdit="1"/>
            </xdr:cNvSpPr>
          </xdr:nvSpPr>
          <xdr:spPr>
            <a:xfrm>
              <a:off x="8886825" y="3190875"/>
              <a:ext cx="1419225" cy="20955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12700</xdr:colOff>
          <xdr:row>68</xdr:row>
          <xdr:rowOff>184150</xdr:rowOff>
        </xdr:from>
        <xdr:to>
          <xdr:col>13</xdr:col>
          <xdr:colOff>622300</xdr:colOff>
          <xdr:row>70</xdr:row>
          <xdr:rowOff>12700</xdr:rowOff>
        </xdr:to>
        <xdr:sp>
          <xdr:nvSpPr>
            <xdr:cNvPr id="3079" name="Drop Down 22" hidden="1">
              <a:extLst>
                <a:ext uri="{63B3BB69-23CF-44E3-9099-C40C66FF867C}">
                  <a14:compatExt spid="_x0000_s3079"/>
                </a:ext>
                <a:ext uri="{FF2B5EF4-FFF2-40B4-BE49-F238E27FC236}">
                  <a16:creationId xmlns:a16="http://schemas.microsoft.com/office/drawing/2014/main" id="{ffee5b9c-c2f7-4b8d-a7b3-85f5e2f77ae4}"/>
                </a:ext>
              </a:extLst>
            </xdr:cNvPr>
            <xdr:cNvSpPr>
              <a:spLocks noRot="1" noTextEdit="1"/>
            </xdr:cNvSpPr>
          </xdr:nvSpPr>
          <xdr:spPr>
            <a:xfrm>
              <a:off x="8896350" y="11344275"/>
              <a:ext cx="1304925" cy="209550"/>
            </a:xfrm>
            <a:prstGeom prst="rect"/>
            <a:ln>
              <a:noFill/>
            </a:ln>
          </xdr:spPr>
          <xdr:txBody>
            <a:bodyPr lIns="91440" tIns="45720" rIns="91440" bIns="45720"/>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262</xdr:row>
          <xdr:rowOff>184150</xdr:rowOff>
        </xdr:from>
        <xdr:to>
          <xdr:col>12</xdr:col>
          <xdr:colOff>12700</xdr:colOff>
          <xdr:row>264</xdr:row>
          <xdr:rowOff>12700</xdr:rowOff>
        </xdr:to>
        <xdr:sp>
          <xdr:nvSpPr>
            <xdr:cNvPr id="3080" name="Drop Down 25" hidden="1">
              <a:extLst>
                <a:ext uri="{63B3BB69-23CF-44E3-9099-C40C66FF867C}">
                  <a14:compatExt spid="_x0000_s3080"/>
                </a:ext>
                <a:ext uri="{FF2B5EF4-FFF2-40B4-BE49-F238E27FC236}">
                  <a16:creationId xmlns:a16="http://schemas.microsoft.com/office/drawing/2014/main" id="{2c11f155-3c37-4f29-a944-ebad244b2768}"/>
                </a:ext>
              </a:extLst>
            </xdr:cNvPr>
            <xdr:cNvSpPr>
              <a:spLocks noRot="1" noTextEdit="1"/>
            </xdr:cNvSpPr>
          </xdr:nvSpPr>
          <xdr:spPr>
            <a:xfrm>
              <a:off x="6800850" y="44357925"/>
              <a:ext cx="2095500" cy="190500"/>
            </a:xfrm>
            <a:prstGeom prst="rect"/>
            <a:ln>
              <a:noFill/>
            </a:ln>
          </xdr:spPr>
          <xdr:txBody>
            <a:bodyPr lIns="91440" tIns="45720" rIns="91440" bIns="45720"/>
            <a:p/>
          </xdr:txBody>
        </xdr:sp>
        <xdr:clientData/>
      </xdr:twoCellAnchor>
    </mc:Choice>
    <mc:Fallback/>
  </mc:AlternateContent>
</xdr:wsDr>
</file>

<file path=xl/tables/table1.xml><?xml version="1.0" encoding="utf-8"?>
<table xmlns="http://schemas.openxmlformats.org/spreadsheetml/2006/main" id="1" name="StatesTable" displayName="StatesTable" ref="A1:AJ74" totalsRowShown="0" headerRowDxfId="1" dataDxfId="0">
  <autoFilter ref="A1:AJ74"/>
  <tableColumns count="36">
    <tableColumn id="1" name="Andaman_and_Nicobar_Islands" dataDxfId="0"/>
    <tableColumn id="2" name="Andhra_Pradesh" dataDxfId="0"/>
    <tableColumn id="3" name="Arunachal_Pradesh" dataDxfId="0"/>
    <tableColumn id="4" name="Assam" dataDxfId="0"/>
    <tableColumn id="5" name="Bihar" dataDxfId="0"/>
    <tableColumn id="6" name="Chandigarh" dataDxfId="0"/>
    <tableColumn id="7" name="Chattisgarh" dataDxfId="0"/>
    <tableColumn id="8" name="Dadra_AND_Nagar_Haveli" dataDxfId="0"/>
    <tableColumn id="9" name="Daman_and_Diu" dataDxfId="0"/>
    <tableColumn id="10" name="Delhi" dataDxfId="0"/>
    <tableColumn id="11" name="Goa" dataDxfId="0"/>
    <tableColumn id="12" name="Gujarat" dataDxfId="0"/>
    <tableColumn id="13" name="Haryana" dataDxfId="0"/>
    <tableColumn id="14" name="Himachal_Pradesh" dataDxfId="0"/>
    <tableColumn id="15" name="Jammu_AND_Kashmir" dataDxfId="0"/>
    <tableColumn id="16" name="Jharkhand" dataDxfId="0"/>
    <tableColumn id="17" name="Karnataka" dataDxfId="0"/>
    <tableColumn id="18" name="Kerala" dataDxfId="0"/>
    <tableColumn id="19" name="Lakshadweep" dataDxfId="0"/>
    <tableColumn id="20" name="Madhya_Pradesh" dataDxfId="0"/>
    <tableColumn id="21" name="Maharashtra" dataDxfId="0"/>
    <tableColumn id="22" name="Manipur" dataDxfId="0"/>
    <tableColumn id="23" name="Meghalaya" dataDxfId="0"/>
    <tableColumn id="24" name="Mizoram" dataDxfId="0"/>
    <tableColumn id="25" name="Nagaland" dataDxfId="0"/>
    <tableColumn id="26" name="Orissa" dataDxfId="0"/>
    <tableColumn id="27" name="Pondicherry" dataDxfId="0"/>
    <tableColumn id="28" name="Punjab" dataDxfId="0"/>
    <tableColumn id="29" name="Rajasthan" dataDxfId="0"/>
    <tableColumn id="30" name="Sikkim" dataDxfId="0"/>
    <tableColumn id="31" name="Tamil_Nadu" dataDxfId="0"/>
    <tableColumn id="32" name="Telangana" dataDxfId="0"/>
    <tableColumn id="33" name="Tripura" dataDxfId="0"/>
    <tableColumn id="34" name="Uttar_Pradesh" dataDxfId="0"/>
    <tableColumn id="35" name="Uttarakhand" dataDxfId="0"/>
    <tableColumn id="36" name="West_Beng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Relationships xmlns="http://schemas.openxmlformats.org/package/2006/relationships"><Relationship Id="rId1" Type="http://schemas.openxmlformats.org/officeDocument/2006/relationships/table" Target="../tables/table1.xml" /></Relationships>
</file>

<file path=xl/worksheets/_rels/sheet3.xml.rels><?xml version="1.0" encoding="UTF-8" standalone="yes"?><Relationships xmlns="http://schemas.openxmlformats.org/package/2006/relationships"><Relationship Id="rId1" Type="http://schemas.openxmlformats.org/officeDocument/2006/relationships/comments" Target="../comments3.xml" /><Relationship Id="rId2" Type="http://schemas.openxmlformats.org/officeDocument/2006/relationships/ctrlProp" Target="../ctrProps/ctrProp1.xml" /><Relationship Id="rId3" Type="http://schemas.openxmlformats.org/officeDocument/2006/relationships/ctrlProp" Target="../ctrProps/ctrProp2.xml" /><Relationship Id="rId4" Type="http://schemas.openxmlformats.org/officeDocument/2006/relationships/ctrlProp" Target="../ctrProps/ctrProp3.xml" /><Relationship Id="rId11" Type="http://schemas.openxmlformats.org/officeDocument/2006/relationships/printerSettings" Target="../printerSettings/printerSettings2.bin" /><Relationship Id="rId10" Type="http://schemas.openxmlformats.org/officeDocument/2006/relationships/vmlDrawing" Target="../drawings/vmlDrawing1.vml" /><Relationship Id="rId9" Type="http://schemas.openxmlformats.org/officeDocument/2006/relationships/drawing" Target="../drawings/drawing1.xml" /><Relationship Id="rId5" Type="http://schemas.openxmlformats.org/officeDocument/2006/relationships/ctrlProp" Target="../ctrProps/ctrProp4.xml" /><Relationship Id="rId6" Type="http://schemas.openxmlformats.org/officeDocument/2006/relationships/ctrlProp" Target="../ctrProps/ctrProp5.xml" /><Relationship Id="rId7" Type="http://schemas.openxmlformats.org/officeDocument/2006/relationships/ctrlProp" Target="../ctrProps/ctrProp6.xml" /><Relationship Id="rId8" Type="http://schemas.openxmlformats.org/officeDocument/2006/relationships/ctrlProp" Target="../ctrProps/ctrProp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dace72-0e49-4491-af92-b0d76b7b51fe}">
  <sheetPr>
    <tabColor theme="6" tint="0.5999900102615356"/>
  </sheetPr>
  <dimension ref="A1:R61"/>
  <sheetViews>
    <sheetView windowProtection="1" showGridLines="0" workbookViewId="0" topLeftCell="B1">
      <selection pane="topLeft" activeCell="B1" sqref="B1:C1"/>
    </sheetView>
  </sheetViews>
  <sheetFormatPr defaultColWidth="0" defaultRowHeight="14.4" customHeight="1" zeroHeight="1"/>
  <cols>
    <col min="1" max="1" width="14.714285714285714" style="18" hidden="1" customWidth="1"/>
    <col min="2" max="2" width="9.142857142857142" style="19" customWidth="1"/>
    <col min="3" max="3" width="202.71428571428572" style="20" customWidth="1"/>
    <col min="4" max="16384" width="9.142857142857142" style="19" hidden="1"/>
  </cols>
  <sheetData>
    <row r="1" spans="1:18" ht="18">
      <c r="A1" s="2" t="s">
        <v>0</v>
      </c>
      <c r="B1" s="3" t="s">
        <v>1</v>
      </c>
      <c r="C1" s="4"/>
      <c r="D1" s="5"/>
      <c r="E1" s="5"/>
      <c r="F1" s="5"/>
      <c r="G1" s="5"/>
      <c r="H1" s="5"/>
      <c r="I1" s="5"/>
      <c r="J1" s="5"/>
      <c r="K1" s="5"/>
      <c r="L1" s="5"/>
      <c r="M1" s="5"/>
      <c r="N1" s="5"/>
      <c r="O1" s="5"/>
      <c r="P1" s="5"/>
      <c r="Q1" s="5"/>
      <c r="R1" s="5"/>
    </row>
    <row r="2" spans="1:3" ht="31.2">
      <c r="A2" s="2" t="s">
        <v>0</v>
      </c>
      <c r="B2" s="6">
        <v>1</v>
      </c>
      <c r="C2" s="7" t="s">
        <v>2</v>
      </c>
    </row>
    <row r="3" spans="1:3" ht="15.6">
      <c r="A3" s="2" t="s">
        <v>0</v>
      </c>
      <c r="B3" s="6">
        <v>2</v>
      </c>
      <c r="C3" s="7" t="s">
        <v>3</v>
      </c>
    </row>
    <row r="4" spans="1:3" ht="31.2">
      <c r="A4" s="2" t="s">
        <v>0</v>
      </c>
      <c r="B4" s="6">
        <v>3</v>
      </c>
      <c r="C4" s="7" t="s">
        <v>4</v>
      </c>
    </row>
    <row r="5" spans="1:3" ht="15.6">
      <c r="A5" s="2" t="s">
        <v>0</v>
      </c>
      <c r="B5" s="8">
        <v>4</v>
      </c>
      <c r="C5" s="7" t="s">
        <v>5</v>
      </c>
    </row>
    <row r="6" spans="1:3" ht="15.6">
      <c r="A6" s="2" t="s">
        <v>0</v>
      </c>
      <c r="B6" s="9"/>
      <c r="C6" s="7" t="s">
        <v>6</v>
      </c>
    </row>
    <row r="7" spans="1:3" ht="15.6">
      <c r="A7" s="2" t="s">
        <v>0</v>
      </c>
      <c r="B7" s="9"/>
      <c r="C7" s="7" t="s">
        <v>7</v>
      </c>
    </row>
    <row r="8" spans="1:3" ht="15.6">
      <c r="A8" s="2" t="s">
        <v>0</v>
      </c>
      <c r="B8" s="10"/>
      <c r="C8" s="7" t="s">
        <v>8</v>
      </c>
    </row>
    <row r="9" spans="1:3" ht="15.6">
      <c r="A9" s="2" t="s">
        <v>0</v>
      </c>
      <c r="B9" s="6">
        <v>5</v>
      </c>
      <c r="C9" s="11" t="s">
        <v>9</v>
      </c>
    </row>
    <row r="10" spans="1:3" ht="15.6">
      <c r="A10" s="2" t="s">
        <v>0</v>
      </c>
      <c r="B10" s="6">
        <v>6</v>
      </c>
      <c r="C10" s="7" t="s">
        <v>10</v>
      </c>
    </row>
    <row r="11" spans="1:3" ht="15.6">
      <c r="A11" s="2" t="s">
        <v>0</v>
      </c>
      <c r="B11" s="6">
        <v>7</v>
      </c>
      <c r="C11" s="7" t="s">
        <v>11</v>
      </c>
    </row>
    <row r="12" spans="1:3" ht="15.6">
      <c r="A12" s="2" t="s">
        <v>0</v>
      </c>
      <c r="B12" s="6">
        <v>8</v>
      </c>
      <c r="C12" s="7" t="s">
        <v>12</v>
      </c>
    </row>
    <row r="13" spans="1:3" ht="15.6">
      <c r="A13" s="2" t="s">
        <v>0</v>
      </c>
      <c r="B13" s="8">
        <v>9</v>
      </c>
      <c r="C13" s="7" t="s">
        <v>13</v>
      </c>
    </row>
    <row r="14" spans="1:3" ht="15.6">
      <c r="A14" s="2" t="s">
        <v>0</v>
      </c>
      <c r="B14" s="9"/>
      <c r="C14" s="7" t="s">
        <v>14</v>
      </c>
    </row>
    <row r="15" spans="1:3" ht="15.6">
      <c r="A15" s="2" t="s">
        <v>0</v>
      </c>
      <c r="B15" s="9"/>
      <c r="C15" s="7" t="s">
        <v>15</v>
      </c>
    </row>
    <row r="16" spans="1:3" ht="31.8" customHeight="1">
      <c r="A16" s="2" t="s">
        <v>0</v>
      </c>
      <c r="B16" s="10"/>
      <c r="C16" s="7" t="s">
        <v>16</v>
      </c>
    </row>
    <row r="17" spans="1:3" ht="15.6">
      <c r="A17" s="2" t="s">
        <v>0</v>
      </c>
      <c r="B17" s="8">
        <v>10</v>
      </c>
      <c r="C17" s="7" t="s">
        <v>17</v>
      </c>
    </row>
    <row r="18" spans="1:3" ht="78">
      <c r="A18" s="2" t="s">
        <v>0</v>
      </c>
      <c r="B18" s="9"/>
      <c r="C18" s="7" t="s">
        <v>18</v>
      </c>
    </row>
    <row r="19" spans="1:3" ht="31.2">
      <c r="A19" s="2" t="s">
        <v>0</v>
      </c>
      <c r="B19" s="10"/>
      <c r="C19" s="7" t="s">
        <v>19</v>
      </c>
    </row>
    <row r="20" spans="1:3" ht="16.8" customHeight="1">
      <c r="A20" s="2" t="s">
        <v>0</v>
      </c>
      <c r="B20" s="8">
        <v>11</v>
      </c>
      <c r="C20" s="7" t="s">
        <v>20</v>
      </c>
    </row>
    <row r="21" spans="1:3" ht="15.6">
      <c r="A21" s="2" t="s">
        <v>0</v>
      </c>
      <c r="B21" s="9"/>
      <c r="C21" s="7" t="s">
        <v>21</v>
      </c>
    </row>
    <row r="22" spans="1:3" ht="15.6">
      <c r="A22" s="2" t="s">
        <v>0</v>
      </c>
      <c r="B22" s="9"/>
      <c r="C22" s="7" t="s">
        <v>22</v>
      </c>
    </row>
    <row r="23" spans="1:3" ht="15.6">
      <c r="A23" s="2" t="s">
        <v>0</v>
      </c>
      <c r="B23" s="10"/>
      <c r="C23" s="7" t="s">
        <v>23</v>
      </c>
    </row>
    <row r="24" spans="1:3" ht="15.6">
      <c r="A24" s="2"/>
      <c r="B24" s="10">
        <v>12</v>
      </c>
      <c r="C24" s="7" t="s">
        <v>24</v>
      </c>
    </row>
    <row r="25" spans="1:3" ht="15.6">
      <c r="A25" s="2"/>
      <c r="B25" s="12" t="s">
        <v>25</v>
      </c>
      <c r="C25" s="13"/>
    </row>
    <row r="26" spans="1:3" s="316" customFormat="1" ht="31.2" hidden="1">
      <c r="A26" s="313" t="s">
        <v>26</v>
      </c>
      <c r="B26" s="314">
        <v>1</v>
      </c>
      <c r="C26" s="315" t="s">
        <v>27</v>
      </c>
    </row>
    <row r="27" spans="1:3" s="316" customFormat="1" ht="31.2" hidden="1">
      <c r="A27" s="313" t="s">
        <v>26</v>
      </c>
      <c r="B27" s="314" t="s">
        <v>28</v>
      </c>
      <c r="C27" s="315" t="s">
        <v>29</v>
      </c>
    </row>
    <row r="28" spans="1:3" s="316" customFormat="1" ht="15.6" hidden="1">
      <c r="A28" s="313" t="s">
        <v>30</v>
      </c>
      <c r="B28" s="314">
        <v>1</v>
      </c>
      <c r="C28" s="315" t="s">
        <v>31</v>
      </c>
    </row>
    <row r="29" spans="1:3" s="316" customFormat="1" ht="31.2" hidden="1">
      <c r="A29" s="313" t="s">
        <v>30</v>
      </c>
      <c r="B29" s="314">
        <v>2</v>
      </c>
      <c r="C29" s="315" t="s">
        <v>32</v>
      </c>
    </row>
    <row r="30" spans="1:3" s="316" customFormat="1" ht="31.2" hidden="1">
      <c r="A30" s="313" t="s">
        <v>30</v>
      </c>
      <c r="B30" s="314">
        <v>3</v>
      </c>
      <c r="C30" s="315" t="s">
        <v>33</v>
      </c>
    </row>
    <row r="31" spans="1:3" s="316" customFormat="1" ht="31.2" hidden="1">
      <c r="A31" s="313" t="s">
        <v>30</v>
      </c>
      <c r="B31" s="314">
        <v>4</v>
      </c>
      <c r="C31" s="315" t="s">
        <v>34</v>
      </c>
    </row>
    <row r="32" spans="1:3" s="316" customFormat="1" ht="31.2" hidden="1">
      <c r="A32" s="313" t="s">
        <v>30</v>
      </c>
      <c r="B32" s="314">
        <v>5</v>
      </c>
      <c r="C32" s="315" t="s">
        <v>35</v>
      </c>
    </row>
    <row r="33" spans="1:3" s="316" customFormat="1" ht="31.2" hidden="1">
      <c r="A33" s="313" t="s">
        <v>30</v>
      </c>
      <c r="B33" s="314" t="s">
        <v>36</v>
      </c>
      <c r="C33" s="315" t="s">
        <v>29</v>
      </c>
    </row>
    <row r="34" spans="1:3" s="316" customFormat="1" ht="46.8" hidden="1">
      <c r="A34" s="313" t="s">
        <v>37</v>
      </c>
      <c r="B34" s="314">
        <v>1</v>
      </c>
      <c r="C34" s="315" t="s">
        <v>38</v>
      </c>
    </row>
    <row r="35" spans="1:3" s="316" customFormat="1" ht="46.8" hidden="1">
      <c r="A35" s="313" t="s">
        <v>37</v>
      </c>
      <c r="B35" s="314">
        <v>2</v>
      </c>
      <c r="C35" s="315" t="s">
        <v>39</v>
      </c>
    </row>
    <row r="36" spans="1:3" s="316" customFormat="1" ht="31.2" hidden="1">
      <c r="A36" s="313" t="s">
        <v>37</v>
      </c>
      <c r="B36" s="314" t="s">
        <v>40</v>
      </c>
      <c r="C36" s="315" t="s">
        <v>29</v>
      </c>
    </row>
    <row r="37" spans="1:3" s="316" customFormat="1" ht="31.2" hidden="1">
      <c r="A37" s="313" t="s">
        <v>41</v>
      </c>
      <c r="B37" s="314">
        <v>1</v>
      </c>
      <c r="C37" s="315" t="s">
        <v>42</v>
      </c>
    </row>
    <row r="38" spans="1:3" s="316" customFormat="1" ht="31.2" hidden="1">
      <c r="A38" s="313" t="s">
        <v>41</v>
      </c>
      <c r="B38" s="314" t="s">
        <v>28</v>
      </c>
      <c r="C38" s="315" t="s">
        <v>29</v>
      </c>
    </row>
    <row r="39" spans="1:3" s="316" customFormat="1" ht="31.2" hidden="1">
      <c r="A39" s="313" t="s">
        <v>43</v>
      </c>
      <c r="B39" s="314" t="s">
        <v>44</v>
      </c>
      <c r="C39" s="315" t="s">
        <v>29</v>
      </c>
    </row>
    <row r="40" spans="1:3" s="316" customFormat="1" ht="31.2" hidden="1">
      <c r="A40" s="313" t="s">
        <v>45</v>
      </c>
      <c r="B40" s="314" t="s">
        <v>44</v>
      </c>
      <c r="C40" s="315" t="s">
        <v>29</v>
      </c>
    </row>
    <row r="41" spans="1:3" s="316" customFormat="1" ht="31.2" hidden="1">
      <c r="A41" s="313" t="s">
        <v>46</v>
      </c>
      <c r="B41" s="314" t="s">
        <v>44</v>
      </c>
      <c r="C41" s="315" t="s">
        <v>47</v>
      </c>
    </row>
    <row r="42" spans="1:3" s="316" customFormat="1" ht="31.2" hidden="1">
      <c r="A42" s="313" t="s">
        <v>48</v>
      </c>
      <c r="B42" s="314" t="s">
        <v>44</v>
      </c>
      <c r="C42" s="315" t="s">
        <v>47</v>
      </c>
    </row>
    <row r="43" spans="1:3" ht="15.6">
      <c r="A43" s="2" t="s">
        <v>49</v>
      </c>
      <c r="B43" s="14" t="s">
        <v>44</v>
      </c>
      <c r="C43" s="15" t="s">
        <v>50</v>
      </c>
    </row>
    <row r="44" spans="1:3" s="316" customFormat="1" ht="31.2" hidden="1">
      <c r="A44" s="313" t="s">
        <v>51</v>
      </c>
      <c r="B44" s="314" t="s">
        <v>44</v>
      </c>
      <c r="C44" s="315" t="s">
        <v>52</v>
      </c>
    </row>
    <row r="45" spans="1:3" s="316" customFormat="1" ht="31.2" hidden="1">
      <c r="A45" s="313" t="s">
        <v>51</v>
      </c>
      <c r="B45" s="314" t="s">
        <v>28</v>
      </c>
      <c r="C45" s="315" t="s">
        <v>53</v>
      </c>
    </row>
    <row r="46" spans="1:3" s="316" customFormat="1" ht="15.6" hidden="1">
      <c r="A46" s="313" t="s">
        <v>51</v>
      </c>
      <c r="B46" s="314" t="s">
        <v>40</v>
      </c>
      <c r="C46" s="315" t="s">
        <v>54</v>
      </c>
    </row>
    <row r="47" spans="1:3" s="316" customFormat="1" ht="31.2" hidden="1">
      <c r="A47" s="313" t="s">
        <v>51</v>
      </c>
      <c r="B47" s="314" t="s">
        <v>55</v>
      </c>
      <c r="C47" s="315" t="s">
        <v>29</v>
      </c>
    </row>
    <row r="48" spans="1:3" s="316" customFormat="1" ht="31.2" hidden="1">
      <c r="A48" s="313" t="s">
        <v>56</v>
      </c>
      <c r="B48" s="314" t="s">
        <v>44</v>
      </c>
      <c r="C48" s="315" t="s">
        <v>57</v>
      </c>
    </row>
    <row r="49" spans="1:3" s="316" customFormat="1" ht="15.6" hidden="1">
      <c r="A49" s="313" t="s">
        <v>56</v>
      </c>
      <c r="B49" s="314" t="s">
        <v>28</v>
      </c>
      <c r="C49" s="315" t="s">
        <v>58</v>
      </c>
    </row>
    <row r="50" spans="1:3" s="316" customFormat="1" ht="15.6" hidden="1">
      <c r="A50" s="313" t="s">
        <v>56</v>
      </c>
      <c r="B50" s="314" t="s">
        <v>40</v>
      </c>
      <c r="C50" s="315" t="s">
        <v>59</v>
      </c>
    </row>
    <row r="51" spans="1:3" s="316" customFormat="1" ht="31.2" hidden="1">
      <c r="A51" s="313" t="s">
        <v>56</v>
      </c>
      <c r="B51" s="314" t="s">
        <v>55</v>
      </c>
      <c r="C51" s="315" t="s">
        <v>29</v>
      </c>
    </row>
    <row r="52" spans="1:3" s="316" customFormat="1" ht="31.2" hidden="1">
      <c r="A52" s="313" t="s">
        <v>60</v>
      </c>
      <c r="B52" s="314">
        <v>1</v>
      </c>
      <c r="C52" s="315" t="s">
        <v>61</v>
      </c>
    </row>
    <row r="53" spans="1:3" s="316" customFormat="1" ht="31.2" hidden="1">
      <c r="A53" s="313" t="s">
        <v>60</v>
      </c>
      <c r="B53" s="314">
        <v>2</v>
      </c>
      <c r="C53" s="315" t="s">
        <v>62</v>
      </c>
    </row>
    <row r="54" spans="1:3" s="316" customFormat="1" ht="46.8" hidden="1">
      <c r="A54" s="313" t="s">
        <v>60</v>
      </c>
      <c r="B54" s="314">
        <v>3</v>
      </c>
      <c r="C54" s="315" t="s">
        <v>63</v>
      </c>
    </row>
    <row r="55" spans="1:3" s="316" customFormat="1" ht="31.2" hidden="1">
      <c r="A55" s="313" t="s">
        <v>60</v>
      </c>
      <c r="B55" s="314">
        <v>4</v>
      </c>
      <c r="C55" s="315" t="s">
        <v>64</v>
      </c>
    </row>
    <row r="56" spans="1:3" s="316" customFormat="1" ht="31.2" hidden="1">
      <c r="A56" s="313" t="s">
        <v>60</v>
      </c>
      <c r="B56" s="314">
        <v>5</v>
      </c>
      <c r="C56" s="315" t="s">
        <v>65</v>
      </c>
    </row>
    <row r="57" spans="1:3" s="316" customFormat="1" ht="31.2" hidden="1">
      <c r="A57" s="313" t="s">
        <v>60</v>
      </c>
      <c r="B57" s="314">
        <v>6</v>
      </c>
      <c r="C57" s="315" t="s">
        <v>66</v>
      </c>
    </row>
    <row r="58" spans="1:3" s="316" customFormat="1" ht="46.8" hidden="1">
      <c r="A58" s="313" t="s">
        <v>60</v>
      </c>
      <c r="B58" s="314">
        <v>7</v>
      </c>
      <c r="C58" s="315" t="s">
        <v>67</v>
      </c>
    </row>
    <row r="59" spans="1:3" s="316" customFormat="1" ht="46.8" hidden="1">
      <c r="A59" s="313" t="s">
        <v>60</v>
      </c>
      <c r="B59" s="314">
        <v>8</v>
      </c>
      <c r="C59" s="315" t="s">
        <v>68</v>
      </c>
    </row>
    <row r="60" spans="1:3" s="316" customFormat="1" ht="15.6" hidden="1">
      <c r="A60" s="313" t="s">
        <v>60</v>
      </c>
      <c r="B60" s="317" t="s">
        <v>69</v>
      </c>
      <c r="C60" s="315" t="s">
        <v>70</v>
      </c>
    </row>
    <row r="61" spans="1:3" ht="15.6">
      <c r="A61" s="17" t="s">
        <v>0</v>
      </c>
      <c r="B61" s="12" t="s">
        <v>71</v>
      </c>
      <c r="C61" s="13"/>
    </row>
  </sheetData>
  <sheetProtection password="F2CD" sheet="1" objects="1" scenarios="1" selectLockedCells="1"/>
  <mergeCells count="7">
    <mergeCell ref="B1:C1"/>
    <mergeCell ref="B61:C61"/>
    <mergeCell ref="B5:B8"/>
    <mergeCell ref="B13:B16"/>
    <mergeCell ref="B17:B19"/>
    <mergeCell ref="B20:B23"/>
    <mergeCell ref="B25:C25"/>
  </mergeCells>
  <pageMargins left="0.7" right="0.7" top="0.75" bottom="0.75" header="0.3" footer="0.3"/>
  <pageSetup fitToHeight="0" fitToWidth="0" orientation="portrait" paperSize="9"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c11f7f-94fe-4a85-90a7-20714c743d9f}">
  <dimension ref="A1:AJ74"/>
  <sheetViews>
    <sheetView windowProtection="1" workbookViewId="0" topLeftCell="C1">
      <selection pane="topLeft" activeCell="I2" sqref="I2"/>
    </sheetView>
  </sheetViews>
  <sheetFormatPr defaultRowHeight="14.5" customHeight="1"/>
  <cols>
    <col min="1" max="1" width="36" style="1" customWidth="1"/>
    <col min="2" max="2" width="20.428571428571427" style="1" customWidth="1"/>
    <col min="3" max="3" width="23.428571428571427" style="1" customWidth="1"/>
    <col min="4" max="4" width="10.142857142857142" style="1" customWidth="1"/>
    <col min="5" max="5" width="10.285714285714286" style="1" customWidth="1"/>
    <col min="6" max="7" width="15" style="1" customWidth="1"/>
    <col min="8" max="8" width="30.714285714285715" style="1" customWidth="1"/>
    <col min="9" max="9" width="20.714285714285715" style="1" customWidth="1"/>
    <col min="10" max="11" width="10.285714285714286" style="1" customWidth="1"/>
    <col min="12" max="12" width="10.857142857142858" style="1" customWidth="1"/>
    <col min="13" max="13" width="12" style="1" customWidth="1"/>
    <col min="14" max="14" width="22.714285714285715" style="1" customWidth="1"/>
    <col min="15" max="15" width="26.857142857142858" style="1" customWidth="1"/>
    <col min="16" max="16" width="14.285714285714286" style="1" customWidth="1"/>
    <col min="17" max="17" width="13.857142857142858" style="1" customWidth="1"/>
    <col min="18" max="18" width="10.285714285714286" style="1" customWidth="1"/>
    <col min="19" max="19" width="17.285714285714285" style="1" customWidth="1"/>
    <col min="20" max="20" width="21.571428571428573" style="1" customWidth="1"/>
    <col min="21" max="21" width="17" style="1" customWidth="1"/>
    <col min="22" max="22" width="12.428571428571429" style="1" customWidth="1"/>
    <col min="23" max="23" width="14.714285714285714" style="1" customWidth="1"/>
    <col min="24" max="24" width="12.714285714285714" style="1" customWidth="1"/>
    <col min="25" max="25" width="13.142857142857142" style="1" customWidth="1"/>
    <col min="26" max="26" width="10.285714285714286" style="1" customWidth="1"/>
    <col min="27" max="27" width="15.857142857142858" style="1" customWidth="1"/>
    <col min="28" max="28" width="10.428571428571429" style="1" customWidth="1"/>
    <col min="29" max="29" width="13.571428571428571" style="1" customWidth="1"/>
    <col min="30" max="30" width="10.142857142857142" style="1" customWidth="1"/>
    <col min="31" max="31" width="15.857142857142858" style="1" customWidth="1"/>
    <col min="32" max="32" width="13.857142857142858" style="1" customWidth="1"/>
    <col min="33" max="33" width="10.857142857142858" style="1" customWidth="1"/>
    <col min="34" max="34" width="18.428571428571427" style="1" customWidth="1"/>
    <col min="35" max="35" width="16.571428571428573" style="1" customWidth="1"/>
    <col min="36" max="36" width="17" style="1" customWidth="1"/>
    <col min="37" max="16384" width="10.285714285714286" style="1" customWidth="1"/>
  </cols>
  <sheetData>
    <row r="1" spans="1:36" ht="16">
      <c r="A1" s="21" t="s">
        <v>72</v>
      </c>
      <c r="B1" s="21" t="s">
        <v>73</v>
      </c>
      <c r="C1" s="21" t="s">
        <v>74</v>
      </c>
      <c r="D1" s="22" t="s">
        <v>75</v>
      </c>
      <c r="E1" s="22" t="s">
        <v>76</v>
      </c>
      <c r="F1" s="22" t="s">
        <v>77</v>
      </c>
      <c r="G1" s="22" t="s">
        <v>78</v>
      </c>
      <c r="H1" s="22" t="s">
        <v>79</v>
      </c>
      <c r="I1" s="22" t="s">
        <v>80</v>
      </c>
      <c r="J1" s="22" t="s">
        <v>81</v>
      </c>
      <c r="K1" s="22" t="s">
        <v>82</v>
      </c>
      <c r="L1" s="22" t="s">
        <v>83</v>
      </c>
      <c r="M1" s="22" t="s">
        <v>84</v>
      </c>
      <c r="N1" s="22" t="s">
        <v>85</v>
      </c>
      <c r="O1" s="22" t="s">
        <v>86</v>
      </c>
      <c r="P1" s="22" t="s">
        <v>87</v>
      </c>
      <c r="Q1" s="22" t="s">
        <v>88</v>
      </c>
      <c r="R1" s="22" t="s">
        <v>89</v>
      </c>
      <c r="S1" s="22" t="s">
        <v>90</v>
      </c>
      <c r="T1" s="22" t="s">
        <v>91</v>
      </c>
      <c r="U1" s="22" t="s">
        <v>92</v>
      </c>
      <c r="V1" s="22" t="s">
        <v>93</v>
      </c>
      <c r="W1" s="22" t="s">
        <v>94</v>
      </c>
      <c r="X1" s="22" t="s">
        <v>95</v>
      </c>
      <c r="Y1" s="22" t="s">
        <v>96</v>
      </c>
      <c r="Z1" s="22" t="s">
        <v>97</v>
      </c>
      <c r="AA1" s="22" t="s">
        <v>98</v>
      </c>
      <c r="AB1" s="22" t="s">
        <v>99</v>
      </c>
      <c r="AC1" s="22" t="s">
        <v>100</v>
      </c>
      <c r="AD1" s="22" t="s">
        <v>101</v>
      </c>
      <c r="AE1" s="22" t="s">
        <v>102</v>
      </c>
      <c r="AF1" s="22" t="s">
        <v>103</v>
      </c>
      <c r="AG1" s="22" t="s">
        <v>104</v>
      </c>
      <c r="AH1" s="22" t="s">
        <v>105</v>
      </c>
      <c r="AI1" s="22" t="s">
        <v>106</v>
      </c>
      <c r="AJ1" s="22" t="s">
        <v>107</v>
      </c>
    </row>
    <row r="2" spans="1:36" ht="14.5">
      <c r="A2" s="23" t="s">
        <v>108</v>
      </c>
      <c r="B2" s="23" t="s">
        <v>109</v>
      </c>
      <c r="C2" s="23" t="s">
        <v>110</v>
      </c>
      <c r="D2" s="24" t="s">
        <v>111</v>
      </c>
      <c r="E2" s="24" t="s">
        <v>112</v>
      </c>
      <c r="F2" s="24" t="s">
        <v>77</v>
      </c>
      <c r="G2" s="24" t="s">
        <v>113</v>
      </c>
      <c r="H2" s="24" t="s">
        <v>114</v>
      </c>
      <c r="I2" s="24" t="s">
        <v>115</v>
      </c>
      <c r="J2" s="24" t="s">
        <v>116</v>
      </c>
      <c r="K2" s="24" t="s">
        <v>117</v>
      </c>
      <c r="L2" s="24" t="s">
        <v>118</v>
      </c>
      <c r="M2" s="24" t="s">
        <v>119</v>
      </c>
      <c r="N2" s="24" t="s">
        <v>120</v>
      </c>
      <c r="O2" s="24" t="s">
        <v>121</v>
      </c>
      <c r="P2" s="24" t="s">
        <v>122</v>
      </c>
      <c r="Q2" s="24" t="s">
        <v>123</v>
      </c>
      <c r="R2" s="24" t="s">
        <v>124</v>
      </c>
      <c r="S2" s="24" t="s">
        <v>90</v>
      </c>
      <c r="T2" s="24" t="s">
        <v>125</v>
      </c>
      <c r="U2" s="24" t="s">
        <v>126</v>
      </c>
      <c r="V2" s="24" t="s">
        <v>127</v>
      </c>
      <c r="W2" s="24" t="s">
        <v>128</v>
      </c>
      <c r="X2" s="24" t="s">
        <v>129</v>
      </c>
      <c r="Y2" s="24" t="s">
        <v>130</v>
      </c>
      <c r="Z2" s="24" t="s">
        <v>131</v>
      </c>
      <c r="AA2" s="24" t="s">
        <v>132</v>
      </c>
      <c r="AB2" s="24" t="s">
        <v>133</v>
      </c>
      <c r="AC2" s="24" t="s">
        <v>134</v>
      </c>
      <c r="AD2" s="24" t="s">
        <v>135</v>
      </c>
      <c r="AE2" s="24" t="s">
        <v>136</v>
      </c>
      <c r="AF2" s="24" t="s">
        <v>137</v>
      </c>
      <c r="AG2" s="24" t="s">
        <v>138</v>
      </c>
      <c r="AH2" s="24" t="s">
        <v>139</v>
      </c>
      <c r="AI2" s="24" t="s">
        <v>140</v>
      </c>
      <c r="AJ2" s="24" t="s">
        <v>141</v>
      </c>
    </row>
    <row r="3" spans="1:36" ht="14.5">
      <c r="A3" s="23" t="s">
        <v>142</v>
      </c>
      <c r="B3" s="23" t="s">
        <v>143</v>
      </c>
      <c r="C3" s="23" t="s">
        <v>144</v>
      </c>
      <c r="D3" s="24" t="s">
        <v>145</v>
      </c>
      <c r="E3" s="24" t="s">
        <v>146</v>
      </c>
      <c r="F3" s="24"/>
      <c r="G3" s="24" t="s">
        <v>147</v>
      </c>
      <c r="H3" s="24"/>
      <c r="I3" s="24" t="s">
        <v>148</v>
      </c>
      <c r="J3" s="24" t="s">
        <v>149</v>
      </c>
      <c r="K3" s="24" t="s">
        <v>150</v>
      </c>
      <c r="L3" s="24" t="s">
        <v>151</v>
      </c>
      <c r="M3" s="24" t="s">
        <v>152</v>
      </c>
      <c r="N3" s="24" t="s">
        <v>153</v>
      </c>
      <c r="O3" s="24" t="s">
        <v>154</v>
      </c>
      <c r="P3" s="24" t="s">
        <v>155</v>
      </c>
      <c r="Q3" s="24" t="s">
        <v>156</v>
      </c>
      <c r="R3" s="24" t="s">
        <v>157</v>
      </c>
      <c r="S3" s="24"/>
      <c r="T3" s="24" t="s">
        <v>158</v>
      </c>
      <c r="U3" s="24" t="s">
        <v>159</v>
      </c>
      <c r="V3" s="24" t="s">
        <v>160</v>
      </c>
      <c r="W3" s="24" t="s">
        <v>161</v>
      </c>
      <c r="X3" s="24" t="s">
        <v>162</v>
      </c>
      <c r="Y3" s="24" t="s">
        <v>163</v>
      </c>
      <c r="Z3" s="24" t="s">
        <v>164</v>
      </c>
      <c r="AA3" s="24" t="s">
        <v>165</v>
      </c>
      <c r="AB3" s="24" t="s">
        <v>166</v>
      </c>
      <c r="AC3" s="24" t="s">
        <v>167</v>
      </c>
      <c r="AD3" s="24" t="s">
        <v>168</v>
      </c>
      <c r="AE3" s="24" t="s">
        <v>169</v>
      </c>
      <c r="AF3" s="24" t="s">
        <v>170</v>
      </c>
      <c r="AG3" s="24" t="s">
        <v>171</v>
      </c>
      <c r="AH3" s="24" t="s">
        <v>172</v>
      </c>
      <c r="AI3" s="24" t="s">
        <v>173</v>
      </c>
      <c r="AJ3" s="24" t="s">
        <v>174</v>
      </c>
    </row>
    <row r="4" spans="1:36" ht="14.5">
      <c r="A4" s="23" t="s">
        <v>175</v>
      </c>
      <c r="B4" s="23" t="s">
        <v>176</v>
      </c>
      <c r="C4" s="23" t="s">
        <v>177</v>
      </c>
      <c r="D4" s="24" t="s">
        <v>178</v>
      </c>
      <c r="E4" s="24" t="s">
        <v>179</v>
      </c>
      <c r="F4" s="24"/>
      <c r="G4" s="24" t="s">
        <v>180</v>
      </c>
      <c r="H4" s="24"/>
      <c r="I4" s="24"/>
      <c r="J4" s="24" t="s">
        <v>181</v>
      </c>
      <c r="K4" s="24"/>
      <c r="L4" s="24" t="s">
        <v>182</v>
      </c>
      <c r="M4" s="24" t="s">
        <v>183</v>
      </c>
      <c r="N4" s="24" t="s">
        <v>184</v>
      </c>
      <c r="O4" s="24" t="s">
        <v>185</v>
      </c>
      <c r="P4" s="24" t="s">
        <v>186</v>
      </c>
      <c r="Q4" s="24" t="s">
        <v>187</v>
      </c>
      <c r="R4" s="24" t="s">
        <v>188</v>
      </c>
      <c r="S4" s="24"/>
      <c r="T4" s="24" t="s">
        <v>189</v>
      </c>
      <c r="U4" s="24" t="s">
        <v>190</v>
      </c>
      <c r="V4" s="24" t="s">
        <v>191</v>
      </c>
      <c r="W4" s="24" t="s">
        <v>192</v>
      </c>
      <c r="X4" s="24" t="s">
        <v>193</v>
      </c>
      <c r="Y4" s="24" t="s">
        <v>194</v>
      </c>
      <c r="Z4" s="24" t="s">
        <v>195</v>
      </c>
      <c r="AA4" s="24" t="s">
        <v>98</v>
      </c>
      <c r="AB4" s="24" t="s">
        <v>196</v>
      </c>
      <c r="AC4" s="24" t="s">
        <v>197</v>
      </c>
      <c r="AD4" s="24" t="s">
        <v>198</v>
      </c>
      <c r="AE4" s="24" t="s">
        <v>199</v>
      </c>
      <c r="AF4" s="24" t="s">
        <v>200</v>
      </c>
      <c r="AG4" s="24" t="s">
        <v>201</v>
      </c>
      <c r="AH4" s="24" t="s">
        <v>202</v>
      </c>
      <c r="AI4" s="24" t="s">
        <v>203</v>
      </c>
      <c r="AJ4" s="24" t="s">
        <v>204</v>
      </c>
    </row>
    <row r="5" spans="1:36" ht="14.5">
      <c r="A5" s="23"/>
      <c r="B5" s="23" t="s">
        <v>205</v>
      </c>
      <c r="C5" s="23" t="s">
        <v>206</v>
      </c>
      <c r="D5" s="24" t="s">
        <v>207</v>
      </c>
      <c r="E5" s="24" t="s">
        <v>208</v>
      </c>
      <c r="F5" s="24"/>
      <c r="G5" s="24" t="s">
        <v>209</v>
      </c>
      <c r="H5" s="24"/>
      <c r="I5" s="24"/>
      <c r="J5" s="24" t="s">
        <v>210</v>
      </c>
      <c r="K5" s="24"/>
      <c r="L5" s="24" t="s">
        <v>211</v>
      </c>
      <c r="M5" s="24" t="s">
        <v>212</v>
      </c>
      <c r="N5" s="24" t="s">
        <v>213</v>
      </c>
      <c r="O5" s="24" t="s">
        <v>214</v>
      </c>
      <c r="P5" s="24" t="s">
        <v>215</v>
      </c>
      <c r="Q5" s="24" t="s">
        <v>216</v>
      </c>
      <c r="R5" s="24" t="s">
        <v>217</v>
      </c>
      <c r="S5" s="24"/>
      <c r="T5" s="24" t="s">
        <v>218</v>
      </c>
      <c r="U5" s="24" t="s">
        <v>179</v>
      </c>
      <c r="V5" s="24" t="s">
        <v>219</v>
      </c>
      <c r="W5" s="24" t="s">
        <v>220</v>
      </c>
      <c r="X5" s="24" t="s">
        <v>221</v>
      </c>
      <c r="Y5" s="24" t="s">
        <v>222</v>
      </c>
      <c r="Z5" s="24" t="s">
        <v>223</v>
      </c>
      <c r="AA5" s="24"/>
      <c r="AB5" s="24" t="s">
        <v>224</v>
      </c>
      <c r="AC5" s="24" t="s">
        <v>225</v>
      </c>
      <c r="AD5" s="24" t="s">
        <v>226</v>
      </c>
      <c r="AE5" s="24" t="s">
        <v>227</v>
      </c>
      <c r="AF5" s="24" t="s">
        <v>228</v>
      </c>
      <c r="AG5" s="24" t="s">
        <v>229</v>
      </c>
      <c r="AH5" s="24" t="s">
        <v>230</v>
      </c>
      <c r="AI5" s="24" t="s">
        <v>231</v>
      </c>
      <c r="AJ5" s="24" t="s">
        <v>232</v>
      </c>
    </row>
    <row r="6" spans="1:36" ht="14.5">
      <c r="A6" s="23"/>
      <c r="B6" s="23" t="s">
        <v>233</v>
      </c>
      <c r="C6" s="23" t="s">
        <v>234</v>
      </c>
      <c r="D6" s="24" t="s">
        <v>235</v>
      </c>
      <c r="E6" s="24" t="s">
        <v>236</v>
      </c>
      <c r="F6" s="24"/>
      <c r="G6" s="24" t="s">
        <v>237</v>
      </c>
      <c r="H6" s="24"/>
      <c r="I6" s="24"/>
      <c r="J6" s="24" t="s">
        <v>238</v>
      </c>
      <c r="K6" s="24"/>
      <c r="L6" s="24" t="s">
        <v>239</v>
      </c>
      <c r="M6" s="24" t="s">
        <v>240</v>
      </c>
      <c r="N6" s="24" t="s">
        <v>241</v>
      </c>
      <c r="O6" s="24" t="s">
        <v>242</v>
      </c>
      <c r="P6" s="24" t="s">
        <v>243</v>
      </c>
      <c r="Q6" s="24" t="s">
        <v>244</v>
      </c>
      <c r="R6" s="24" t="s">
        <v>245</v>
      </c>
      <c r="S6" s="24"/>
      <c r="T6" s="24" t="s">
        <v>246</v>
      </c>
      <c r="U6" s="24" t="s">
        <v>247</v>
      </c>
      <c r="V6" s="24" t="s">
        <v>248</v>
      </c>
      <c r="W6" s="24" t="s">
        <v>249</v>
      </c>
      <c r="X6" s="24" t="s">
        <v>250</v>
      </c>
      <c r="Y6" s="24" t="s">
        <v>251</v>
      </c>
      <c r="Z6" s="24" t="s">
        <v>252</v>
      </c>
      <c r="AA6" s="24"/>
      <c r="AB6" s="24" t="s">
        <v>253</v>
      </c>
      <c r="AC6" s="24" t="s">
        <v>254</v>
      </c>
      <c r="AD6" s="24"/>
      <c r="AE6" s="24" t="s">
        <v>255</v>
      </c>
      <c r="AF6" s="24" t="s">
        <v>256</v>
      </c>
      <c r="AG6" s="24" t="s">
        <v>249</v>
      </c>
      <c r="AH6" s="24" t="s">
        <v>257</v>
      </c>
      <c r="AI6" s="24" t="s">
        <v>258</v>
      </c>
      <c r="AJ6" s="24" t="s">
        <v>259</v>
      </c>
    </row>
    <row r="7" spans="1:36" ht="14.5">
      <c r="A7" s="23"/>
      <c r="B7" s="23" t="s">
        <v>260</v>
      </c>
      <c r="C7" s="23" t="s">
        <v>261</v>
      </c>
      <c r="D7" s="24" t="s">
        <v>262</v>
      </c>
      <c r="E7" s="24" t="s">
        <v>263</v>
      </c>
      <c r="F7" s="24"/>
      <c r="G7" s="24" t="s">
        <v>264</v>
      </c>
      <c r="H7" s="24"/>
      <c r="I7" s="24"/>
      <c r="J7" s="24" t="s">
        <v>265</v>
      </c>
      <c r="K7" s="24"/>
      <c r="L7" s="24" t="s">
        <v>266</v>
      </c>
      <c r="M7" s="24" t="s">
        <v>267</v>
      </c>
      <c r="N7" s="24" t="s">
        <v>268</v>
      </c>
      <c r="O7" s="24" t="s">
        <v>269</v>
      </c>
      <c r="P7" s="24" t="s">
        <v>270</v>
      </c>
      <c r="Q7" s="24" t="s">
        <v>271</v>
      </c>
      <c r="R7" s="24" t="s">
        <v>272</v>
      </c>
      <c r="S7" s="24"/>
      <c r="T7" s="24" t="s">
        <v>273</v>
      </c>
      <c r="U7" s="24" t="s">
        <v>274</v>
      </c>
      <c r="V7" s="24" t="s">
        <v>275</v>
      </c>
      <c r="W7" s="24" t="s">
        <v>276</v>
      </c>
      <c r="X7" s="24" t="s">
        <v>277</v>
      </c>
      <c r="Y7" s="24" t="s">
        <v>278</v>
      </c>
      <c r="Z7" s="24" t="s">
        <v>279</v>
      </c>
      <c r="AA7" s="24"/>
      <c r="AB7" s="24" t="s">
        <v>280</v>
      </c>
      <c r="AC7" s="24" t="s">
        <v>281</v>
      </c>
      <c r="AD7" s="24"/>
      <c r="AE7" s="24" t="s">
        <v>282</v>
      </c>
      <c r="AF7" s="24" t="s">
        <v>283</v>
      </c>
      <c r="AG7" s="24" t="s">
        <v>284</v>
      </c>
      <c r="AH7" s="24" t="s">
        <v>285</v>
      </c>
      <c r="AI7" s="24" t="s">
        <v>286</v>
      </c>
      <c r="AJ7" s="24" t="s">
        <v>287</v>
      </c>
    </row>
    <row r="8" spans="1:36" ht="14.5">
      <c r="A8" s="23"/>
      <c r="B8" s="23" t="s">
        <v>288</v>
      </c>
      <c r="C8" s="23" t="s">
        <v>289</v>
      </c>
      <c r="D8" s="24" t="s">
        <v>290</v>
      </c>
      <c r="E8" s="24" t="s">
        <v>291</v>
      </c>
      <c r="F8" s="24"/>
      <c r="G8" s="24" t="s">
        <v>292</v>
      </c>
      <c r="H8" s="24"/>
      <c r="I8" s="24"/>
      <c r="J8" s="24" t="s">
        <v>293</v>
      </c>
      <c r="K8" s="24"/>
      <c r="L8" s="24" t="s">
        <v>294</v>
      </c>
      <c r="M8" s="24" t="s">
        <v>295</v>
      </c>
      <c r="N8" s="24" t="s">
        <v>296</v>
      </c>
      <c r="O8" s="24" t="s">
        <v>297</v>
      </c>
      <c r="P8" s="24" t="s">
        <v>298</v>
      </c>
      <c r="Q8" s="24" t="s">
        <v>299</v>
      </c>
      <c r="R8" s="24" t="s">
        <v>300</v>
      </c>
      <c r="S8" s="24"/>
      <c r="T8" s="24" t="s">
        <v>301</v>
      </c>
      <c r="U8" s="24" t="s">
        <v>302</v>
      </c>
      <c r="V8" s="24" t="s">
        <v>303</v>
      </c>
      <c r="W8" s="24" t="s">
        <v>304</v>
      </c>
      <c r="X8" s="24" t="s">
        <v>305</v>
      </c>
      <c r="Y8" s="24" t="s">
        <v>306</v>
      </c>
      <c r="Z8" s="24" t="s">
        <v>307</v>
      </c>
      <c r="AA8" s="24"/>
      <c r="AB8" s="24" t="s">
        <v>308</v>
      </c>
      <c r="AC8" s="24" t="s">
        <v>309</v>
      </c>
      <c r="AD8" s="24"/>
      <c r="AE8" s="24" t="s">
        <v>310</v>
      </c>
      <c r="AF8" s="24" t="s">
        <v>311</v>
      </c>
      <c r="AG8" s="24" t="s">
        <v>312</v>
      </c>
      <c r="AH8" s="24" t="s">
        <v>313</v>
      </c>
      <c r="AI8" s="24" t="s">
        <v>314</v>
      </c>
      <c r="AJ8" s="24" t="s">
        <v>315</v>
      </c>
    </row>
    <row r="9" spans="1:36" ht="14.5">
      <c r="A9" s="23"/>
      <c r="B9" s="23" t="s">
        <v>316</v>
      </c>
      <c r="C9" s="23" t="s">
        <v>317</v>
      </c>
      <c r="D9" s="24" t="s">
        <v>318</v>
      </c>
      <c r="E9" s="24" t="s">
        <v>319</v>
      </c>
      <c r="F9" s="24"/>
      <c r="G9" s="24" t="s">
        <v>320</v>
      </c>
      <c r="H9" s="24"/>
      <c r="I9" s="24"/>
      <c r="J9" s="24" t="s">
        <v>321</v>
      </c>
      <c r="K9" s="24"/>
      <c r="L9" s="24" t="s">
        <v>322</v>
      </c>
      <c r="M9" s="24" t="s">
        <v>323</v>
      </c>
      <c r="N9" s="24" t="s">
        <v>324</v>
      </c>
      <c r="O9" s="24" t="s">
        <v>325</v>
      </c>
      <c r="P9" s="24" t="s">
        <v>326</v>
      </c>
      <c r="Q9" s="24" t="s">
        <v>327</v>
      </c>
      <c r="R9" s="24" t="s">
        <v>328</v>
      </c>
      <c r="S9" s="24"/>
      <c r="T9" s="24" t="s">
        <v>329</v>
      </c>
      <c r="U9" s="24" t="s">
        <v>330</v>
      </c>
      <c r="V9" s="24" t="s">
        <v>331</v>
      </c>
      <c r="W9" s="24" t="s">
        <v>332</v>
      </c>
      <c r="X9" s="24" t="s">
        <v>333</v>
      </c>
      <c r="Y9" s="24" t="s">
        <v>334</v>
      </c>
      <c r="Z9" s="24" t="s">
        <v>335</v>
      </c>
      <c r="AA9" s="24"/>
      <c r="AB9" s="24" t="s">
        <v>336</v>
      </c>
      <c r="AC9" s="24" t="s">
        <v>337</v>
      </c>
      <c r="AD9" s="24"/>
      <c r="AE9" s="24" t="s">
        <v>338</v>
      </c>
      <c r="AF9" s="24" t="s">
        <v>339</v>
      </c>
      <c r="AG9" s="24" t="s">
        <v>340</v>
      </c>
      <c r="AH9" s="24" t="s">
        <v>341</v>
      </c>
      <c r="AI9" s="24" t="s">
        <v>342</v>
      </c>
      <c r="AJ9" s="24" t="s">
        <v>343</v>
      </c>
    </row>
    <row r="10" spans="1:36" ht="14.5">
      <c r="A10" s="23"/>
      <c r="B10" s="23" t="s">
        <v>344</v>
      </c>
      <c r="C10" s="23" t="s">
        <v>345</v>
      </c>
      <c r="D10" s="24" t="s">
        <v>346</v>
      </c>
      <c r="E10" s="24" t="s">
        <v>347</v>
      </c>
      <c r="F10" s="24"/>
      <c r="G10" s="24" t="s">
        <v>348</v>
      </c>
      <c r="H10" s="24"/>
      <c r="I10" s="24"/>
      <c r="J10" s="24" t="s">
        <v>349</v>
      </c>
      <c r="K10" s="24"/>
      <c r="L10" s="24" t="s">
        <v>350</v>
      </c>
      <c r="M10" s="24" t="s">
        <v>351</v>
      </c>
      <c r="N10" s="24" t="s">
        <v>352</v>
      </c>
      <c r="O10" s="24" t="s">
        <v>353</v>
      </c>
      <c r="P10" s="24" t="s">
        <v>354</v>
      </c>
      <c r="Q10" s="24" t="s">
        <v>355</v>
      </c>
      <c r="R10" s="24" t="s">
        <v>356</v>
      </c>
      <c r="S10" s="24"/>
      <c r="T10" s="24" t="s">
        <v>357</v>
      </c>
      <c r="U10" s="24" t="s">
        <v>358</v>
      </c>
      <c r="V10" s="24" t="s">
        <v>359</v>
      </c>
      <c r="W10" s="24" t="s">
        <v>360</v>
      </c>
      <c r="X10" s="24" t="s">
        <v>361</v>
      </c>
      <c r="Y10" s="24" t="s">
        <v>362</v>
      </c>
      <c r="Z10" s="24" t="s">
        <v>363</v>
      </c>
      <c r="AA10" s="24"/>
      <c r="AB10" s="24" t="s">
        <v>364</v>
      </c>
      <c r="AC10" s="24" t="s">
        <v>365</v>
      </c>
      <c r="AD10" s="24"/>
      <c r="AE10" s="24" t="s">
        <v>366</v>
      </c>
      <c r="AF10" s="24" t="s">
        <v>367</v>
      </c>
      <c r="AG10" s="24" t="s">
        <v>368</v>
      </c>
      <c r="AH10" s="24" t="s">
        <v>369</v>
      </c>
      <c r="AI10" s="24" t="s">
        <v>370</v>
      </c>
      <c r="AJ10" s="24" t="s">
        <v>371</v>
      </c>
    </row>
    <row r="11" spans="1:36" ht="14.5">
      <c r="A11" s="23"/>
      <c r="B11" s="23" t="s">
        <v>372</v>
      </c>
      <c r="C11" s="23" t="s">
        <v>373</v>
      </c>
      <c r="D11" s="24" t="s">
        <v>374</v>
      </c>
      <c r="E11" s="24" t="s">
        <v>375</v>
      </c>
      <c r="F11" s="24"/>
      <c r="G11" s="24" t="s">
        <v>376</v>
      </c>
      <c r="H11" s="24"/>
      <c r="I11" s="24"/>
      <c r="J11" s="24" t="s">
        <v>377</v>
      </c>
      <c r="K11" s="24"/>
      <c r="L11" s="24" t="s">
        <v>378</v>
      </c>
      <c r="M11" s="24" t="s">
        <v>379</v>
      </c>
      <c r="N11" s="24" t="s">
        <v>380</v>
      </c>
      <c r="O11" s="24" t="s">
        <v>381</v>
      </c>
      <c r="P11" s="24" t="s">
        <v>382</v>
      </c>
      <c r="Q11" s="24" t="s">
        <v>383</v>
      </c>
      <c r="R11" s="24" t="s">
        <v>384</v>
      </c>
      <c r="S11" s="24"/>
      <c r="T11" s="24" t="s">
        <v>385</v>
      </c>
      <c r="U11" s="24" t="s">
        <v>386</v>
      </c>
      <c r="V11" s="24"/>
      <c r="W11" s="24" t="s">
        <v>387</v>
      </c>
      <c r="X11" s="24" t="s">
        <v>388</v>
      </c>
      <c r="Y11" s="24" t="s">
        <v>389</v>
      </c>
      <c r="Z11" s="24" t="s">
        <v>390</v>
      </c>
      <c r="AA11" s="24"/>
      <c r="AB11" s="24" t="s">
        <v>391</v>
      </c>
      <c r="AC11" s="24" t="s">
        <v>392</v>
      </c>
      <c r="AD11" s="24"/>
      <c r="AE11" s="24" t="s">
        <v>132</v>
      </c>
      <c r="AF11" s="24" t="s">
        <v>393</v>
      </c>
      <c r="AG11" s="24"/>
      <c r="AH11" s="24" t="s">
        <v>394</v>
      </c>
      <c r="AI11" s="24" t="s">
        <v>395</v>
      </c>
      <c r="AJ11" s="24" t="s">
        <v>396</v>
      </c>
    </row>
    <row r="12" spans="1:36" ht="14.5">
      <c r="A12" s="23"/>
      <c r="B12" s="23" t="s">
        <v>397</v>
      </c>
      <c r="C12" s="23" t="s">
        <v>398</v>
      </c>
      <c r="D12" s="24" t="s">
        <v>399</v>
      </c>
      <c r="E12" s="24" t="s">
        <v>400</v>
      </c>
      <c r="F12" s="24"/>
      <c r="G12" s="24" t="s">
        <v>401</v>
      </c>
      <c r="H12" s="24"/>
      <c r="I12" s="24"/>
      <c r="J12" s="24" t="s">
        <v>402</v>
      </c>
      <c r="K12" s="24"/>
      <c r="L12" s="24" t="s">
        <v>403</v>
      </c>
      <c r="M12" s="24" t="s">
        <v>404</v>
      </c>
      <c r="N12" s="24" t="s">
        <v>405</v>
      </c>
      <c r="O12" s="24" t="s">
        <v>406</v>
      </c>
      <c r="P12" s="24" t="s">
        <v>407</v>
      </c>
      <c r="Q12" s="24" t="s">
        <v>408</v>
      </c>
      <c r="R12" s="24" t="s">
        <v>409</v>
      </c>
      <c r="S12" s="24"/>
      <c r="T12" s="24" t="s">
        <v>410</v>
      </c>
      <c r="U12" s="24" t="s">
        <v>411</v>
      </c>
      <c r="V12" s="24"/>
      <c r="W12" s="24" t="s">
        <v>412</v>
      </c>
      <c r="X12" s="24"/>
      <c r="Y12" s="24" t="s">
        <v>413</v>
      </c>
      <c r="Z12" s="24" t="s">
        <v>414</v>
      </c>
      <c r="AA12" s="24"/>
      <c r="AB12" s="24" t="s">
        <v>415</v>
      </c>
      <c r="AC12" s="24" t="s">
        <v>416</v>
      </c>
      <c r="AD12" s="24"/>
      <c r="AE12" s="24" t="s">
        <v>417</v>
      </c>
      <c r="AF12" s="24" t="s">
        <v>418</v>
      </c>
      <c r="AG12" s="24"/>
      <c r="AH12" s="24" t="s">
        <v>419</v>
      </c>
      <c r="AI12" s="24" t="s">
        <v>420</v>
      </c>
      <c r="AJ12" s="24" t="s">
        <v>421</v>
      </c>
    </row>
    <row r="13" spans="1:36" ht="14.5">
      <c r="A13" s="23"/>
      <c r="B13" s="23" t="s">
        <v>422</v>
      </c>
      <c r="C13" s="23" t="s">
        <v>423</v>
      </c>
      <c r="D13" s="24" t="s">
        <v>424</v>
      </c>
      <c r="E13" s="24" t="s">
        <v>425</v>
      </c>
      <c r="F13" s="24"/>
      <c r="G13" s="24" t="s">
        <v>426</v>
      </c>
      <c r="H13" s="24"/>
      <c r="I13" s="24"/>
      <c r="J13" s="24"/>
      <c r="K13" s="24"/>
      <c r="L13" s="24" t="s">
        <v>427</v>
      </c>
      <c r="M13" s="24" t="s">
        <v>428</v>
      </c>
      <c r="N13" s="24" t="s">
        <v>429</v>
      </c>
      <c r="O13" s="24" t="s">
        <v>430</v>
      </c>
      <c r="P13" s="24" t="s">
        <v>431</v>
      </c>
      <c r="Q13" s="24" t="s">
        <v>432</v>
      </c>
      <c r="R13" s="24" t="s">
        <v>433</v>
      </c>
      <c r="S13" s="24"/>
      <c r="T13" s="24" t="s">
        <v>434</v>
      </c>
      <c r="U13" s="24" t="s">
        <v>435</v>
      </c>
      <c r="V13" s="24"/>
      <c r="W13" s="24"/>
      <c r="X13" s="24"/>
      <c r="Y13" s="24"/>
      <c r="Z13" s="24" t="s">
        <v>436</v>
      </c>
      <c r="AA13" s="24"/>
      <c r="AB13" s="24" t="s">
        <v>437</v>
      </c>
      <c r="AC13" s="24" t="s">
        <v>438</v>
      </c>
      <c r="AD13" s="24"/>
      <c r="AE13" s="24" t="s">
        <v>439</v>
      </c>
      <c r="AF13" s="24" t="s">
        <v>440</v>
      </c>
      <c r="AG13" s="24"/>
      <c r="AH13" s="24" t="s">
        <v>441</v>
      </c>
      <c r="AI13" s="24" t="s">
        <v>442</v>
      </c>
      <c r="AJ13" s="24" t="s">
        <v>443</v>
      </c>
    </row>
    <row r="14" spans="1:36" ht="14.5">
      <c r="A14" s="23"/>
      <c r="B14" s="23" t="s">
        <v>444</v>
      </c>
      <c r="C14" s="23" t="s">
        <v>445</v>
      </c>
      <c r="D14" s="24" t="s">
        <v>446</v>
      </c>
      <c r="E14" s="24" t="s">
        <v>447</v>
      </c>
      <c r="F14" s="24"/>
      <c r="G14" s="24" t="s">
        <v>448</v>
      </c>
      <c r="H14" s="24"/>
      <c r="I14" s="24"/>
      <c r="J14" s="24"/>
      <c r="K14" s="24"/>
      <c r="L14" s="24" t="s">
        <v>449</v>
      </c>
      <c r="M14" s="24" t="s">
        <v>450</v>
      </c>
      <c r="N14" s="24" t="s">
        <v>451</v>
      </c>
      <c r="O14" s="24" t="s">
        <v>452</v>
      </c>
      <c r="P14" s="24" t="s">
        <v>453</v>
      </c>
      <c r="Q14" s="24" t="s">
        <v>454</v>
      </c>
      <c r="R14" s="24" t="s">
        <v>455</v>
      </c>
      <c r="S14" s="24"/>
      <c r="T14" s="24" t="s">
        <v>456</v>
      </c>
      <c r="U14" s="24" t="s">
        <v>457</v>
      </c>
      <c r="V14" s="24"/>
      <c r="W14" s="24"/>
      <c r="X14" s="24"/>
      <c r="Y14" s="24"/>
      <c r="Z14" s="24" t="s">
        <v>458</v>
      </c>
      <c r="AA14" s="24"/>
      <c r="AB14" s="24" t="s">
        <v>459</v>
      </c>
      <c r="AC14" s="24" t="s">
        <v>460</v>
      </c>
      <c r="AD14" s="24"/>
      <c r="AE14" s="24" t="s">
        <v>461</v>
      </c>
      <c r="AF14" s="24" t="s">
        <v>462</v>
      </c>
      <c r="AG14" s="24"/>
      <c r="AH14" s="24" t="s">
        <v>463</v>
      </c>
      <c r="AI14" s="24" t="s">
        <v>464</v>
      </c>
      <c r="AJ14" s="24" t="s">
        <v>465</v>
      </c>
    </row>
    <row r="15" spans="1:36" ht="14.5">
      <c r="A15" s="23"/>
      <c r="B15" s="23" t="s">
        <v>466</v>
      </c>
      <c r="C15" s="23" t="s">
        <v>467</v>
      </c>
      <c r="D15" s="24" t="s">
        <v>468</v>
      </c>
      <c r="E15" s="24" t="s">
        <v>469</v>
      </c>
      <c r="F15" s="24"/>
      <c r="G15" s="24" t="s">
        <v>470</v>
      </c>
      <c r="H15" s="24"/>
      <c r="I15" s="24"/>
      <c r="J15" s="24"/>
      <c r="K15" s="24"/>
      <c r="L15" s="24" t="s">
        <v>471</v>
      </c>
      <c r="M15" s="24" t="s">
        <v>472</v>
      </c>
      <c r="N15" s="24"/>
      <c r="O15" s="24" t="s">
        <v>473</v>
      </c>
      <c r="P15" s="24" t="s">
        <v>474</v>
      </c>
      <c r="Q15" s="24" t="s">
        <v>475</v>
      </c>
      <c r="R15" s="24" t="s">
        <v>476</v>
      </c>
      <c r="S15" s="24"/>
      <c r="T15" s="24" t="s">
        <v>477</v>
      </c>
      <c r="U15" s="24" t="s">
        <v>478</v>
      </c>
      <c r="V15" s="24"/>
      <c r="W15" s="24"/>
      <c r="X15" s="24"/>
      <c r="Y15" s="24"/>
      <c r="Z15" s="24" t="s">
        <v>479</v>
      </c>
      <c r="AA15" s="24"/>
      <c r="AB15" s="24" t="s">
        <v>480</v>
      </c>
      <c r="AC15" s="24" t="s">
        <v>481</v>
      </c>
      <c r="AD15" s="24"/>
      <c r="AE15" s="24" t="s">
        <v>482</v>
      </c>
      <c r="AF15" s="24" t="s">
        <v>483</v>
      </c>
      <c r="AG15" s="24"/>
      <c r="AH15" s="24" t="s">
        <v>484</v>
      </c>
      <c r="AI15" s="24" t="s">
        <v>485</v>
      </c>
      <c r="AJ15" s="24" t="s">
        <v>486</v>
      </c>
    </row>
    <row r="16" spans="1:36" ht="14.5">
      <c r="A16" s="23"/>
      <c r="B16" s="23" t="s">
        <v>487</v>
      </c>
      <c r="C16" s="23" t="s">
        <v>488</v>
      </c>
      <c r="D16" s="24" t="s">
        <v>489</v>
      </c>
      <c r="E16" s="24" t="s">
        <v>490</v>
      </c>
      <c r="F16" s="24"/>
      <c r="G16" s="24" t="s">
        <v>491</v>
      </c>
      <c r="H16" s="24"/>
      <c r="I16" s="24"/>
      <c r="J16" s="24"/>
      <c r="K16" s="24"/>
      <c r="L16" s="24" t="s">
        <v>492</v>
      </c>
      <c r="M16" s="24" t="s">
        <v>493</v>
      </c>
      <c r="N16" s="24"/>
      <c r="O16" s="24" t="s">
        <v>494</v>
      </c>
      <c r="P16" s="24" t="s">
        <v>495</v>
      </c>
      <c r="Q16" s="24" t="s">
        <v>496</v>
      </c>
      <c r="R16" s="24" t="s">
        <v>497</v>
      </c>
      <c r="S16" s="24"/>
      <c r="T16" s="24" t="s">
        <v>498</v>
      </c>
      <c r="U16" s="24" t="s">
        <v>499</v>
      </c>
      <c r="V16" s="24"/>
      <c r="W16" s="24"/>
      <c r="X16" s="24"/>
      <c r="Y16" s="24"/>
      <c r="Z16" s="24" t="s">
        <v>500</v>
      </c>
      <c r="AA16" s="24"/>
      <c r="AB16" s="24" t="s">
        <v>501</v>
      </c>
      <c r="AC16" s="24" t="s">
        <v>502</v>
      </c>
      <c r="AD16" s="24"/>
      <c r="AE16" s="24" t="s">
        <v>503</v>
      </c>
      <c r="AF16" s="24" t="s">
        <v>444</v>
      </c>
      <c r="AG16" s="24"/>
      <c r="AH16" s="24" t="s">
        <v>504</v>
      </c>
      <c r="AI16" s="24"/>
      <c r="AJ16" s="24" t="s">
        <v>505</v>
      </c>
    </row>
    <row r="17" spans="1:36" ht="14.5">
      <c r="A17" s="23"/>
      <c r="B17" s="23" t="s">
        <v>506</v>
      </c>
      <c r="C17" s="23"/>
      <c r="D17" s="24" t="s">
        <v>507</v>
      </c>
      <c r="E17" s="24" t="s">
        <v>508</v>
      </c>
      <c r="F17" s="24"/>
      <c r="G17" s="24" t="s">
        <v>509</v>
      </c>
      <c r="H17" s="24"/>
      <c r="I17" s="24"/>
      <c r="J17" s="24"/>
      <c r="K17" s="24"/>
      <c r="L17" s="24" t="s">
        <v>510</v>
      </c>
      <c r="M17" s="24" t="s">
        <v>511</v>
      </c>
      <c r="N17" s="24"/>
      <c r="O17" s="24" t="s">
        <v>512</v>
      </c>
      <c r="P17" s="24" t="s">
        <v>513</v>
      </c>
      <c r="Q17" s="24" t="s">
        <v>514</v>
      </c>
      <c r="R17" s="24"/>
      <c r="S17" s="24"/>
      <c r="T17" s="24" t="s">
        <v>515</v>
      </c>
      <c r="U17" s="24" t="s">
        <v>516</v>
      </c>
      <c r="V17" s="24"/>
      <c r="W17" s="24"/>
      <c r="X17" s="24"/>
      <c r="Y17" s="24"/>
      <c r="Z17" s="24" t="s">
        <v>517</v>
      </c>
      <c r="AA17" s="24"/>
      <c r="AB17" s="24" t="s">
        <v>518</v>
      </c>
      <c r="AC17" s="24" t="s">
        <v>519</v>
      </c>
      <c r="AD17" s="24"/>
      <c r="AE17" s="24" t="s">
        <v>520</v>
      </c>
      <c r="AF17" s="24" t="s">
        <v>521</v>
      </c>
      <c r="AG17" s="24"/>
      <c r="AH17" s="24" t="s">
        <v>522</v>
      </c>
      <c r="AI17" s="24"/>
      <c r="AJ17" s="24" t="s">
        <v>523</v>
      </c>
    </row>
    <row r="18" spans="1:36" ht="14.5">
      <c r="A18" s="23"/>
      <c r="B18" s="23" t="s">
        <v>524</v>
      </c>
      <c r="C18" s="23"/>
      <c r="D18" s="24" t="s">
        <v>525</v>
      </c>
      <c r="E18" s="24" t="s">
        <v>526</v>
      </c>
      <c r="F18" s="24"/>
      <c r="G18" s="24" t="s">
        <v>527</v>
      </c>
      <c r="H18" s="24"/>
      <c r="I18" s="24"/>
      <c r="J18" s="24"/>
      <c r="K18" s="24"/>
      <c r="L18" s="24" t="s">
        <v>528</v>
      </c>
      <c r="M18" s="24" t="s">
        <v>529</v>
      </c>
      <c r="N18" s="24"/>
      <c r="O18" s="24" t="s">
        <v>530</v>
      </c>
      <c r="P18" s="24" t="s">
        <v>531</v>
      </c>
      <c r="Q18" s="24" t="s">
        <v>532</v>
      </c>
      <c r="R18" s="24"/>
      <c r="S18" s="24"/>
      <c r="T18" s="24" t="s">
        <v>533</v>
      </c>
      <c r="U18" s="24" t="s">
        <v>534</v>
      </c>
      <c r="V18" s="24"/>
      <c r="W18" s="24"/>
      <c r="X18" s="24"/>
      <c r="Y18" s="24"/>
      <c r="Z18" s="24" t="s">
        <v>535</v>
      </c>
      <c r="AA18" s="24"/>
      <c r="AB18" s="24" t="s">
        <v>536</v>
      </c>
      <c r="AC18" s="24" t="s">
        <v>537</v>
      </c>
      <c r="AD18" s="24"/>
      <c r="AE18" s="24" t="s">
        <v>538</v>
      </c>
      <c r="AF18" s="24" t="s">
        <v>539</v>
      </c>
      <c r="AG18" s="24"/>
      <c r="AH18" s="24" t="s">
        <v>540</v>
      </c>
      <c r="AI18" s="24"/>
      <c r="AJ18" s="24" t="s">
        <v>541</v>
      </c>
    </row>
    <row r="19" spans="1:36" ht="14.5">
      <c r="A19" s="23"/>
      <c r="B19" s="23" t="s">
        <v>542</v>
      </c>
      <c r="C19" s="23"/>
      <c r="D19" s="24" t="s">
        <v>543</v>
      </c>
      <c r="E19" s="24" t="s">
        <v>544</v>
      </c>
      <c r="F19" s="24"/>
      <c r="G19" s="24" t="s">
        <v>545</v>
      </c>
      <c r="H19" s="24"/>
      <c r="I19" s="24"/>
      <c r="J19" s="24"/>
      <c r="K19" s="24"/>
      <c r="L19" s="24" t="s">
        <v>546</v>
      </c>
      <c r="M19" s="24" t="s">
        <v>547</v>
      </c>
      <c r="N19" s="24"/>
      <c r="O19" s="24" t="s">
        <v>548</v>
      </c>
      <c r="P19" s="24" t="s">
        <v>549</v>
      </c>
      <c r="Q19" s="24" t="s">
        <v>550</v>
      </c>
      <c r="R19" s="24"/>
      <c r="S19" s="24"/>
      <c r="T19" s="24" t="s">
        <v>551</v>
      </c>
      <c r="U19" s="24" t="s">
        <v>552</v>
      </c>
      <c r="V19" s="24"/>
      <c r="W19" s="24"/>
      <c r="X19" s="24"/>
      <c r="Y19" s="24"/>
      <c r="Z19" s="24" t="s">
        <v>553</v>
      </c>
      <c r="AA19" s="24"/>
      <c r="AB19" s="24" t="s">
        <v>554</v>
      </c>
      <c r="AC19" s="24" t="s">
        <v>555</v>
      </c>
      <c r="AD19" s="24"/>
      <c r="AE19" s="24" t="s">
        <v>556</v>
      </c>
      <c r="AF19" s="24" t="s">
        <v>557</v>
      </c>
      <c r="AG19" s="24"/>
      <c r="AH19" s="24" t="s">
        <v>558</v>
      </c>
      <c r="AI19" s="24"/>
      <c r="AJ19" s="24" t="s">
        <v>559</v>
      </c>
    </row>
    <row r="20" spans="1:36" ht="14.5">
      <c r="A20" s="23"/>
      <c r="B20" s="23" t="s">
        <v>560</v>
      </c>
      <c r="C20" s="23"/>
      <c r="D20" s="24" t="s">
        <v>561</v>
      </c>
      <c r="E20" s="24" t="s">
        <v>562</v>
      </c>
      <c r="F20" s="24"/>
      <c r="G20" s="24" t="s">
        <v>563</v>
      </c>
      <c r="H20" s="24"/>
      <c r="I20" s="24"/>
      <c r="J20" s="24"/>
      <c r="K20" s="24"/>
      <c r="L20" s="24" t="s">
        <v>564</v>
      </c>
      <c r="M20" s="24" t="s">
        <v>565</v>
      </c>
      <c r="N20" s="24"/>
      <c r="O20" s="24" t="s">
        <v>566</v>
      </c>
      <c r="P20" s="24" t="s">
        <v>567</v>
      </c>
      <c r="Q20" s="24" t="s">
        <v>568</v>
      </c>
      <c r="R20" s="24"/>
      <c r="S20" s="24"/>
      <c r="T20" s="24" t="s">
        <v>569</v>
      </c>
      <c r="U20" s="24" t="s">
        <v>570</v>
      </c>
      <c r="V20" s="24"/>
      <c r="W20" s="24"/>
      <c r="X20" s="24"/>
      <c r="Y20" s="24"/>
      <c r="Z20" s="24" t="s">
        <v>571</v>
      </c>
      <c r="AA20" s="24"/>
      <c r="AB20" s="24" t="s">
        <v>572</v>
      </c>
      <c r="AC20" s="24" t="s">
        <v>573</v>
      </c>
      <c r="AD20" s="24"/>
      <c r="AE20" s="24" t="s">
        <v>574</v>
      </c>
      <c r="AF20" s="24" t="s">
        <v>575</v>
      </c>
      <c r="AG20" s="24"/>
      <c r="AH20" s="24" t="s">
        <v>576</v>
      </c>
      <c r="AI20" s="24"/>
      <c r="AJ20" s="24" t="s">
        <v>577</v>
      </c>
    </row>
    <row r="21" spans="1:36" ht="14.5">
      <c r="A21" s="23"/>
      <c r="B21" s="23"/>
      <c r="C21" s="23"/>
      <c r="D21" s="24" t="s">
        <v>578</v>
      </c>
      <c r="E21" s="24" t="s">
        <v>579</v>
      </c>
      <c r="F21" s="24"/>
      <c r="G21" s="24" t="s">
        <v>580</v>
      </c>
      <c r="H21" s="24"/>
      <c r="I21" s="24"/>
      <c r="J21" s="24"/>
      <c r="K21" s="24"/>
      <c r="L21" s="24" t="s">
        <v>581</v>
      </c>
      <c r="M21" s="24"/>
      <c r="N21" s="24"/>
      <c r="O21" s="24"/>
      <c r="P21" s="24" t="s">
        <v>582</v>
      </c>
      <c r="Q21" s="24" t="s">
        <v>583</v>
      </c>
      <c r="R21" s="24"/>
      <c r="S21" s="24"/>
      <c r="T21" s="24" t="s">
        <v>584</v>
      </c>
      <c r="U21" s="24" t="s">
        <v>585</v>
      </c>
      <c r="V21" s="24"/>
      <c r="W21" s="24"/>
      <c r="X21" s="24"/>
      <c r="Y21" s="24"/>
      <c r="Z21" s="24" t="s">
        <v>586</v>
      </c>
      <c r="AA21" s="24"/>
      <c r="AB21" s="24" t="s">
        <v>587</v>
      </c>
      <c r="AC21" s="24" t="s">
        <v>588</v>
      </c>
      <c r="AD21" s="24"/>
      <c r="AE21" s="24" t="s">
        <v>589</v>
      </c>
      <c r="AF21" s="24" t="s">
        <v>590</v>
      </c>
      <c r="AG21" s="24"/>
      <c r="AH21" s="24" t="s">
        <v>591</v>
      </c>
      <c r="AI21" s="24"/>
      <c r="AJ21" s="24" t="s">
        <v>592</v>
      </c>
    </row>
    <row r="22" spans="1:36" ht="14.5">
      <c r="A22" s="24"/>
      <c r="B22" s="24"/>
      <c r="C22" s="24"/>
      <c r="D22" s="24" t="s">
        <v>593</v>
      </c>
      <c r="E22" s="24" t="s">
        <v>594</v>
      </c>
      <c r="F22" s="24"/>
      <c r="G22" s="24" t="s">
        <v>595</v>
      </c>
      <c r="H22" s="24"/>
      <c r="I22" s="24"/>
      <c r="J22" s="24"/>
      <c r="K22" s="24"/>
      <c r="L22" s="24" t="s">
        <v>596</v>
      </c>
      <c r="M22" s="24"/>
      <c r="N22" s="24"/>
      <c r="O22" s="24"/>
      <c r="P22" s="24" t="s">
        <v>597</v>
      </c>
      <c r="Q22" s="24" t="s">
        <v>598</v>
      </c>
      <c r="R22" s="24"/>
      <c r="S22" s="24"/>
      <c r="T22" s="24" t="s">
        <v>599</v>
      </c>
      <c r="U22" s="24" t="s">
        <v>600</v>
      </c>
      <c r="V22" s="24"/>
      <c r="W22" s="24"/>
      <c r="X22" s="24"/>
      <c r="Y22" s="24"/>
      <c r="Z22" s="24" t="s">
        <v>601</v>
      </c>
      <c r="AA22" s="24"/>
      <c r="AB22" s="24" t="s">
        <v>602</v>
      </c>
      <c r="AC22" s="24" t="s">
        <v>603</v>
      </c>
      <c r="AD22" s="24"/>
      <c r="AE22" s="24" t="s">
        <v>604</v>
      </c>
      <c r="AF22" s="24" t="s">
        <v>605</v>
      </c>
      <c r="AG22" s="24"/>
      <c r="AH22" s="24" t="s">
        <v>606</v>
      </c>
      <c r="AI22" s="24"/>
      <c r="AJ22" s="24" t="s">
        <v>607</v>
      </c>
    </row>
    <row r="23" spans="1:36" ht="14.5">
      <c r="A23" s="24"/>
      <c r="B23" s="24"/>
      <c r="C23" s="24"/>
      <c r="D23" s="24" t="s">
        <v>608</v>
      </c>
      <c r="E23" s="24" t="s">
        <v>609</v>
      </c>
      <c r="F23" s="24"/>
      <c r="G23" s="24" t="s">
        <v>610</v>
      </c>
      <c r="H23" s="24"/>
      <c r="I23" s="24"/>
      <c r="J23" s="24"/>
      <c r="K23" s="24"/>
      <c r="L23" s="24" t="s">
        <v>611</v>
      </c>
      <c r="M23" s="24"/>
      <c r="N23" s="24"/>
      <c r="O23" s="24"/>
      <c r="P23" s="24" t="s">
        <v>612</v>
      </c>
      <c r="Q23" s="24" t="s">
        <v>613</v>
      </c>
      <c r="R23" s="24"/>
      <c r="S23" s="24"/>
      <c r="T23" s="24" t="s">
        <v>614</v>
      </c>
      <c r="U23" s="24" t="s">
        <v>615</v>
      </c>
      <c r="V23" s="24"/>
      <c r="W23" s="24"/>
      <c r="X23" s="24"/>
      <c r="Y23" s="24"/>
      <c r="Z23" s="24" t="s">
        <v>616</v>
      </c>
      <c r="AA23" s="24"/>
      <c r="AB23" s="24" t="s">
        <v>617</v>
      </c>
      <c r="AC23" s="24" t="s">
        <v>618</v>
      </c>
      <c r="AD23" s="24"/>
      <c r="AE23" s="24" t="s">
        <v>619</v>
      </c>
      <c r="AF23" s="24" t="s">
        <v>620</v>
      </c>
      <c r="AG23" s="24"/>
      <c r="AH23" s="24" t="s">
        <v>621</v>
      </c>
      <c r="AI23" s="24"/>
      <c r="AJ23" s="24" t="s">
        <v>622</v>
      </c>
    </row>
    <row r="24" spans="1:36" ht="14.5">
      <c r="A24" s="24"/>
      <c r="B24" s="24"/>
      <c r="C24" s="24"/>
      <c r="D24" s="24" t="s">
        <v>623</v>
      </c>
      <c r="E24" s="24" t="s">
        <v>624</v>
      </c>
      <c r="F24" s="24"/>
      <c r="G24" s="24"/>
      <c r="H24" s="24"/>
      <c r="I24" s="24"/>
      <c r="J24" s="24"/>
      <c r="K24" s="24"/>
      <c r="L24" s="24" t="s">
        <v>625</v>
      </c>
      <c r="M24" s="24"/>
      <c r="N24" s="24"/>
      <c r="O24" s="24"/>
      <c r="P24" s="24" t="s">
        <v>626</v>
      </c>
      <c r="Q24" s="24" t="s">
        <v>627</v>
      </c>
      <c r="R24" s="24"/>
      <c r="S24" s="24"/>
      <c r="T24" s="24" t="s">
        <v>628</v>
      </c>
      <c r="U24" s="24" t="s">
        <v>629</v>
      </c>
      <c r="V24" s="24"/>
      <c r="W24" s="24"/>
      <c r="X24" s="24"/>
      <c r="Y24" s="24"/>
      <c r="Z24" s="24" t="s">
        <v>630</v>
      </c>
      <c r="AA24" s="24"/>
      <c r="AB24" s="24" t="s">
        <v>631</v>
      </c>
      <c r="AC24" s="24" t="s">
        <v>632</v>
      </c>
      <c r="AD24" s="24"/>
      <c r="AE24" s="24" t="s">
        <v>633</v>
      </c>
      <c r="AF24" s="24"/>
      <c r="AG24" s="24"/>
      <c r="AH24" s="24" t="s">
        <v>634</v>
      </c>
      <c r="AI24" s="24"/>
      <c r="AJ24" s="24"/>
    </row>
    <row r="25" spans="1:36" ht="14.5">
      <c r="A25" s="24"/>
      <c r="B25" s="24"/>
      <c r="C25" s="24"/>
      <c r="D25" s="24" t="s">
        <v>635</v>
      </c>
      <c r="E25" s="24" t="s">
        <v>636</v>
      </c>
      <c r="F25" s="24"/>
      <c r="G25" s="24"/>
      <c r="H25" s="24"/>
      <c r="I25" s="24"/>
      <c r="J25" s="24"/>
      <c r="K25" s="24"/>
      <c r="L25" s="24" t="s">
        <v>637</v>
      </c>
      <c r="M25" s="24"/>
      <c r="N25" s="24"/>
      <c r="O25" s="24"/>
      <c r="P25" s="24" t="s">
        <v>638</v>
      </c>
      <c r="Q25" s="24" t="s">
        <v>639</v>
      </c>
      <c r="R25" s="24"/>
      <c r="S25" s="24"/>
      <c r="T25" s="24" t="s">
        <v>640</v>
      </c>
      <c r="U25" s="24" t="s">
        <v>641</v>
      </c>
      <c r="V25" s="24"/>
      <c r="W25" s="24"/>
      <c r="X25" s="24"/>
      <c r="Y25" s="24"/>
      <c r="Z25" s="24" t="s">
        <v>642</v>
      </c>
      <c r="AA25" s="24"/>
      <c r="AB25" s="24" t="s">
        <v>643</v>
      </c>
      <c r="AC25" s="24" t="s">
        <v>644</v>
      </c>
      <c r="AD25" s="24"/>
      <c r="AE25" s="24" t="s">
        <v>645</v>
      </c>
      <c r="AF25" s="24"/>
      <c r="AG25" s="24"/>
      <c r="AH25" s="24" t="s">
        <v>646</v>
      </c>
      <c r="AI25" s="24"/>
      <c r="AJ25" s="24"/>
    </row>
    <row r="26" spans="1:36" ht="14.5">
      <c r="A26" s="24"/>
      <c r="B26" s="24"/>
      <c r="C26" s="24"/>
      <c r="D26" s="24"/>
      <c r="E26" s="24" t="s">
        <v>647</v>
      </c>
      <c r="F26" s="24"/>
      <c r="G26" s="24"/>
      <c r="H26" s="24"/>
      <c r="I26" s="24"/>
      <c r="J26" s="24"/>
      <c r="K26" s="24"/>
      <c r="L26" s="24" t="s">
        <v>648</v>
      </c>
      <c r="M26" s="24"/>
      <c r="N26" s="24"/>
      <c r="O26" s="24"/>
      <c r="P26" s="24" t="s">
        <v>649</v>
      </c>
      <c r="Q26" s="24" t="s">
        <v>650</v>
      </c>
      <c r="R26" s="24"/>
      <c r="S26" s="24"/>
      <c r="T26" s="24" t="s">
        <v>651</v>
      </c>
      <c r="U26" s="24" t="s">
        <v>652</v>
      </c>
      <c r="V26" s="24"/>
      <c r="W26" s="24"/>
      <c r="X26" s="24"/>
      <c r="Y26" s="24"/>
      <c r="Z26" s="24" t="s">
        <v>653</v>
      </c>
      <c r="AA26" s="24"/>
      <c r="AB26" s="24"/>
      <c r="AC26" s="24" t="s">
        <v>654</v>
      </c>
      <c r="AD26" s="24"/>
      <c r="AE26" s="24" t="s">
        <v>655</v>
      </c>
      <c r="AF26" s="24"/>
      <c r="AG26" s="24"/>
      <c r="AH26" s="24" t="s">
        <v>656</v>
      </c>
      <c r="AI26" s="24"/>
      <c r="AJ26" s="24"/>
    </row>
    <row r="27" spans="1:36" ht="14.5">
      <c r="A27" s="24"/>
      <c r="B27" s="24"/>
      <c r="C27" s="24"/>
      <c r="D27" s="24"/>
      <c r="E27" s="24" t="s">
        <v>657</v>
      </c>
      <c r="F27" s="24"/>
      <c r="G27" s="24"/>
      <c r="H27" s="24"/>
      <c r="I27" s="24"/>
      <c r="J27" s="24"/>
      <c r="K27" s="24"/>
      <c r="L27" s="24" t="s">
        <v>658</v>
      </c>
      <c r="M27" s="24"/>
      <c r="N27" s="24"/>
      <c r="O27" s="24"/>
      <c r="P27" s="24"/>
      <c r="Q27" s="24" t="s">
        <v>659</v>
      </c>
      <c r="R27" s="24"/>
      <c r="S27" s="24"/>
      <c r="T27" s="24" t="s">
        <v>660</v>
      </c>
      <c r="U27" s="24" t="s">
        <v>661</v>
      </c>
      <c r="V27" s="24"/>
      <c r="W27" s="24"/>
      <c r="X27" s="24"/>
      <c r="Y27" s="24"/>
      <c r="Z27" s="24" t="s">
        <v>662</v>
      </c>
      <c r="AA27" s="24"/>
      <c r="AB27" s="24"/>
      <c r="AC27" s="24" t="s">
        <v>663</v>
      </c>
      <c r="AD27" s="24"/>
      <c r="AE27" s="24" t="s">
        <v>664</v>
      </c>
      <c r="AF27" s="24"/>
      <c r="AG27" s="24"/>
      <c r="AH27" s="24" t="s">
        <v>665</v>
      </c>
      <c r="AI27" s="24"/>
      <c r="AJ27" s="24"/>
    </row>
    <row r="28" spans="1:36" ht="14.5">
      <c r="A28" s="24"/>
      <c r="B28" s="24"/>
      <c r="C28" s="24"/>
      <c r="D28" s="24"/>
      <c r="E28" s="24" t="s">
        <v>666</v>
      </c>
      <c r="F28" s="24"/>
      <c r="G28" s="24"/>
      <c r="H28" s="24"/>
      <c r="I28" s="24"/>
      <c r="J28" s="24"/>
      <c r="K28" s="24"/>
      <c r="L28" s="24" t="s">
        <v>667</v>
      </c>
      <c r="M28" s="24"/>
      <c r="N28" s="24"/>
      <c r="O28" s="24"/>
      <c r="P28" s="24"/>
      <c r="Q28" s="24" t="s">
        <v>668</v>
      </c>
      <c r="R28" s="24"/>
      <c r="S28" s="24"/>
      <c r="T28" s="24" t="s">
        <v>669</v>
      </c>
      <c r="U28" s="24" t="s">
        <v>670</v>
      </c>
      <c r="V28" s="24"/>
      <c r="W28" s="24"/>
      <c r="X28" s="24"/>
      <c r="Y28" s="24"/>
      <c r="Z28" s="24" t="s">
        <v>671</v>
      </c>
      <c r="AA28" s="24"/>
      <c r="AB28" s="24"/>
      <c r="AC28" s="24" t="s">
        <v>672</v>
      </c>
      <c r="AD28" s="24"/>
      <c r="AE28" s="24" t="s">
        <v>673</v>
      </c>
      <c r="AF28" s="24"/>
      <c r="AG28" s="24"/>
      <c r="AH28" s="24" t="s">
        <v>674</v>
      </c>
      <c r="AI28" s="24"/>
      <c r="AJ28" s="24"/>
    </row>
    <row r="29" spans="1:36" ht="14.5">
      <c r="A29" s="24"/>
      <c r="B29" s="24"/>
      <c r="C29" s="24"/>
      <c r="D29" s="24"/>
      <c r="E29" s="24" t="s">
        <v>675</v>
      </c>
      <c r="F29" s="24"/>
      <c r="G29" s="24"/>
      <c r="H29" s="24"/>
      <c r="I29" s="24"/>
      <c r="J29" s="24"/>
      <c r="K29" s="24"/>
      <c r="L29" s="24" t="s">
        <v>676</v>
      </c>
      <c r="M29" s="24"/>
      <c r="N29" s="24"/>
      <c r="O29" s="24"/>
      <c r="P29" s="24"/>
      <c r="Q29" s="24" t="s">
        <v>677</v>
      </c>
      <c r="R29" s="24"/>
      <c r="S29" s="24"/>
      <c r="T29" s="24" t="s">
        <v>678</v>
      </c>
      <c r="U29" s="24" t="s">
        <v>679</v>
      </c>
      <c r="V29" s="24"/>
      <c r="W29" s="24"/>
      <c r="X29" s="24"/>
      <c r="Y29" s="24"/>
      <c r="Z29" s="24" t="s">
        <v>680</v>
      </c>
      <c r="AA29" s="24"/>
      <c r="AB29" s="24"/>
      <c r="AC29" s="24" t="s">
        <v>681</v>
      </c>
      <c r="AD29" s="24"/>
      <c r="AE29" s="24" t="s">
        <v>682</v>
      </c>
      <c r="AF29" s="24"/>
      <c r="AG29" s="24"/>
      <c r="AH29" s="24" t="s">
        <v>683</v>
      </c>
      <c r="AI29" s="24"/>
      <c r="AJ29" s="24"/>
    </row>
    <row r="30" spans="1:36" ht="14.5">
      <c r="A30" s="24"/>
      <c r="B30" s="24"/>
      <c r="C30" s="24"/>
      <c r="D30" s="24"/>
      <c r="E30" s="24" t="s">
        <v>684</v>
      </c>
      <c r="F30" s="24"/>
      <c r="G30" s="24"/>
      <c r="H30" s="24"/>
      <c r="I30" s="24"/>
      <c r="J30" s="24"/>
      <c r="K30" s="24"/>
      <c r="L30" s="24" t="s">
        <v>685</v>
      </c>
      <c r="M30" s="24"/>
      <c r="N30" s="24"/>
      <c r="O30" s="24"/>
      <c r="P30" s="24"/>
      <c r="Q30" s="24" t="s">
        <v>686</v>
      </c>
      <c r="R30" s="24"/>
      <c r="S30" s="24"/>
      <c r="T30" s="24" t="s">
        <v>687</v>
      </c>
      <c r="U30" s="24" t="s">
        <v>688</v>
      </c>
      <c r="V30" s="24"/>
      <c r="W30" s="24"/>
      <c r="X30" s="24"/>
      <c r="Y30" s="24"/>
      <c r="Z30" s="24" t="s">
        <v>689</v>
      </c>
      <c r="AA30" s="24"/>
      <c r="AB30" s="24"/>
      <c r="AC30" s="24" t="s">
        <v>690</v>
      </c>
      <c r="AD30" s="24"/>
      <c r="AE30" s="24" t="s">
        <v>691</v>
      </c>
      <c r="AF30" s="24"/>
      <c r="AG30" s="24"/>
      <c r="AH30" s="24" t="s">
        <v>692</v>
      </c>
      <c r="AI30" s="24"/>
      <c r="AJ30" s="24"/>
    </row>
    <row r="31" spans="1:36" ht="14.5">
      <c r="A31" s="24"/>
      <c r="B31" s="24"/>
      <c r="C31" s="24"/>
      <c r="D31" s="24"/>
      <c r="E31" s="24" t="s">
        <v>693</v>
      </c>
      <c r="F31" s="24"/>
      <c r="G31" s="24"/>
      <c r="H31" s="24"/>
      <c r="I31" s="24"/>
      <c r="J31" s="24"/>
      <c r="K31" s="24"/>
      <c r="L31" s="24" t="s">
        <v>694</v>
      </c>
      <c r="M31" s="24"/>
      <c r="N31" s="24"/>
      <c r="O31" s="24"/>
      <c r="P31" s="24"/>
      <c r="Q31" s="24" t="s">
        <v>695</v>
      </c>
      <c r="R31" s="24"/>
      <c r="S31" s="24"/>
      <c r="T31" s="24" t="s">
        <v>696</v>
      </c>
      <c r="U31" s="24" t="s">
        <v>697</v>
      </c>
      <c r="V31" s="24"/>
      <c r="W31" s="24"/>
      <c r="X31" s="24"/>
      <c r="Y31" s="24"/>
      <c r="Z31" s="24" t="s">
        <v>698</v>
      </c>
      <c r="AA31" s="24"/>
      <c r="AB31" s="24"/>
      <c r="AC31" s="24" t="s">
        <v>699</v>
      </c>
      <c r="AD31" s="24"/>
      <c r="AE31" s="24" t="s">
        <v>700</v>
      </c>
      <c r="AF31" s="24"/>
      <c r="AG31" s="24"/>
      <c r="AH31" s="24" t="s">
        <v>701</v>
      </c>
      <c r="AI31" s="24"/>
      <c r="AJ31" s="24"/>
    </row>
    <row r="32" spans="1:36" ht="14.5">
      <c r="A32" s="24"/>
      <c r="B32" s="24"/>
      <c r="C32" s="24"/>
      <c r="D32" s="24"/>
      <c r="E32" s="24" t="s">
        <v>702</v>
      </c>
      <c r="F32" s="24"/>
      <c r="G32" s="24"/>
      <c r="H32" s="24"/>
      <c r="I32" s="24"/>
      <c r="J32" s="24"/>
      <c r="K32" s="24"/>
      <c r="L32" s="24" t="s">
        <v>703</v>
      </c>
      <c r="M32" s="24"/>
      <c r="N32" s="24"/>
      <c r="O32" s="24"/>
      <c r="P32" s="24"/>
      <c r="Q32" s="24" t="s">
        <v>704</v>
      </c>
      <c r="R32" s="24"/>
      <c r="S32" s="24"/>
      <c r="T32" s="24" t="s">
        <v>705</v>
      </c>
      <c r="U32" s="24" t="s">
        <v>706</v>
      </c>
      <c r="V32" s="24"/>
      <c r="W32" s="24"/>
      <c r="X32" s="24"/>
      <c r="Y32" s="24"/>
      <c r="Z32" s="24" t="s">
        <v>707</v>
      </c>
      <c r="AA32" s="24"/>
      <c r="AB32" s="24"/>
      <c r="AC32" s="24" t="s">
        <v>708</v>
      </c>
      <c r="AD32" s="24"/>
      <c r="AE32" s="24" t="s">
        <v>709</v>
      </c>
      <c r="AF32" s="24"/>
      <c r="AG32" s="24"/>
      <c r="AH32" s="24" t="s">
        <v>710</v>
      </c>
      <c r="AI32" s="24"/>
      <c r="AJ32" s="24"/>
    </row>
    <row r="33" spans="1:36" ht="14.5">
      <c r="A33" s="24"/>
      <c r="B33" s="24"/>
      <c r="C33" s="24"/>
      <c r="D33" s="24"/>
      <c r="E33" s="24" t="s">
        <v>711</v>
      </c>
      <c r="F33" s="24"/>
      <c r="G33" s="24"/>
      <c r="H33" s="24"/>
      <c r="I33" s="24"/>
      <c r="J33" s="24"/>
      <c r="K33" s="24"/>
      <c r="L33" s="24"/>
      <c r="M33" s="24"/>
      <c r="N33" s="24"/>
      <c r="O33" s="24"/>
      <c r="P33" s="24"/>
      <c r="Q33" s="24" t="s">
        <v>712</v>
      </c>
      <c r="R33" s="24"/>
      <c r="S33" s="24"/>
      <c r="T33" s="24" t="s">
        <v>713</v>
      </c>
      <c r="U33" s="24" t="s">
        <v>714</v>
      </c>
      <c r="V33" s="24"/>
      <c r="W33" s="24"/>
      <c r="X33" s="24"/>
      <c r="Y33" s="24"/>
      <c r="Z33" s="24" t="s">
        <v>715</v>
      </c>
      <c r="AA33" s="24"/>
      <c r="AB33" s="24"/>
      <c r="AC33" s="24" t="s">
        <v>716</v>
      </c>
      <c r="AD33" s="24"/>
      <c r="AE33" s="24" t="s">
        <v>717</v>
      </c>
      <c r="AF33" s="24"/>
      <c r="AG33" s="24"/>
      <c r="AH33" s="24" t="s">
        <v>718</v>
      </c>
      <c r="AI33" s="24"/>
      <c r="AJ33" s="24"/>
    </row>
    <row r="34" spans="1:36" ht="14.5">
      <c r="A34" s="24"/>
      <c r="B34" s="24"/>
      <c r="C34" s="24"/>
      <c r="D34" s="24"/>
      <c r="E34" s="24" t="s">
        <v>719</v>
      </c>
      <c r="F34" s="24"/>
      <c r="G34" s="24"/>
      <c r="H34" s="24"/>
      <c r="I34" s="24"/>
      <c r="J34" s="24"/>
      <c r="K34" s="24"/>
      <c r="L34" s="24"/>
      <c r="M34" s="24"/>
      <c r="N34" s="24"/>
      <c r="O34" s="24"/>
      <c r="P34" s="24"/>
      <c r="Q34" s="24" t="s">
        <v>720</v>
      </c>
      <c r="R34" s="24"/>
      <c r="S34" s="24"/>
      <c r="T34" s="24" t="s">
        <v>721</v>
      </c>
      <c r="U34" s="24" t="s">
        <v>722</v>
      </c>
      <c r="V34" s="24"/>
      <c r="W34" s="24"/>
      <c r="X34" s="24"/>
      <c r="Y34" s="24"/>
      <c r="Z34" s="24" t="s">
        <v>723</v>
      </c>
      <c r="AA34" s="24"/>
      <c r="AB34" s="24"/>
      <c r="AC34" s="24" t="s">
        <v>724</v>
      </c>
      <c r="AD34" s="24"/>
      <c r="AE34" s="24" t="s">
        <v>725</v>
      </c>
      <c r="AF34" s="24"/>
      <c r="AG34" s="24"/>
      <c r="AH34" s="24" t="s">
        <v>726</v>
      </c>
      <c r="AI34" s="24"/>
      <c r="AJ34" s="24"/>
    </row>
    <row r="35" spans="1:36" ht="14.5">
      <c r="A35" s="24"/>
      <c r="B35" s="24"/>
      <c r="C35" s="24"/>
      <c r="D35" s="24"/>
      <c r="E35" s="24" t="s">
        <v>727</v>
      </c>
      <c r="F35" s="24"/>
      <c r="G35" s="24"/>
      <c r="H35" s="24"/>
      <c r="I35" s="24"/>
      <c r="J35" s="24"/>
      <c r="K35" s="24"/>
      <c r="L35" s="24"/>
      <c r="M35" s="24"/>
      <c r="N35" s="24"/>
      <c r="O35" s="24"/>
      <c r="P35" s="24"/>
      <c r="Q35" s="24" t="s">
        <v>728</v>
      </c>
      <c r="R35" s="24"/>
      <c r="S35" s="24"/>
      <c r="T35" s="24" t="s">
        <v>729</v>
      </c>
      <c r="U35" s="24" t="s">
        <v>730</v>
      </c>
      <c r="V35" s="24"/>
      <c r="W35" s="24"/>
      <c r="X35" s="24"/>
      <c r="Y35" s="24"/>
      <c r="Z35" s="24"/>
      <c r="AA35" s="24"/>
      <c r="AB35" s="24"/>
      <c r="AC35" s="24" t="s">
        <v>731</v>
      </c>
      <c r="AD35" s="24"/>
      <c r="AE35" s="24"/>
      <c r="AF35" s="24"/>
      <c r="AG35" s="24"/>
      <c r="AH35" s="24" t="s">
        <v>732</v>
      </c>
      <c r="AI35" s="24"/>
      <c r="AJ35" s="24"/>
    </row>
    <row r="36" spans="1:36" ht="14.5">
      <c r="A36" s="24"/>
      <c r="B36" s="24"/>
      <c r="C36" s="24"/>
      <c r="D36" s="24"/>
      <c r="E36" s="24" t="s">
        <v>733</v>
      </c>
      <c r="F36" s="24"/>
      <c r="G36" s="24"/>
      <c r="H36" s="24"/>
      <c r="I36" s="24"/>
      <c r="J36" s="24"/>
      <c r="K36" s="24"/>
      <c r="L36" s="24"/>
      <c r="M36" s="24"/>
      <c r="N36" s="24"/>
      <c r="O36" s="24"/>
      <c r="P36" s="24"/>
      <c r="Q36" s="24" t="s">
        <v>734</v>
      </c>
      <c r="R36" s="24"/>
      <c r="S36" s="24"/>
      <c r="T36" s="24" t="s">
        <v>735</v>
      </c>
      <c r="U36" s="24" t="s">
        <v>736</v>
      </c>
      <c r="V36" s="24"/>
      <c r="W36" s="24"/>
      <c r="X36" s="24"/>
      <c r="Y36" s="24"/>
      <c r="Z36" s="24"/>
      <c r="AA36" s="24"/>
      <c r="AB36" s="24"/>
      <c r="AC36" s="24" t="s">
        <v>737</v>
      </c>
      <c r="AD36" s="24"/>
      <c r="AE36" s="24"/>
      <c r="AF36" s="24"/>
      <c r="AG36" s="24"/>
      <c r="AH36" s="24" t="s">
        <v>738</v>
      </c>
      <c r="AI36" s="24"/>
      <c r="AJ36" s="24"/>
    </row>
    <row r="37" spans="1:36" ht="14.5">
      <c r="A37" s="24"/>
      <c r="B37" s="24"/>
      <c r="C37" s="24"/>
      <c r="D37" s="24"/>
      <c r="E37" s="24" t="s">
        <v>739</v>
      </c>
      <c r="F37" s="24"/>
      <c r="G37" s="24"/>
      <c r="H37" s="24"/>
      <c r="I37" s="24"/>
      <c r="J37" s="24"/>
      <c r="K37" s="24"/>
      <c r="L37" s="24"/>
      <c r="M37" s="24"/>
      <c r="N37" s="24"/>
      <c r="O37" s="24"/>
      <c r="P37" s="24"/>
      <c r="Q37" s="24" t="s">
        <v>740</v>
      </c>
      <c r="R37" s="24"/>
      <c r="S37" s="24"/>
      <c r="T37" s="24" t="s">
        <v>741</v>
      </c>
      <c r="U37" s="24"/>
      <c r="V37" s="24"/>
      <c r="W37" s="24"/>
      <c r="X37" s="24"/>
      <c r="Y37" s="24"/>
      <c r="Z37" s="24"/>
      <c r="AA37" s="24"/>
      <c r="AB37" s="24"/>
      <c r="AC37" s="24"/>
      <c r="AD37" s="24"/>
      <c r="AE37" s="24"/>
      <c r="AF37" s="24"/>
      <c r="AG37" s="24"/>
      <c r="AH37" s="24" t="s">
        <v>742</v>
      </c>
      <c r="AI37" s="24"/>
      <c r="AJ37" s="24"/>
    </row>
    <row r="38" spans="1:36" ht="14.5">
      <c r="A38" s="24"/>
      <c r="B38" s="24"/>
      <c r="C38" s="24"/>
      <c r="D38" s="24"/>
      <c r="E38" s="24" t="s">
        <v>743</v>
      </c>
      <c r="F38" s="24"/>
      <c r="G38" s="24"/>
      <c r="H38" s="24"/>
      <c r="I38" s="24"/>
      <c r="J38" s="24"/>
      <c r="K38" s="24"/>
      <c r="L38" s="24"/>
      <c r="M38" s="24"/>
      <c r="N38" s="24"/>
      <c r="O38" s="24"/>
      <c r="P38" s="24"/>
      <c r="Q38" s="24"/>
      <c r="R38" s="24"/>
      <c r="S38" s="24"/>
      <c r="T38" s="24" t="s">
        <v>744</v>
      </c>
      <c r="U38" s="24"/>
      <c r="V38" s="24"/>
      <c r="W38" s="24"/>
      <c r="X38" s="24"/>
      <c r="Y38" s="24"/>
      <c r="Z38" s="24"/>
      <c r="AA38" s="24"/>
      <c r="AB38" s="24"/>
      <c r="AC38" s="24"/>
      <c r="AD38" s="24"/>
      <c r="AE38" s="24"/>
      <c r="AF38" s="24"/>
      <c r="AG38" s="24"/>
      <c r="AH38" s="24" t="s">
        <v>745</v>
      </c>
      <c r="AI38" s="24"/>
      <c r="AJ38" s="24"/>
    </row>
    <row r="39" spans="1:36" ht="14.5">
      <c r="A39" s="24"/>
      <c r="B39" s="24"/>
      <c r="C39" s="24"/>
      <c r="D39" s="24"/>
      <c r="E39" s="24" t="s">
        <v>746</v>
      </c>
      <c r="F39" s="24"/>
      <c r="G39" s="24"/>
      <c r="H39" s="24"/>
      <c r="I39" s="24"/>
      <c r="J39" s="24"/>
      <c r="K39" s="24"/>
      <c r="L39" s="24"/>
      <c r="M39" s="24"/>
      <c r="N39" s="24"/>
      <c r="O39" s="24"/>
      <c r="P39" s="24"/>
      <c r="Q39" s="24"/>
      <c r="R39" s="24"/>
      <c r="S39" s="24"/>
      <c r="T39" s="24" t="s">
        <v>747</v>
      </c>
      <c r="U39" s="24"/>
      <c r="V39" s="24"/>
      <c r="W39" s="24"/>
      <c r="X39" s="24"/>
      <c r="Y39" s="24"/>
      <c r="Z39" s="24"/>
      <c r="AA39" s="24"/>
      <c r="AB39" s="24"/>
      <c r="AC39" s="24"/>
      <c r="AD39" s="24"/>
      <c r="AE39" s="24"/>
      <c r="AF39" s="24"/>
      <c r="AG39" s="24"/>
      <c r="AH39" s="24" t="s">
        <v>748</v>
      </c>
      <c r="AI39" s="24"/>
      <c r="AJ39" s="24"/>
    </row>
    <row r="40" spans="1:36" ht="14.5">
      <c r="A40" s="24"/>
      <c r="B40" s="24"/>
      <c r="C40" s="24"/>
      <c r="D40" s="24"/>
      <c r="E40" s="24" t="s">
        <v>749</v>
      </c>
      <c r="F40" s="24"/>
      <c r="G40" s="24"/>
      <c r="H40" s="24"/>
      <c r="I40" s="24"/>
      <c r="J40" s="24"/>
      <c r="K40" s="24"/>
      <c r="L40" s="24"/>
      <c r="M40" s="24"/>
      <c r="N40" s="24"/>
      <c r="O40" s="24"/>
      <c r="P40" s="24"/>
      <c r="Q40" s="24"/>
      <c r="R40" s="24"/>
      <c r="S40" s="24"/>
      <c r="T40" s="24" t="s">
        <v>750</v>
      </c>
      <c r="U40" s="24"/>
      <c r="V40" s="24"/>
      <c r="W40" s="24"/>
      <c r="X40" s="24"/>
      <c r="Y40" s="24"/>
      <c r="Z40" s="24"/>
      <c r="AA40" s="24"/>
      <c r="AB40" s="24"/>
      <c r="AC40" s="24"/>
      <c r="AD40" s="24"/>
      <c r="AE40" s="24"/>
      <c r="AF40" s="24"/>
      <c r="AG40" s="24"/>
      <c r="AH40" s="24" t="s">
        <v>751</v>
      </c>
      <c r="AI40" s="24"/>
      <c r="AJ40" s="24"/>
    </row>
    <row r="41" spans="1:36" ht="14.5">
      <c r="A41" s="24"/>
      <c r="B41" s="24"/>
      <c r="C41" s="24"/>
      <c r="D41" s="24"/>
      <c r="E41" s="24"/>
      <c r="F41" s="24"/>
      <c r="G41" s="24"/>
      <c r="H41" s="24"/>
      <c r="I41" s="24"/>
      <c r="J41" s="24"/>
      <c r="K41" s="24"/>
      <c r="L41" s="24"/>
      <c r="M41" s="24"/>
      <c r="N41" s="24"/>
      <c r="O41" s="24"/>
      <c r="P41" s="24"/>
      <c r="Q41" s="24"/>
      <c r="R41" s="24"/>
      <c r="S41" s="24"/>
      <c r="T41" s="24" t="s">
        <v>752</v>
      </c>
      <c r="U41" s="24"/>
      <c r="V41" s="24"/>
      <c r="W41" s="24"/>
      <c r="X41" s="24"/>
      <c r="Y41" s="24"/>
      <c r="Z41" s="24"/>
      <c r="AA41" s="24"/>
      <c r="AB41" s="24"/>
      <c r="AC41" s="24"/>
      <c r="AD41" s="24"/>
      <c r="AE41" s="24"/>
      <c r="AF41" s="24"/>
      <c r="AG41" s="24"/>
      <c r="AH41" s="24" t="s">
        <v>753</v>
      </c>
      <c r="AI41" s="24"/>
      <c r="AJ41" s="24"/>
    </row>
    <row r="42" spans="1:36" ht="14.5">
      <c r="A42" s="24"/>
      <c r="B42" s="24"/>
      <c r="C42" s="24"/>
      <c r="D42" s="24"/>
      <c r="E42" s="24"/>
      <c r="F42" s="24"/>
      <c r="G42" s="24"/>
      <c r="H42" s="24"/>
      <c r="I42" s="24"/>
      <c r="J42" s="24"/>
      <c r="K42" s="24"/>
      <c r="L42" s="24"/>
      <c r="M42" s="24"/>
      <c r="N42" s="24"/>
      <c r="O42" s="24"/>
      <c r="P42" s="24"/>
      <c r="Q42" s="24"/>
      <c r="R42" s="24"/>
      <c r="S42" s="24"/>
      <c r="T42" s="24" t="s">
        <v>754</v>
      </c>
      <c r="U42" s="24"/>
      <c r="V42" s="24"/>
      <c r="W42" s="24"/>
      <c r="X42" s="24"/>
      <c r="Y42" s="24"/>
      <c r="Z42" s="24"/>
      <c r="AA42" s="24"/>
      <c r="AB42" s="24"/>
      <c r="AC42" s="24"/>
      <c r="AD42" s="24"/>
      <c r="AE42" s="24"/>
      <c r="AF42" s="24"/>
      <c r="AG42" s="24"/>
      <c r="AH42" s="24" t="s">
        <v>755</v>
      </c>
      <c r="AI42" s="24"/>
      <c r="AJ42" s="24"/>
    </row>
    <row r="43" spans="1:36" ht="14.5">
      <c r="A43" s="24"/>
      <c r="B43" s="24"/>
      <c r="C43" s="24"/>
      <c r="D43" s="24"/>
      <c r="E43" s="24"/>
      <c r="F43" s="24"/>
      <c r="G43" s="24"/>
      <c r="H43" s="24"/>
      <c r="I43" s="24"/>
      <c r="J43" s="24"/>
      <c r="K43" s="24"/>
      <c r="L43" s="24"/>
      <c r="M43" s="24"/>
      <c r="N43" s="24"/>
      <c r="O43" s="24"/>
      <c r="P43" s="24"/>
      <c r="Q43" s="24"/>
      <c r="R43" s="24"/>
      <c r="S43" s="24"/>
      <c r="T43" s="24" t="s">
        <v>756</v>
      </c>
      <c r="U43" s="24"/>
      <c r="V43" s="24"/>
      <c r="W43" s="24"/>
      <c r="X43" s="24"/>
      <c r="Y43" s="24"/>
      <c r="Z43" s="24"/>
      <c r="AA43" s="24"/>
      <c r="AB43" s="24"/>
      <c r="AC43" s="24"/>
      <c r="AD43" s="24"/>
      <c r="AE43" s="24"/>
      <c r="AF43" s="24"/>
      <c r="AG43" s="24"/>
      <c r="AH43" s="24" t="s">
        <v>757</v>
      </c>
      <c r="AI43" s="24"/>
      <c r="AJ43" s="24"/>
    </row>
    <row r="44" spans="1:36" ht="14.5">
      <c r="A44" s="24"/>
      <c r="B44" s="24"/>
      <c r="C44" s="24"/>
      <c r="D44" s="24"/>
      <c r="E44" s="24"/>
      <c r="F44" s="24"/>
      <c r="G44" s="24"/>
      <c r="H44" s="24"/>
      <c r="I44" s="24"/>
      <c r="J44" s="24"/>
      <c r="K44" s="24"/>
      <c r="L44" s="24"/>
      <c r="M44" s="24"/>
      <c r="N44" s="24"/>
      <c r="O44" s="24"/>
      <c r="P44" s="24"/>
      <c r="Q44" s="24"/>
      <c r="R44" s="24"/>
      <c r="S44" s="24"/>
      <c r="T44" s="24" t="s">
        <v>758</v>
      </c>
      <c r="U44" s="24"/>
      <c r="V44" s="24"/>
      <c r="W44" s="24"/>
      <c r="X44" s="24"/>
      <c r="Y44" s="24"/>
      <c r="Z44" s="24"/>
      <c r="AA44" s="24"/>
      <c r="AB44" s="24"/>
      <c r="AC44" s="24"/>
      <c r="AD44" s="24"/>
      <c r="AE44" s="24"/>
      <c r="AF44" s="24"/>
      <c r="AG44" s="24"/>
      <c r="AH44" s="24" t="s">
        <v>759</v>
      </c>
      <c r="AI44" s="24"/>
      <c r="AJ44" s="24"/>
    </row>
    <row r="45" spans="1:36" ht="14.5">
      <c r="A45" s="24"/>
      <c r="B45" s="24"/>
      <c r="C45" s="24"/>
      <c r="D45" s="24"/>
      <c r="E45" s="24"/>
      <c r="F45" s="24"/>
      <c r="G45" s="24"/>
      <c r="H45" s="24"/>
      <c r="I45" s="24"/>
      <c r="J45" s="24"/>
      <c r="K45" s="24"/>
      <c r="L45" s="24"/>
      <c r="M45" s="24"/>
      <c r="N45" s="24"/>
      <c r="O45" s="24"/>
      <c r="P45" s="24"/>
      <c r="Q45" s="24"/>
      <c r="R45" s="24"/>
      <c r="S45" s="24"/>
      <c r="T45" s="24" t="s">
        <v>760</v>
      </c>
      <c r="U45" s="24"/>
      <c r="V45" s="24"/>
      <c r="W45" s="24"/>
      <c r="X45" s="24"/>
      <c r="Y45" s="24"/>
      <c r="Z45" s="24"/>
      <c r="AA45" s="24"/>
      <c r="AB45" s="24"/>
      <c r="AC45" s="24"/>
      <c r="AD45" s="24"/>
      <c r="AE45" s="24"/>
      <c r="AF45" s="24"/>
      <c r="AG45" s="24"/>
      <c r="AH45" s="24" t="s">
        <v>761</v>
      </c>
      <c r="AI45" s="24"/>
      <c r="AJ45" s="24"/>
    </row>
    <row r="46" spans="1:36" ht="14.5">
      <c r="A46" s="24"/>
      <c r="B46" s="24"/>
      <c r="C46" s="24"/>
      <c r="D46" s="24"/>
      <c r="E46" s="24"/>
      <c r="F46" s="24"/>
      <c r="G46" s="24"/>
      <c r="H46" s="24"/>
      <c r="I46" s="24"/>
      <c r="J46" s="24"/>
      <c r="K46" s="24"/>
      <c r="L46" s="24"/>
      <c r="M46" s="24"/>
      <c r="N46" s="24"/>
      <c r="O46" s="24"/>
      <c r="P46" s="24"/>
      <c r="Q46" s="24"/>
      <c r="R46" s="24"/>
      <c r="S46" s="24"/>
      <c r="T46" s="24" t="s">
        <v>762</v>
      </c>
      <c r="U46" s="24"/>
      <c r="V46" s="24"/>
      <c r="W46" s="24"/>
      <c r="X46" s="24"/>
      <c r="Y46" s="24"/>
      <c r="Z46" s="24"/>
      <c r="AA46" s="24"/>
      <c r="AB46" s="24"/>
      <c r="AC46" s="24"/>
      <c r="AD46" s="24"/>
      <c r="AE46" s="24"/>
      <c r="AF46" s="24"/>
      <c r="AG46" s="24"/>
      <c r="AH46" s="24" t="s">
        <v>763</v>
      </c>
      <c r="AI46" s="24"/>
      <c r="AJ46" s="24"/>
    </row>
    <row r="47" spans="1:36" ht="14.5">
      <c r="A47" s="24"/>
      <c r="B47" s="24"/>
      <c r="C47" s="24"/>
      <c r="D47" s="24"/>
      <c r="E47" s="24"/>
      <c r="F47" s="24"/>
      <c r="G47" s="24"/>
      <c r="H47" s="24"/>
      <c r="I47" s="24"/>
      <c r="J47" s="24"/>
      <c r="K47" s="24"/>
      <c r="L47" s="24"/>
      <c r="M47" s="24"/>
      <c r="N47" s="24"/>
      <c r="O47" s="24"/>
      <c r="P47" s="24"/>
      <c r="Q47" s="24"/>
      <c r="R47" s="24"/>
      <c r="S47" s="24"/>
      <c r="T47" s="24" t="s">
        <v>764</v>
      </c>
      <c r="U47" s="24"/>
      <c r="V47" s="24"/>
      <c r="W47" s="24"/>
      <c r="X47" s="24"/>
      <c r="Y47" s="24"/>
      <c r="Z47" s="24"/>
      <c r="AA47" s="24"/>
      <c r="AB47" s="24"/>
      <c r="AC47" s="24"/>
      <c r="AD47" s="24"/>
      <c r="AE47" s="24"/>
      <c r="AF47" s="24"/>
      <c r="AG47" s="24"/>
      <c r="AH47" s="24" t="s">
        <v>765</v>
      </c>
      <c r="AI47" s="24"/>
      <c r="AJ47" s="24"/>
    </row>
    <row r="48" spans="1:36" ht="14.5">
      <c r="A48" s="24"/>
      <c r="B48" s="24"/>
      <c r="C48" s="24"/>
      <c r="D48" s="24"/>
      <c r="E48" s="24"/>
      <c r="F48" s="24"/>
      <c r="G48" s="24"/>
      <c r="H48" s="24"/>
      <c r="I48" s="24"/>
      <c r="J48" s="24"/>
      <c r="K48" s="24"/>
      <c r="L48" s="24"/>
      <c r="M48" s="24"/>
      <c r="N48" s="24"/>
      <c r="O48" s="24"/>
      <c r="P48" s="24"/>
      <c r="Q48" s="24"/>
      <c r="R48" s="24"/>
      <c r="S48" s="24"/>
      <c r="T48" s="24" t="s">
        <v>766</v>
      </c>
      <c r="U48" s="24"/>
      <c r="V48" s="24"/>
      <c r="W48" s="24"/>
      <c r="X48" s="24"/>
      <c r="Y48" s="24"/>
      <c r="Z48" s="24"/>
      <c r="AA48" s="24"/>
      <c r="AB48" s="24"/>
      <c r="AC48" s="24"/>
      <c r="AD48" s="24"/>
      <c r="AE48" s="24"/>
      <c r="AF48" s="24"/>
      <c r="AG48" s="24"/>
      <c r="AH48" s="24" t="s">
        <v>767</v>
      </c>
      <c r="AI48" s="24"/>
      <c r="AJ48" s="24"/>
    </row>
    <row r="49" spans="1:36" ht="14.5">
      <c r="A49" s="24"/>
      <c r="B49" s="24"/>
      <c r="C49" s="24"/>
      <c r="D49" s="24"/>
      <c r="E49" s="24"/>
      <c r="F49" s="24"/>
      <c r="G49" s="24"/>
      <c r="H49" s="24"/>
      <c r="I49" s="24"/>
      <c r="J49" s="24"/>
      <c r="K49" s="24"/>
      <c r="L49" s="24"/>
      <c r="M49" s="24"/>
      <c r="N49" s="24"/>
      <c r="O49" s="24"/>
      <c r="P49" s="24"/>
      <c r="Q49" s="24"/>
      <c r="R49" s="24"/>
      <c r="S49" s="24"/>
      <c r="T49" s="24" t="s">
        <v>768</v>
      </c>
      <c r="U49" s="24"/>
      <c r="V49" s="24"/>
      <c r="W49" s="24"/>
      <c r="X49" s="24"/>
      <c r="Y49" s="24"/>
      <c r="Z49" s="24"/>
      <c r="AA49" s="24"/>
      <c r="AB49" s="24"/>
      <c r="AC49" s="24"/>
      <c r="AD49" s="24"/>
      <c r="AE49" s="24"/>
      <c r="AF49" s="24"/>
      <c r="AG49" s="24"/>
      <c r="AH49" s="24" t="s">
        <v>769</v>
      </c>
      <c r="AI49" s="24"/>
      <c r="AJ49" s="24"/>
    </row>
    <row r="50" spans="1:36" ht="14.5">
      <c r="A50" s="24"/>
      <c r="B50" s="24"/>
      <c r="C50" s="24"/>
      <c r="D50" s="24"/>
      <c r="E50" s="24"/>
      <c r="F50" s="24"/>
      <c r="G50" s="24"/>
      <c r="H50" s="24"/>
      <c r="I50" s="24"/>
      <c r="J50" s="24"/>
      <c r="K50" s="24"/>
      <c r="L50" s="24"/>
      <c r="M50" s="24"/>
      <c r="N50" s="24"/>
      <c r="O50" s="24"/>
      <c r="P50" s="24"/>
      <c r="Q50" s="24"/>
      <c r="R50" s="24"/>
      <c r="S50" s="24"/>
      <c r="T50" s="24" t="s">
        <v>770</v>
      </c>
      <c r="U50" s="24"/>
      <c r="V50" s="24"/>
      <c r="W50" s="24"/>
      <c r="X50" s="24"/>
      <c r="Y50" s="24"/>
      <c r="Z50" s="24"/>
      <c r="AA50" s="24"/>
      <c r="AB50" s="24"/>
      <c r="AC50" s="24"/>
      <c r="AD50" s="24"/>
      <c r="AE50" s="24"/>
      <c r="AF50" s="24"/>
      <c r="AG50" s="24"/>
      <c r="AH50" s="24" t="s">
        <v>771</v>
      </c>
      <c r="AI50" s="24"/>
      <c r="AJ50" s="24"/>
    </row>
    <row r="51" spans="1:36" ht="14.5">
      <c r="A51" s="24"/>
      <c r="B51" s="24"/>
      <c r="C51" s="24"/>
      <c r="D51" s="24"/>
      <c r="E51" s="24"/>
      <c r="F51" s="24"/>
      <c r="G51" s="24"/>
      <c r="H51" s="24"/>
      <c r="I51" s="24"/>
      <c r="J51" s="24"/>
      <c r="K51" s="24"/>
      <c r="L51" s="24"/>
      <c r="M51" s="24"/>
      <c r="N51" s="24"/>
      <c r="O51" s="24"/>
      <c r="P51" s="24"/>
      <c r="Q51" s="24"/>
      <c r="R51" s="24"/>
      <c r="S51" s="24"/>
      <c r="T51" s="24" t="s">
        <v>772</v>
      </c>
      <c r="U51" s="24"/>
      <c r="V51" s="24"/>
      <c r="W51" s="24"/>
      <c r="X51" s="24"/>
      <c r="Y51" s="24"/>
      <c r="Z51" s="24"/>
      <c r="AA51" s="24"/>
      <c r="AB51" s="24"/>
      <c r="AC51" s="24"/>
      <c r="AD51" s="24"/>
      <c r="AE51" s="24"/>
      <c r="AF51" s="24"/>
      <c r="AG51" s="24"/>
      <c r="AH51" s="24" t="s">
        <v>773</v>
      </c>
      <c r="AI51" s="24"/>
      <c r="AJ51" s="24"/>
    </row>
    <row r="52" spans="1:36" ht="14.5">
      <c r="A52" s="24"/>
      <c r="B52" s="24"/>
      <c r="C52" s="24"/>
      <c r="D52" s="24"/>
      <c r="E52" s="24"/>
      <c r="F52" s="24"/>
      <c r="G52" s="24"/>
      <c r="H52" s="24"/>
      <c r="I52" s="24"/>
      <c r="J52" s="24"/>
      <c r="K52" s="24"/>
      <c r="L52" s="24"/>
      <c r="M52" s="24"/>
      <c r="N52" s="24"/>
      <c r="O52" s="24"/>
      <c r="P52" s="24"/>
      <c r="Q52" s="24"/>
      <c r="R52" s="24"/>
      <c r="S52" s="24"/>
      <c r="T52" s="24" t="s">
        <v>774</v>
      </c>
      <c r="U52" s="24"/>
      <c r="V52" s="24"/>
      <c r="W52" s="24"/>
      <c r="X52" s="24"/>
      <c r="Y52" s="24"/>
      <c r="Z52" s="24"/>
      <c r="AA52" s="24"/>
      <c r="AB52" s="24"/>
      <c r="AC52" s="24"/>
      <c r="AD52" s="24"/>
      <c r="AE52" s="24"/>
      <c r="AF52" s="24"/>
      <c r="AG52" s="24"/>
      <c r="AH52" s="24" t="s">
        <v>775</v>
      </c>
      <c r="AI52" s="24"/>
      <c r="AJ52" s="24"/>
    </row>
    <row r="53" spans="1:36" ht="14.5">
      <c r="A53" s="24"/>
      <c r="B53" s="24"/>
      <c r="C53" s="24"/>
      <c r="D53" s="24"/>
      <c r="E53" s="24"/>
      <c r="F53" s="24"/>
      <c r="G53" s="24"/>
      <c r="H53" s="24"/>
      <c r="I53" s="24"/>
      <c r="J53" s="24"/>
      <c r="K53" s="24"/>
      <c r="L53" s="24"/>
      <c r="M53" s="24"/>
      <c r="N53" s="24"/>
      <c r="O53" s="24"/>
      <c r="P53" s="24"/>
      <c r="Q53" s="24"/>
      <c r="R53" s="24"/>
      <c r="S53" s="24"/>
      <c r="T53" s="24" t="s">
        <v>776</v>
      </c>
      <c r="U53" s="24"/>
      <c r="V53" s="24"/>
      <c r="W53" s="24"/>
      <c r="X53" s="24"/>
      <c r="Y53" s="24"/>
      <c r="Z53" s="24"/>
      <c r="AA53" s="24"/>
      <c r="AB53" s="24"/>
      <c r="AC53" s="24"/>
      <c r="AD53" s="24"/>
      <c r="AE53" s="24"/>
      <c r="AF53" s="24"/>
      <c r="AG53" s="24"/>
      <c r="AH53" s="24" t="s">
        <v>777</v>
      </c>
      <c r="AI53" s="24"/>
      <c r="AJ53" s="24"/>
    </row>
    <row r="54" spans="1:36" ht="14.5">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t="s">
        <v>778</v>
      </c>
      <c r="AI54" s="24"/>
      <c r="AJ54" s="24"/>
    </row>
    <row r="55" spans="1:36" ht="14.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t="s">
        <v>779</v>
      </c>
      <c r="AI55" s="24"/>
      <c r="AJ55" s="24"/>
    </row>
    <row r="56" spans="1:36" ht="14.5">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t="s">
        <v>780</v>
      </c>
      <c r="AI56" s="24"/>
      <c r="AJ56" s="24"/>
    </row>
    <row r="57" spans="1:36" ht="14.5">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t="s">
        <v>781</v>
      </c>
      <c r="AI57" s="24"/>
      <c r="AJ57" s="24"/>
    </row>
    <row r="58" spans="1:36" ht="14.5">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t="s">
        <v>782</v>
      </c>
      <c r="AI58" s="24"/>
      <c r="AJ58" s="24"/>
    </row>
    <row r="59" spans="1:36" ht="14.5">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t="s">
        <v>783</v>
      </c>
      <c r="AI59" s="24"/>
      <c r="AJ59" s="24"/>
    </row>
    <row r="60" spans="1:36" ht="14.5">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t="s">
        <v>784</v>
      </c>
      <c r="AI60" s="24"/>
      <c r="AJ60" s="24"/>
    </row>
    <row r="61" spans="1:36" ht="14.5">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t="s">
        <v>785</v>
      </c>
      <c r="AI61" s="24"/>
      <c r="AJ61" s="24"/>
    </row>
    <row r="62" spans="1:36" ht="14.5">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t="s">
        <v>786</v>
      </c>
      <c r="AI62" s="24"/>
      <c r="AJ62" s="24"/>
    </row>
    <row r="63" spans="1:36" ht="14.5">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t="s">
        <v>787</v>
      </c>
      <c r="AI63" s="24"/>
      <c r="AJ63" s="24"/>
    </row>
    <row r="64" spans="1:36" ht="14.5">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t="s">
        <v>788</v>
      </c>
      <c r="AI64" s="24"/>
      <c r="AJ64" s="24"/>
    </row>
    <row r="65" spans="1:36" ht="14.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t="s">
        <v>789</v>
      </c>
      <c r="AI65" s="24"/>
      <c r="AJ65" s="24"/>
    </row>
    <row r="66" spans="1:36" ht="14.5">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t="s">
        <v>790</v>
      </c>
      <c r="AI66" s="24"/>
      <c r="AJ66" s="24"/>
    </row>
    <row r="67" spans="1:36" ht="14.5">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t="s">
        <v>791</v>
      </c>
      <c r="AI67" s="24"/>
      <c r="AJ67" s="24"/>
    </row>
    <row r="68" spans="1:36" ht="14.5">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t="s">
        <v>792</v>
      </c>
      <c r="AI68" s="24"/>
      <c r="AJ68" s="24"/>
    </row>
    <row r="69" spans="1:36" ht="14.5">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t="s">
        <v>793</v>
      </c>
      <c r="AI69" s="24"/>
      <c r="AJ69" s="24"/>
    </row>
    <row r="70" spans="1:36" ht="14.5">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t="s">
        <v>794</v>
      </c>
      <c r="AI70" s="24"/>
      <c r="AJ70" s="24"/>
    </row>
    <row r="71" spans="1:36" ht="14.5">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t="s">
        <v>795</v>
      </c>
      <c r="AI71" s="24"/>
      <c r="AJ71" s="24"/>
    </row>
    <row r="72" spans="1:36" ht="14.5">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t="s">
        <v>796</v>
      </c>
      <c r="AI72" s="24"/>
      <c r="AJ72" s="24"/>
    </row>
    <row r="73" spans="1:36" ht="14.5">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t="s">
        <v>797</v>
      </c>
      <c r="AI73" s="24"/>
      <c r="AJ73" s="24"/>
    </row>
    <row r="74" spans="1:36" ht="14.5">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t="s">
        <v>798</v>
      </c>
      <c r="AI74" s="24"/>
      <c r="AJ74" s="24"/>
    </row>
  </sheetData>
  <sheetProtection password="F2CD" sheet="1" objects="1" scenarios="1" selectLockedCells="1"/>
  <pageMargins left="0.7" right="0.7" top="0.75" bottom="0.75" header="0.3" footer="0.3"/>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04e0225-fc82-41e7-ad1d-3067498f8fed}">
  <dimension ref="A1:DN278"/>
  <sheetViews>
    <sheetView windowProtection="1" showGridLines="0" workbookViewId="0" topLeftCell="A1"/>
  </sheetViews>
  <sheetFormatPr defaultColWidth="9.264285714285714" defaultRowHeight="14.5" customHeight="1"/>
  <cols>
    <col min="1" max="1" width="12.571428571428571" style="24" customWidth="1"/>
    <col min="2" max="3" width="10.428571428571429" style="24"/>
    <col min="4" max="4" width="12" style="24" customWidth="1"/>
    <col min="5" max="5" width="14.857142857142858" style="24" customWidth="1"/>
    <col min="6" max="13" width="10.428571428571429" style="24"/>
    <col min="14" max="16" width="10.428571428571429" style="24" customWidth="1"/>
    <col min="17" max="17" width="18.428571428571427" style="24" customWidth="1"/>
    <col min="18" max="26" width="10.428571428571429" style="24" customWidth="1"/>
    <col min="27" max="27" width="17.714285714285715" style="24" hidden="1" customWidth="1"/>
    <col min="28" max="28" width="21.142857142857142" style="24" hidden="1" customWidth="1"/>
    <col min="29" max="29" width="29.142857142857142" style="24" hidden="1" customWidth="1"/>
    <col min="30" max="30" width="12.571428571428571" style="24" hidden="1" customWidth="1"/>
    <col min="31" max="31" width="10.428571428571429" style="24" hidden="1" customWidth="1"/>
    <col min="32" max="32" width="28.428571428571427" style="24" hidden="1" customWidth="1"/>
    <col min="33" max="33" width="58.142857142857146" style="24" hidden="1" customWidth="1"/>
    <col min="34" max="34" width="9.714285714285714" style="24" hidden="1" customWidth="1"/>
    <col min="35" max="35" width="30.714285714285715" style="24" hidden="1" customWidth="1"/>
    <col min="36" max="36" width="84.71428571428571" style="24" hidden="1" customWidth="1"/>
    <col min="37" max="37" width="12" style="24" hidden="1" customWidth="1"/>
    <col min="38" max="38" width="14.714285714285714" style="24" hidden="1" customWidth="1"/>
    <col min="39" max="39" width="16.142857142857142" style="24" hidden="1" customWidth="1"/>
    <col min="40" max="40" width="14.285714285714286" style="24" hidden="1" customWidth="1"/>
    <col min="41" max="41" width="13.142857142857142" style="24" hidden="1" customWidth="1"/>
    <col min="42" max="42" width="9.285714285714286" style="24" hidden="1" customWidth="1"/>
    <col min="43" max="43" width="15" style="24" hidden="1" customWidth="1"/>
    <col min="44" max="44" width="31.428571428571427" style="24" hidden="1" customWidth="1"/>
    <col min="45" max="45" width="58.142857142857146" style="24" hidden="1" customWidth="1"/>
    <col min="46" max="46" width="73" style="24" hidden="1" customWidth="1"/>
    <col min="47" max="47" width="18.857142857142858" style="24" hidden="1" customWidth="1"/>
    <col min="48" max="49" width="17" style="24" hidden="1" customWidth="1"/>
    <col min="50" max="50" width="12" style="24" hidden="1" customWidth="1"/>
    <col min="51" max="52" width="14.285714285714286" style="24" hidden="1" customWidth="1"/>
    <col min="53" max="53" width="10.428571428571429" style="24" hidden="1" customWidth="1"/>
    <col min="54" max="54" width="82.85714285714286" style="24" hidden="1" customWidth="1"/>
    <col min="55" max="56" width="10.428571428571429" style="24" hidden="1" customWidth="1"/>
    <col min="57" max="57" width="48.142857142857146" style="24" hidden="1" customWidth="1"/>
    <col min="58" max="58" width="47" style="24" hidden="1" customWidth="1"/>
    <col min="59" max="59" width="10.428571428571429" style="24" hidden="1" customWidth="1"/>
    <col min="60" max="60" width="17.714285714285715" style="24" hidden="1" customWidth="1"/>
    <col min="61" max="62" width="14.285714285714286" style="24" hidden="1" customWidth="1"/>
    <col min="63" max="63" width="21.571428571428573" style="24" hidden="1" customWidth="1"/>
    <col min="64" max="64" width="34.857142857142854" style="24" hidden="1" customWidth="1"/>
    <col min="65" max="65" width="16.571428571428573" style="24" hidden="1" customWidth="1"/>
    <col min="66" max="68" width="10.428571428571429" style="24" hidden="1" customWidth="1"/>
    <col min="69" max="69" width="39" style="24" hidden="1" customWidth="1"/>
    <col min="70" max="70" width="31.428571428571427" style="24" hidden="1" customWidth="1"/>
    <col min="71" max="72" width="10.428571428571429" style="24" hidden="1" customWidth="1"/>
    <col min="73" max="73" width="64" style="24" hidden="1" customWidth="1"/>
    <col min="74" max="74" width="16" style="24" hidden="1" customWidth="1"/>
    <col min="75" max="75" width="23.857142857142858" style="24" hidden="1" customWidth="1"/>
    <col min="76" max="76" width="26.857142857142858" style="24" hidden="1" customWidth="1"/>
    <col min="77" max="77" width="22.857142857142858" style="24" hidden="1" customWidth="1"/>
    <col min="78" max="78" width="10.428571428571429" style="24" hidden="1" customWidth="1"/>
    <col min="79" max="79" width="17" style="24" hidden="1" customWidth="1"/>
    <col min="80" max="103" width="10.428571428571429" style="24" hidden="1" customWidth="1"/>
    <col min="104" max="104" width="15.857142857142858" style="24" hidden="1" customWidth="1"/>
    <col min="105" max="106" width="10.428571428571429" style="24" hidden="1" customWidth="1"/>
    <col min="107" max="117" width="10.428571428571429" style="24" customWidth="1"/>
    <col min="118" max="118" width="10.428571428571429" style="24" hidden="1" customWidth="1"/>
    <col min="119" max="157" width="10.428571428571429" style="24" customWidth="1"/>
    <col min="158" max="16384" width="10.428571428571429" style="24"/>
  </cols>
  <sheetData>
    <row r="1" spans="1:1 27:79 118:118" ht="16">
      <c r="A1" s="24"/>
      <c r="AA1" s="21" t="s">
        <v>799</v>
      </c>
      <c r="AB1" s="21" t="s">
        <v>800</v>
      </c>
      <c r="AC1" s="21" t="s">
        <v>801</v>
      </c>
      <c r="AD1" s="25" t="s">
        <v>802</v>
      </c>
      <c r="AE1" s="25"/>
      <c r="AF1" s="25" t="s">
        <v>803</v>
      </c>
      <c r="AG1" s="25" t="s">
        <v>804</v>
      </c>
      <c r="AH1" s="23"/>
      <c r="AI1" s="21" t="s">
        <v>805</v>
      </c>
      <c r="AJ1" s="21" t="s">
        <v>806</v>
      </c>
      <c r="AK1" s="21" t="s">
        <v>807</v>
      </c>
      <c r="AL1" s="21" t="s">
        <v>808</v>
      </c>
      <c r="AM1" s="21" t="s">
        <v>809</v>
      </c>
      <c r="AN1" s="21" t="s">
        <v>810</v>
      </c>
      <c r="AO1" s="21" t="s">
        <v>811</v>
      </c>
      <c r="AP1" s="21" t="s">
        <v>812</v>
      </c>
      <c r="AQ1" s="23"/>
      <c r="AR1" s="21" t="s">
        <v>805</v>
      </c>
      <c r="AS1" s="21" t="s">
        <v>813</v>
      </c>
      <c r="AT1" s="21" t="s">
        <v>806</v>
      </c>
      <c r="AU1" s="21" t="s">
        <v>814</v>
      </c>
      <c r="AV1" s="21" t="s">
        <v>815</v>
      </c>
      <c r="AW1" s="21" t="s">
        <v>816</v>
      </c>
      <c r="AX1" s="21" t="s">
        <v>817</v>
      </c>
      <c r="AY1" s="21" t="s">
        <v>818</v>
      </c>
      <c r="AZ1" s="21" t="s">
        <v>819</v>
      </c>
      <c r="BA1" s="23"/>
      <c r="BB1" s="21" t="s">
        <v>820</v>
      </c>
      <c r="BC1" s="21" t="s">
        <v>821</v>
      </c>
      <c r="BD1" s="21" t="s">
        <v>816</v>
      </c>
      <c r="BE1" s="25" t="s">
        <v>822</v>
      </c>
      <c r="BF1" s="25" t="s">
        <v>823</v>
      </c>
      <c r="BG1" s="21" t="s">
        <v>818</v>
      </c>
      <c r="BH1" s="21" t="s">
        <v>819</v>
      </c>
      <c r="BI1" s="21" t="s">
        <v>824</v>
      </c>
      <c r="BJ1" s="21" t="s">
        <v>825</v>
      </c>
      <c r="BK1" s="21" t="s">
        <v>826</v>
      </c>
      <c r="BL1" s="21" t="s">
        <v>827</v>
      </c>
      <c r="BM1" s="21" t="s">
        <v>817</v>
      </c>
      <c r="BN1" s="23"/>
      <c r="BO1" s="21" t="s">
        <v>820</v>
      </c>
      <c r="BP1" s="21" t="s">
        <v>821</v>
      </c>
      <c r="BQ1" s="25" t="s">
        <v>823</v>
      </c>
      <c r="BR1" s="23"/>
      <c r="BS1" s="21" t="s">
        <v>828</v>
      </c>
      <c r="BT1" s="21" t="s">
        <v>829</v>
      </c>
      <c r="BU1" s="21" t="s">
        <v>830</v>
      </c>
      <c r="BV1" s="21" t="s">
        <v>831</v>
      </c>
      <c r="BW1" s="21" t="s">
        <v>832</v>
      </c>
      <c r="BX1" s="21" t="s">
        <v>833</v>
      </c>
      <c r="BY1" s="21"/>
      <c r="BZ1" s="22" t="s">
        <v>834</v>
      </c>
      <c r="CA1" s="26" t="s">
        <v>835</v>
      </c>
      <c r="DN1" s="22" t="s">
        <v>836</v>
      </c>
    </row>
    <row r="2" spans="1:5 30:79 118:118" ht="29.5" customHeight="1">
      <c r="A2" s="24"/>
      <c r="B2" s="27" t="s">
        <v>837</v>
      </c>
      <c r="C2" s="27"/>
      <c r="D2" s="27"/>
      <c r="E2" s="27"/>
      <c r="AD2" s="24">
        <f>ROW()</f>
        <v>2</v>
      </c>
      <c r="AF2" s="23" t="s">
        <v>838</v>
      </c>
      <c r="AG2" s="23" t="s">
        <v>839</v>
      </c>
      <c r="AI2" s="28" t="s">
        <v>840</v>
      </c>
      <c r="AJ2" s="29" t="s">
        <v>841</v>
      </c>
      <c r="AK2" s="23" t="b">
        <v>0</v>
      </c>
      <c r="AL2" s="24">
        <f>AD21</f>
        <v>21</v>
      </c>
      <c r="AM2" s="24" t="s">
        <v>842</v>
      </c>
      <c r="AN2" s="24">
        <f>AD26</f>
        <v>26</v>
      </c>
      <c r="AO2" s="24" t="s">
        <v>843</v>
      </c>
      <c r="AP2" s="24">
        <f>AD26</f>
        <v>26</v>
      </c>
      <c r="AR2" s="24" t="s">
        <v>840</v>
      </c>
      <c r="AS2" s="24" t="s">
        <v>844</v>
      </c>
      <c r="AT2" s="24" t="s">
        <v>845</v>
      </c>
      <c r="AU2" s="24">
        <v>0</v>
      </c>
      <c r="AV2" s="24" t="s">
        <v>842</v>
      </c>
      <c r="AW2" s="24" t="b">
        <v>0</v>
      </c>
      <c r="AY2" s="24" t="b">
        <v>0</v>
      </c>
      <c r="AZ2" s="24" t="b">
        <v>0</v>
      </c>
      <c r="BB2" s="24" t="s">
        <v>846</v>
      </c>
      <c r="BC2" s="24" t="s">
        <v>847</v>
      </c>
      <c r="BD2" s="24" t="b">
        <v>0</v>
      </c>
      <c r="BE2" s="30">
        <f>M10</f>
        <v>0</v>
      </c>
      <c r="BF2" s="24" t="str">
        <f>""&amp;M10</f>
        <v/>
      </c>
      <c r="BG2" s="24" t="b">
        <v>1</v>
      </c>
      <c r="BH2" s="24" t="b">
        <v>0</v>
      </c>
      <c r="BK2" s="24" t="str">
        <f ca="1">_xlfn.FORMULATEXT(BE2)</f>
        <v>=M10</v>
      </c>
      <c r="BL2" s="24" t="str">
        <f ca="1">_xlfn.FORMULATEXT(BE2)</f>
        <v>=M10</v>
      </c>
      <c r="BO2" s="23" t="s">
        <v>848</v>
      </c>
      <c r="BP2" s="23" t="s">
        <v>847</v>
      </c>
      <c r="BQ2" s="23">
        <v>3</v>
      </c>
      <c r="BT2" s="24" t="s">
        <v>849</v>
      </c>
      <c r="BU2" s="24" t="s">
        <v>850</v>
      </c>
      <c r="BV2" s="24" t="s">
        <v>851</v>
      </c>
      <c r="BW2" s="24" t="s">
        <v>852</v>
      </c>
      <c r="BX2" s="24" t="s">
        <v>853</v>
      </c>
      <c r="BZ2" s="24" t="s">
        <v>854</v>
      </c>
      <c r="CA2" s="24" t="s">
        <v>855</v>
      </c>
      <c r="DN2" s="24" t="s">
        <v>856</v>
      </c>
    </row>
    <row r="3" spans="1:6 30:79 118:118" ht="36.65" customHeight="1">
      <c r="A3" s="24"/>
      <c r="B3" s="31" t="s">
        <v>857</v>
      </c>
      <c r="C3" s="31"/>
      <c r="D3" s="31"/>
      <c r="E3" s="31"/>
      <c r="F3" s="31"/>
      <c r="AD3" s="24">
        <f>ROW()</f>
        <v>3</v>
      </c>
      <c r="AF3" s="24" t="s">
        <v>858</v>
      </c>
      <c r="AG3" s="24" t="s">
        <v>859</v>
      </c>
      <c r="AI3" s="24" t="s">
        <v>860</v>
      </c>
      <c r="AJ3" s="24" t="s">
        <v>861</v>
      </c>
      <c r="AK3" s="23" t="b">
        <v>0</v>
      </c>
      <c r="AL3" s="24">
        <f>AD32</f>
        <v>32</v>
      </c>
      <c r="AM3" s="24" t="s">
        <v>842</v>
      </c>
      <c r="AN3" s="24">
        <f>AD33</f>
        <v>33</v>
      </c>
      <c r="AO3" s="24" t="s">
        <v>862</v>
      </c>
      <c r="AP3" s="24">
        <f>AD33</f>
        <v>33</v>
      </c>
      <c r="AR3" s="24" t="s">
        <v>840</v>
      </c>
      <c r="AS3" s="24" t="s">
        <v>863</v>
      </c>
      <c r="AT3" s="24" t="s">
        <v>845</v>
      </c>
      <c r="AU3" s="24">
        <v>0</v>
      </c>
      <c r="AV3" s="24" t="s">
        <v>864</v>
      </c>
      <c r="AW3" s="24" t="b">
        <v>0</v>
      </c>
      <c r="AY3" s="24" t="b">
        <v>1</v>
      </c>
      <c r="AZ3" s="24" t="b">
        <v>1</v>
      </c>
      <c r="BB3" s="24" t="s">
        <v>865</v>
      </c>
      <c r="BC3" s="24" t="s">
        <v>866</v>
      </c>
      <c r="BD3" s="24" t="b">
        <v>0</v>
      </c>
      <c r="BE3" s="24" t="str">
        <f>IF(AA14=1,"Yes",IF(AA14=2,"No",""))</f>
        <v>Yes</v>
      </c>
      <c r="BF3" s="24" t="str">
        <f>BE3</f>
        <v>Yes</v>
      </c>
      <c r="BG3" s="24" t="b">
        <v>0</v>
      </c>
      <c r="BH3" s="24" t="b">
        <v>0</v>
      </c>
      <c r="BJ3" s="24">
        <f>AA14</f>
        <v>1</v>
      </c>
      <c r="BK3" s="24" t="str">
        <f ca="1">_xlfn.FORMULATEXT(BJ3)</f>
        <v>=AA14</v>
      </c>
      <c r="BL3" s="24" t="s">
        <v>867</v>
      </c>
      <c r="BO3" s="23" t="s">
        <v>868</v>
      </c>
      <c r="BP3" s="23" t="s">
        <v>847</v>
      </c>
      <c r="BQ3" s="23">
        <v>1301302</v>
      </c>
      <c r="BT3" s="24" t="s">
        <v>869</v>
      </c>
      <c r="BU3" s="24" t="s">
        <v>870</v>
      </c>
      <c r="BV3" s="24" t="s">
        <v>871</v>
      </c>
      <c r="BW3" s="24" t="s">
        <v>872</v>
      </c>
      <c r="BX3" s="24" t="s">
        <v>873</v>
      </c>
      <c r="BZ3" s="24" t="s">
        <v>874</v>
      </c>
      <c r="CA3" s="24" t="s">
        <v>875</v>
      </c>
      <c r="DN3" s="24" t="s">
        <v>876</v>
      </c>
    </row>
    <row r="4" spans="1:5 30:79 118:118" ht="28" customHeight="1">
      <c r="A4" s="24"/>
      <c r="B4" s="32" t="s">
        <v>877</v>
      </c>
      <c r="C4" s="32"/>
      <c r="D4" s="32"/>
      <c r="E4" s="32"/>
      <c r="AD4" s="24">
        <f>ROW()</f>
        <v>4</v>
      </c>
      <c r="AF4" s="28" t="s">
        <v>840</v>
      </c>
      <c r="AG4" s="24" t="s">
        <v>841</v>
      </c>
      <c r="AI4" s="24" t="s">
        <v>878</v>
      </c>
      <c r="AJ4" s="24" t="s">
        <v>879</v>
      </c>
      <c r="AK4" s="23" t="b">
        <v>0</v>
      </c>
      <c r="AL4" s="24">
        <f>AD55</f>
        <v>55</v>
      </c>
      <c r="AM4" s="24" t="s">
        <v>842</v>
      </c>
      <c r="AN4" s="24">
        <f>AD56</f>
        <v>56</v>
      </c>
      <c r="AO4" s="24" t="s">
        <v>862</v>
      </c>
      <c r="AP4" s="24">
        <f>AD56</f>
        <v>56</v>
      </c>
      <c r="AR4" s="24" t="s">
        <v>840</v>
      </c>
      <c r="AS4" s="24" t="s">
        <v>880</v>
      </c>
      <c r="AT4" s="24" t="s">
        <v>845</v>
      </c>
      <c r="AU4" s="24">
        <v>0</v>
      </c>
      <c r="AV4" s="24" t="s">
        <v>881</v>
      </c>
      <c r="AW4" s="24" t="b">
        <v>1</v>
      </c>
      <c r="AY4" s="24" t="b">
        <v>1</v>
      </c>
      <c r="AZ4" s="24" t="b">
        <v>1</v>
      </c>
      <c r="BB4" s="24" t="s">
        <v>882</v>
      </c>
      <c r="BC4" s="24" t="s">
        <v>847</v>
      </c>
      <c r="BD4" s="24" t="b">
        <v>1</v>
      </c>
      <c r="BE4" s="30" t="str">
        <f>M17</f>
        <v>5</v>
      </c>
      <c r="BF4" s="24" t="str">
        <f>""&amp;M17</f>
        <v>5</v>
      </c>
      <c r="BG4" s="24" t="b">
        <v>0</v>
      </c>
      <c r="BH4" s="24" t="b">
        <v>0</v>
      </c>
      <c r="BK4" s="24" t="str">
        <f ca="1">_xlfn.FORMULATEXT(BE4)</f>
        <v>=M17</v>
      </c>
      <c r="BL4" s="24" t="str">
        <f ca="1">_xlfn.FORMULATEXT(BE4)</f>
        <v>=M17</v>
      </c>
      <c r="BO4" s="23" t="s">
        <v>883</v>
      </c>
      <c r="BP4" s="23" t="s">
        <v>847</v>
      </c>
      <c r="BQ4" s="23" t="s">
        <v>44</v>
      </c>
      <c r="BU4" s="24" t="s">
        <v>884</v>
      </c>
      <c r="BW4" s="24" t="s">
        <v>885</v>
      </c>
      <c r="BX4" s="24" t="s">
        <v>886</v>
      </c>
      <c r="CA4" s="24" t="s">
        <v>887</v>
      </c>
      <c r="DN4" s="24" t="s">
        <v>888</v>
      </c>
    </row>
    <row r="5" spans="1:5 30:79 118:118" ht="14.5">
      <c r="A5" s="24"/>
      <c r="C5" s="33"/>
      <c r="D5" s="33"/>
      <c r="E5" s="33"/>
      <c r="AD5" s="24">
        <f>ROW()</f>
        <v>5</v>
      </c>
      <c r="AF5" s="24" t="s">
        <v>860</v>
      </c>
      <c r="AG5" s="24" t="s">
        <v>861</v>
      </c>
      <c r="AI5" s="28" t="s">
        <v>889</v>
      </c>
      <c r="AJ5" s="24" t="s">
        <v>890</v>
      </c>
      <c r="AK5" s="23" t="b">
        <v>0</v>
      </c>
      <c r="AL5" s="24">
        <f>AD60</f>
        <v>60</v>
      </c>
      <c r="AM5" s="24" t="s">
        <v>842</v>
      </c>
      <c r="AN5" s="24">
        <f>AD61</f>
        <v>61</v>
      </c>
      <c r="AO5" s="24" t="s">
        <v>862</v>
      </c>
      <c r="AP5" s="24">
        <f>AD61</f>
        <v>61</v>
      </c>
      <c r="AR5" s="24" t="s">
        <v>840</v>
      </c>
      <c r="AS5" s="24" t="s">
        <v>891</v>
      </c>
      <c r="AT5" s="24" t="s">
        <v>845</v>
      </c>
      <c r="AU5" s="24">
        <v>0</v>
      </c>
      <c r="AV5" s="24" t="s">
        <v>892</v>
      </c>
      <c r="AW5" s="24" t="b">
        <v>1</v>
      </c>
      <c r="AY5" s="24" t="b">
        <v>1</v>
      </c>
      <c r="AZ5" s="24" t="b">
        <v>1</v>
      </c>
      <c r="BB5" s="24" t="s">
        <v>893</v>
      </c>
      <c r="BC5" s="24" t="s">
        <v>847</v>
      </c>
      <c r="BD5" s="24" t="b">
        <v>1</v>
      </c>
      <c r="BE5" s="30" t="str">
        <f>M28</f>
        <v>0</v>
      </c>
      <c r="BF5" s="24" t="str">
        <f>""&amp;M28</f>
        <v>0</v>
      </c>
      <c r="BG5" s="24" t="b">
        <v>0</v>
      </c>
      <c r="BH5" s="24" t="b">
        <v>0</v>
      </c>
      <c r="BK5" s="24" t="str">
        <f ca="1">_xlfn.FORMULATEXT(BE5)</f>
        <v>=M28</v>
      </c>
      <c r="BL5" s="24" t="str">
        <f ca="1">_xlfn.FORMULATEXT(BE5)</f>
        <v>=M28</v>
      </c>
      <c r="BO5" s="23" t="s">
        <v>894</v>
      </c>
      <c r="BP5" s="23" t="s">
        <v>847</v>
      </c>
      <c r="BQ5" s="23" t="s">
        <v>895</v>
      </c>
      <c r="BU5" s="24" t="s">
        <v>896</v>
      </c>
      <c r="BX5" s="24" t="s">
        <v>897</v>
      </c>
      <c r="CA5" s="24" t="s">
        <v>898</v>
      </c>
      <c r="DN5" s="24" t="s">
        <v>899</v>
      </c>
    </row>
    <row r="6" spans="1:73 118:118" ht="29.15" customHeight="1">
      <c r="A6" s="24"/>
      <c r="B6" s="34" t="s">
        <v>900</v>
      </c>
      <c r="C6" s="33"/>
      <c r="D6" s="33"/>
      <c r="E6" s="33"/>
      <c r="K6" s="35" t="s">
        <v>901</v>
      </c>
      <c r="L6" s="35"/>
      <c r="M6" s="35"/>
      <c r="N6" s="35"/>
      <c r="AD6" s="24">
        <f>ROW()</f>
        <v>6</v>
      </c>
      <c r="AF6" s="24" t="s">
        <v>902</v>
      </c>
      <c r="AG6" s="24" t="s">
        <v>903</v>
      </c>
      <c r="AI6" s="24" t="s">
        <v>904</v>
      </c>
      <c r="AJ6" s="24" t="s">
        <v>905</v>
      </c>
      <c r="AK6" s="24" t="b">
        <v>0</v>
      </c>
      <c r="AL6" s="24">
        <f>AD81</f>
        <v>81</v>
      </c>
      <c r="AM6" s="24" t="s">
        <v>842</v>
      </c>
      <c r="AN6" s="24">
        <f>AD82</f>
        <v>82</v>
      </c>
      <c r="AO6" s="24" t="s">
        <v>906</v>
      </c>
      <c r="AP6" s="24">
        <f>AD82</f>
        <v>82</v>
      </c>
      <c r="AR6" s="24" t="s">
        <v>840</v>
      </c>
      <c r="AS6" s="24" t="s">
        <v>907</v>
      </c>
      <c r="AT6" s="24" t="s">
        <v>845</v>
      </c>
      <c r="AU6" s="24">
        <v>0</v>
      </c>
      <c r="AV6" s="24" t="s">
        <v>908</v>
      </c>
      <c r="AW6" s="24" t="b">
        <v>1</v>
      </c>
      <c r="AY6" s="24" t="b">
        <v>0</v>
      </c>
      <c r="AZ6" s="24" t="b">
        <v>0</v>
      </c>
      <c r="BB6" s="24" t="s">
        <v>909</v>
      </c>
      <c r="BC6" s="24" t="s">
        <v>847</v>
      </c>
      <c r="BD6" s="24" t="b">
        <v>0</v>
      </c>
      <c r="BE6" s="24">
        <f>B37</f>
        <v>0</v>
      </c>
      <c r="BF6" s="24" t="str">
        <f>""&amp;B37</f>
        <v/>
      </c>
      <c r="BG6" s="24" t="b">
        <v>1</v>
      </c>
      <c r="BH6" s="24" t="b">
        <v>0</v>
      </c>
      <c r="BK6" s="24" t="str">
        <f ca="1">_xlfn.FORMULATEXT(BE6)</f>
        <v>=B37</v>
      </c>
      <c r="BL6" s="24" t="str">
        <f ca="1">_xlfn.FORMULATEXT(BE6)</f>
        <v>=B37</v>
      </c>
      <c r="BO6" s="24" t="s">
        <v>910</v>
      </c>
      <c r="BP6" s="23" t="s">
        <v>847</v>
      </c>
      <c r="BQ6" s="24">
        <v>26</v>
      </c>
      <c r="BU6" s="24" t="s">
        <v>911</v>
      </c>
      <c r="DN6" s="24" t="s">
        <v>912</v>
      </c>
    </row>
    <row r="7" spans="1:1 30:73 118:118" ht="14.5">
      <c r="A7" s="24"/>
      <c r="AD7" s="24">
        <f>ROW()</f>
        <v>7</v>
      </c>
      <c r="AF7" s="24" t="s">
        <v>913</v>
      </c>
      <c r="AG7" s="24" t="s">
        <v>914</v>
      </c>
      <c r="AI7" s="24" t="s">
        <v>915</v>
      </c>
      <c r="AJ7" s="24" t="s">
        <v>916</v>
      </c>
      <c r="AK7" s="24" t="b">
        <v>0</v>
      </c>
      <c r="AL7" s="24">
        <f>AD135</f>
        <v>135</v>
      </c>
      <c r="AM7" s="24" t="s">
        <v>842</v>
      </c>
      <c r="AN7" s="24">
        <f>AD136</f>
        <v>136</v>
      </c>
      <c r="AO7" s="24" t="s">
        <v>917</v>
      </c>
      <c r="AP7" s="24">
        <f>AD136</f>
        <v>136</v>
      </c>
      <c r="AR7" s="24" t="s">
        <v>840</v>
      </c>
      <c r="AS7" s="24" t="s">
        <v>821</v>
      </c>
      <c r="AT7" s="24" t="s">
        <v>845</v>
      </c>
      <c r="AU7" s="24">
        <v>0</v>
      </c>
      <c r="AV7" s="24" t="s">
        <v>862</v>
      </c>
      <c r="AW7" s="24" t="b">
        <v>0</v>
      </c>
      <c r="AY7" s="24" t="b">
        <v>0</v>
      </c>
      <c r="AZ7" s="24" t="b">
        <v>0</v>
      </c>
      <c r="BB7" s="24" t="s">
        <v>918</v>
      </c>
      <c r="BC7" s="24" t="s">
        <v>847</v>
      </c>
      <c r="BD7" s="24" t="b">
        <v>0</v>
      </c>
      <c r="BE7" s="24">
        <f>B40</f>
        <v>0</v>
      </c>
      <c r="BF7" s="24" t="str">
        <f>""&amp;B40</f>
        <v/>
      </c>
      <c r="BG7" s="24" t="b">
        <v>1</v>
      </c>
      <c r="BH7" s="24" t="b">
        <v>0</v>
      </c>
      <c r="BK7" s="24" t="str">
        <f ca="1">_xlfn.FORMULATEXT(BE7)</f>
        <v>=B40</v>
      </c>
      <c r="BL7" s="24" t="str">
        <f ca="1">_xlfn.FORMULATEXT(BE7)</f>
        <v>=B40</v>
      </c>
      <c r="BO7" s="24" t="s">
        <v>919</v>
      </c>
      <c r="BP7" s="23" t="s">
        <v>847</v>
      </c>
      <c r="BQ7" s="24">
        <v>80</v>
      </c>
      <c r="BU7" s="24" t="s">
        <v>920</v>
      </c>
      <c r="DN7" s="24" t="s">
        <v>921</v>
      </c>
    </row>
    <row r="8" spans="1:2 30:73 118:118" ht="14.5">
      <c r="A8" s="24"/>
      <c r="B8" s="26" t="s">
        <v>922</v>
      </c>
      <c r="AD8" s="24">
        <f>ROW()</f>
        <v>8</v>
      </c>
      <c r="AF8" s="24" t="s">
        <v>923</v>
      </c>
      <c r="AG8" s="24" t="s">
        <v>924</v>
      </c>
      <c r="AR8" s="24" t="s">
        <v>860</v>
      </c>
      <c r="AS8" s="24" t="s">
        <v>821</v>
      </c>
      <c r="AT8" s="24" t="s">
        <v>925</v>
      </c>
      <c r="AU8" s="24">
        <v>0</v>
      </c>
      <c r="AV8" s="24" t="s">
        <v>862</v>
      </c>
      <c r="AW8" s="24" t="b">
        <v>0</v>
      </c>
      <c r="AY8" s="24" t="b">
        <v>0</v>
      </c>
      <c r="AZ8" s="24" t="b">
        <v>0</v>
      </c>
      <c r="BB8" s="24" t="s">
        <v>926</v>
      </c>
      <c r="BC8" s="24" t="s">
        <v>847</v>
      </c>
      <c r="BD8" s="24" t="b">
        <v>0</v>
      </c>
      <c r="BE8" s="24">
        <f>B43</f>
        <v>0</v>
      </c>
      <c r="BF8" s="24" t="str">
        <f>""&amp;B43</f>
        <v/>
      </c>
      <c r="BG8" s="24" t="b">
        <v>1</v>
      </c>
      <c r="BH8" s="24" t="b">
        <v>0</v>
      </c>
      <c r="BK8" s="24" t="str">
        <f ca="1">_xlfn.FORMULATEXT(BE8)</f>
        <v>=B43</v>
      </c>
      <c r="BL8" s="24" t="str">
        <f ca="1">_xlfn.FORMULATEXT(BE8)</f>
        <v>=B43</v>
      </c>
      <c r="BO8" s="36" t="s">
        <v>927</v>
      </c>
      <c r="BP8" s="36" t="s">
        <v>847</v>
      </c>
      <c r="BQ8" s="36" t="s">
        <v>928</v>
      </c>
      <c r="BU8" s="24" t="s">
        <v>929</v>
      </c>
      <c r="DN8" s="24" t="s">
        <v>930</v>
      </c>
    </row>
    <row r="9" spans="1:2 30:73 118:118" ht="14.5">
      <c r="A9" s="24"/>
      <c r="B9" s="26"/>
      <c r="AD9" s="24">
        <f>ROW()</f>
        <v>9</v>
      </c>
      <c r="AR9" s="24" t="s">
        <v>860</v>
      </c>
      <c r="AS9" s="24" t="s">
        <v>844</v>
      </c>
      <c r="AT9" s="24" t="s">
        <v>925</v>
      </c>
      <c r="AU9" s="24">
        <v>0</v>
      </c>
      <c r="AV9" s="24" t="s">
        <v>842</v>
      </c>
      <c r="AW9" s="24" t="b">
        <v>0</v>
      </c>
      <c r="AY9" s="24" t="b">
        <v>0</v>
      </c>
      <c r="AZ9" s="24" t="b">
        <v>0</v>
      </c>
      <c r="BB9" s="24" t="s">
        <v>931</v>
      </c>
      <c r="BC9" s="24" t="s">
        <v>847</v>
      </c>
      <c r="BD9" s="24" t="b">
        <v>0</v>
      </c>
      <c r="BE9" s="24">
        <f>B46</f>
        <v>0</v>
      </c>
      <c r="BF9" s="24" t="str">
        <f>""&amp;B46</f>
        <v/>
      </c>
      <c r="BG9" s="24" t="b">
        <v>1</v>
      </c>
      <c r="BH9" s="24" t="b">
        <v>0</v>
      </c>
      <c r="BK9" s="24" t="str">
        <f ca="1">_xlfn.FORMULATEXT(BE9)</f>
        <v>=B46</v>
      </c>
      <c r="BL9" s="24" t="str">
        <f ca="1">_xlfn.FORMULATEXT(BE9)</f>
        <v>=B46</v>
      </c>
      <c r="BU9" s="24" t="s">
        <v>932</v>
      </c>
      <c r="DN9" s="24" t="s">
        <v>933</v>
      </c>
    </row>
    <row r="10" spans="1:73 118:118" ht="14.5">
      <c r="A10" s="24"/>
      <c r="B10" s="37" t="s">
        <v>934</v>
      </c>
      <c r="M10" s="129"/>
      <c r="N10" s="130"/>
      <c r="AD10" s="24">
        <f>ROW()</f>
        <v>10</v>
      </c>
      <c r="AR10" s="24" t="s">
        <v>860</v>
      </c>
      <c r="AS10" s="24" t="s">
        <v>935</v>
      </c>
      <c r="AT10" s="24" t="s">
        <v>925</v>
      </c>
      <c r="AU10" s="24">
        <v>0</v>
      </c>
      <c r="AV10" s="24" t="s">
        <v>864</v>
      </c>
      <c r="AW10" s="24" t="b">
        <v>0</v>
      </c>
      <c r="AY10" s="24" t="b">
        <v>1</v>
      </c>
      <c r="AZ10" s="24" t="b">
        <v>1</v>
      </c>
      <c r="BB10" s="24" t="s">
        <v>936</v>
      </c>
      <c r="BC10" s="24" t="s">
        <v>866</v>
      </c>
      <c r="BD10" s="24" t="b">
        <v>0</v>
      </c>
      <c r="BE10" s="24" t="str">
        <f>IF(AA66=1,"Y",IF(AA66=2,"N",""))</f>
        <v>N</v>
      </c>
      <c r="BF10" s="24" t="str">
        <f>BE10</f>
        <v>N</v>
      </c>
      <c r="BG10" s="24" t="b">
        <v>0</v>
      </c>
      <c r="BH10" s="24" t="b">
        <v>0</v>
      </c>
      <c r="BJ10" s="24">
        <f>AA66</f>
        <v>2</v>
      </c>
      <c r="BK10" s="24" t="str">
        <f ca="1">_xlfn.FORMULATEXT(BJ10)</f>
        <v>=AA66</v>
      </c>
      <c r="BL10" s="24" t="s">
        <v>937</v>
      </c>
      <c r="BU10" s="24" t="s">
        <v>938</v>
      </c>
      <c r="DN10" s="24" t="s">
        <v>939</v>
      </c>
    </row>
    <row r="11" spans="1:1 30:73 118:118" ht="14.5">
      <c r="A11" s="24"/>
      <c r="AD11" s="24">
        <f>ROW()</f>
        <v>11</v>
      </c>
      <c r="AR11" s="24" t="s">
        <v>860</v>
      </c>
      <c r="AS11" s="24" t="s">
        <v>863</v>
      </c>
      <c r="AT11" s="24" t="s">
        <v>925</v>
      </c>
      <c r="AU11" s="24">
        <v>0</v>
      </c>
      <c r="AV11" s="24" t="s">
        <v>881</v>
      </c>
      <c r="AW11" s="24" t="b">
        <v>0</v>
      </c>
      <c r="AY11" s="24" t="b">
        <v>1</v>
      </c>
      <c r="AZ11" s="24" t="b">
        <v>1</v>
      </c>
      <c r="BB11" s="24" t="s">
        <v>940</v>
      </c>
      <c r="BC11" s="24" t="s">
        <v>866</v>
      </c>
      <c r="BD11" s="24" t="b">
        <v>0</v>
      </c>
      <c r="BE11" s="24" t="str">
        <f>IF(AA68=1,"Y",IF(AA68=2,"N",""))</f>
        <v/>
      </c>
      <c r="BF11" s="24" t="str">
        <f>BE11</f>
        <v/>
      </c>
      <c r="BG11" s="24" t="b">
        <v>1</v>
      </c>
      <c r="BH11" s="24" t="b">
        <v>0</v>
      </c>
      <c r="BJ11" s="24">
        <f>AA68</f>
        <v>0</v>
      </c>
      <c r="BK11" s="24" t="str">
        <f ca="1">_xlfn.FORMULATEXT(BJ11)</f>
        <v>=AA68</v>
      </c>
      <c r="BL11" s="24" t="s">
        <v>941</v>
      </c>
      <c r="BU11" s="24" t="s">
        <v>942</v>
      </c>
      <c r="DN11" s="24" t="s">
        <v>943</v>
      </c>
    </row>
    <row r="12" spans="1:2 30:73 118:118" ht="14.5">
      <c r="A12" s="24"/>
      <c r="B12" s="37" t="s">
        <v>944</v>
      </c>
      <c r="AD12" s="24">
        <f>ROW()</f>
        <v>12</v>
      </c>
      <c r="AR12" s="24" t="s">
        <v>860</v>
      </c>
      <c r="AS12" s="24" t="s">
        <v>880</v>
      </c>
      <c r="AT12" s="24" t="s">
        <v>925</v>
      </c>
      <c r="AU12" s="24">
        <v>0</v>
      </c>
      <c r="AV12" s="24" t="s">
        <v>892</v>
      </c>
      <c r="AW12" s="24" t="b">
        <v>1</v>
      </c>
      <c r="AY12" s="24" t="b">
        <v>1</v>
      </c>
      <c r="AZ12" s="24" t="b">
        <v>1</v>
      </c>
      <c r="BB12" s="24" t="s">
        <v>945</v>
      </c>
      <c r="BC12" s="24" t="s">
        <v>866</v>
      </c>
      <c r="BD12" s="24" t="b">
        <v>0</v>
      </c>
      <c r="BE12" s="24" t="str">
        <f>IF(AA70=1,"Y",IF(AA70=2,"N",""))</f>
        <v>N</v>
      </c>
      <c r="BF12" s="24" t="str">
        <f>BE12</f>
        <v>N</v>
      </c>
      <c r="BG12" s="24" t="b">
        <v>0</v>
      </c>
      <c r="BH12" s="24" t="b">
        <v>0</v>
      </c>
      <c r="BJ12" s="24">
        <f>AA70</f>
        <v>2</v>
      </c>
      <c r="BK12" s="24" t="str">
        <f ca="1">_xlfn.FORMULATEXT(BJ12)</f>
        <v>=AA70</v>
      </c>
      <c r="BL12" s="24" t="s">
        <v>946</v>
      </c>
      <c r="BU12" s="24" t="s">
        <v>947</v>
      </c>
      <c r="DN12" s="24" t="s">
        <v>948</v>
      </c>
    </row>
    <row r="13" spans="1:2 30:73 118:118" ht="14.5">
      <c r="A13" s="24"/>
      <c r="B13" s="37"/>
      <c r="AD13" s="24">
        <f>ROW()</f>
        <v>13</v>
      </c>
      <c r="AR13" s="24" t="s">
        <v>860</v>
      </c>
      <c r="AS13" s="24" t="s">
        <v>891</v>
      </c>
      <c r="AT13" s="24" t="s">
        <v>925</v>
      </c>
      <c r="AU13" s="24">
        <v>0</v>
      </c>
      <c r="AV13" s="24" t="s">
        <v>949</v>
      </c>
      <c r="AW13" s="24" t="b">
        <v>1</v>
      </c>
      <c r="AY13" s="24" t="b">
        <v>1</v>
      </c>
      <c r="AZ13" s="24" t="b">
        <v>1</v>
      </c>
      <c r="BB13" s="24" t="s">
        <v>950</v>
      </c>
      <c r="BC13" s="24" t="s">
        <v>951</v>
      </c>
      <c r="BD13" s="24" t="b">
        <v>0</v>
      </c>
      <c r="BE13" s="40">
        <f>B75</f>
        <v>0</v>
      </c>
      <c r="BF13" s="24" t="str">
        <f>""&amp;B75</f>
        <v/>
      </c>
      <c r="BG13" s="24" t="b">
        <v>1</v>
      </c>
      <c r="BH13" s="24" t="b">
        <v>0</v>
      </c>
      <c r="BK13" s="24" t="str">
        <f ca="1">_xlfn.FORMULATEXT(BE13)</f>
        <v>=B75</v>
      </c>
      <c r="BL13" s="24" t="str">
        <f ca="1">_xlfn.FORMULATEXT(BE13)</f>
        <v>=B75</v>
      </c>
      <c r="BU13" s="24" t="s">
        <v>952</v>
      </c>
      <c r="DN13" s="24" t="s">
        <v>953</v>
      </c>
    </row>
    <row r="14" spans="1:64" ht="14.5">
      <c r="A14" s="24"/>
      <c r="B14" s="41" t="s">
        <v>954</v>
      </c>
      <c r="C14" s="41"/>
      <c r="D14" s="41"/>
      <c r="E14" s="41"/>
      <c r="F14" s="41"/>
      <c r="G14" s="41"/>
      <c r="H14" s="41"/>
      <c r="M14" s="30"/>
      <c r="AA14" s="206">
        <v>1</v>
      </c>
      <c r="AB14" s="24">
        <f>IF(AC14="0",1,IF(AC14="1",2,""))</f>
        <v>1</v>
      </c>
      <c r="AC14" s="24" t="s">
        <v>955</v>
      </c>
      <c r="AD14" s="24">
        <f>ROW()</f>
        <v>14</v>
      </c>
      <c r="AR14" s="24" t="s">
        <v>860</v>
      </c>
      <c r="AS14" s="24" t="s">
        <v>907</v>
      </c>
      <c r="AT14" s="24" t="s">
        <v>925</v>
      </c>
      <c r="AU14" s="24">
        <v>0</v>
      </c>
      <c r="AV14" s="24" t="s">
        <v>843</v>
      </c>
      <c r="AW14" s="24" t="b">
        <v>1</v>
      </c>
      <c r="AY14" s="24" t="b">
        <v>0</v>
      </c>
      <c r="AZ14" s="24" t="b">
        <v>0</v>
      </c>
      <c r="BB14" s="24" t="s">
        <v>956</v>
      </c>
      <c r="BC14" s="24" t="s">
        <v>847</v>
      </c>
      <c r="BD14" s="24" t="b">
        <v>1</v>
      </c>
      <c r="BE14" s="24">
        <f>M78</f>
        <v>0</v>
      </c>
      <c r="BF14" s="24" t="str">
        <f>""&amp;M78</f>
        <v/>
      </c>
      <c r="BG14" s="24" t="b">
        <v>0</v>
      </c>
      <c r="BH14" s="24" t="b">
        <v>0</v>
      </c>
      <c r="BK14" s="24" t="str">
        <f ca="1">_xlfn.FORMULATEXT(BE14)</f>
        <v>=M78</v>
      </c>
      <c r="BL14" s="24" t="str">
        <f ca="1">_xlfn.FORMULATEXT(BE14)</f>
        <v>=M78</v>
      </c>
    </row>
    <row r="15" spans="1:1 30:64" ht="14.5">
      <c r="A15" s="24"/>
      <c r="AD15" s="24">
        <f>ROW()</f>
        <v>15</v>
      </c>
      <c r="AR15" s="24" t="s">
        <v>878</v>
      </c>
      <c r="AS15" s="24" t="s">
        <v>821</v>
      </c>
      <c r="AT15" s="24" t="s">
        <v>957</v>
      </c>
      <c r="AU15" s="24">
        <v>0</v>
      </c>
      <c r="AV15" s="24" t="s">
        <v>862</v>
      </c>
      <c r="AW15" s="24" t="b">
        <v>0</v>
      </c>
      <c r="AY15" s="24" t="b">
        <v>0</v>
      </c>
      <c r="AZ15" s="24" t="b">
        <v>0</v>
      </c>
      <c r="BB15" s="24" t="s">
        <v>958</v>
      </c>
      <c r="BC15" s="24" t="s">
        <v>847</v>
      </c>
      <c r="BD15" s="24" t="b">
        <v>0</v>
      </c>
      <c r="BE15" s="40">
        <f>B84</f>
        <v>0</v>
      </c>
      <c r="BF15" s="24" t="str">
        <f>""&amp;B84</f>
        <v/>
      </c>
      <c r="BG15" s="24" t="b">
        <v>1</v>
      </c>
      <c r="BH15" s="24" t="b">
        <v>0</v>
      </c>
      <c r="BK15" s="24" t="str">
        <f ca="1">_xlfn.FORMULATEXT(BE15)</f>
        <v>=B84</v>
      </c>
      <c r="BL15" s="24" t="str">
        <f ca="1">_xlfn.FORMULATEXT(BE15)</f>
        <v>=B84</v>
      </c>
    </row>
    <row r="16" spans="1:2 30:64" ht="14.5">
      <c r="A16" s="24"/>
      <c r="B16" s="42" t="s">
        <v>959</v>
      </c>
      <c r="AD16" s="24">
        <f>ROW()</f>
        <v>16</v>
      </c>
      <c r="AR16" s="24" t="s">
        <v>878</v>
      </c>
      <c r="AS16" s="24" t="s">
        <v>960</v>
      </c>
      <c r="AT16" s="24" t="s">
        <v>957</v>
      </c>
      <c r="AU16" s="24">
        <v>0</v>
      </c>
      <c r="AV16" s="24" t="s">
        <v>842</v>
      </c>
      <c r="AW16" s="24" t="b">
        <v>0</v>
      </c>
      <c r="AY16" s="24" t="b">
        <v>0</v>
      </c>
      <c r="AZ16" s="24" t="b">
        <v>0</v>
      </c>
      <c r="BB16" s="24" t="s">
        <v>961</v>
      </c>
      <c r="BC16" s="24" t="s">
        <v>847</v>
      </c>
      <c r="BD16" s="24" t="b">
        <v>0</v>
      </c>
      <c r="BE16" s="40">
        <f>B88</f>
        <v>0</v>
      </c>
      <c r="BF16" s="24" t="str">
        <f>""&amp;B88</f>
        <v/>
      </c>
      <c r="BG16" s="24" t="b">
        <v>1</v>
      </c>
      <c r="BH16" s="24" t="b">
        <v>0</v>
      </c>
      <c r="BK16" s="24" t="str">
        <f ca="1">_xlfn.FORMULATEXT(BE16)</f>
        <v>=B88</v>
      </c>
      <c r="BL16" s="24" t="str">
        <f ca="1">_xlfn.FORMULATEXT(BE16)</f>
        <v>=B88</v>
      </c>
    </row>
    <row r="17" spans="1:64" ht="20.5" customHeight="1">
      <c r="A17" s="24"/>
      <c r="B17" s="43" t="s">
        <v>962</v>
      </c>
      <c r="G17" s="40"/>
      <c r="H17" s="40"/>
      <c r="M17" s="210" t="s">
        <v>963</v>
      </c>
      <c r="N17" s="211"/>
      <c r="AD17" s="24">
        <f>ROW()</f>
        <v>17</v>
      </c>
      <c r="AR17" s="24" t="s">
        <v>878</v>
      </c>
      <c r="AS17" s="24" t="s">
        <v>964</v>
      </c>
      <c r="AT17" s="24" t="s">
        <v>957</v>
      </c>
      <c r="AU17" s="24">
        <v>0</v>
      </c>
      <c r="AV17" s="24" t="s">
        <v>864</v>
      </c>
      <c r="AW17" s="24" t="b">
        <v>0</v>
      </c>
      <c r="AY17" s="24" t="b">
        <v>1</v>
      </c>
      <c r="AZ17" s="24" t="b">
        <v>1</v>
      </c>
      <c r="BB17" s="24" t="s">
        <v>965</v>
      </c>
      <c r="BC17" s="24" t="s">
        <v>847</v>
      </c>
      <c r="BD17" s="24" t="b">
        <v>1</v>
      </c>
      <c r="BE17" s="40">
        <f>M90</f>
        <v>0</v>
      </c>
      <c r="BF17" s="24" t="str">
        <f>""&amp;M90</f>
        <v/>
      </c>
      <c r="BG17" s="24" t="b">
        <v>1</v>
      </c>
      <c r="BH17" s="24" t="b">
        <v>0</v>
      </c>
      <c r="BK17" s="24" t="str">
        <f ca="1">_xlfn.FORMULATEXT(BE17)</f>
        <v>=M90</v>
      </c>
      <c r="BL17" s="24" t="str">
        <f ca="1">_xlfn.FORMULATEXT(BE17)</f>
        <v>=M90</v>
      </c>
    </row>
    <row r="18" spans="1:1 30:64" ht="14.5">
      <c r="A18" s="24"/>
      <c r="AD18" s="24">
        <f>ROW()</f>
        <v>18</v>
      </c>
      <c r="AR18" s="24" t="s">
        <v>878</v>
      </c>
      <c r="AS18" s="24" t="s">
        <v>966</v>
      </c>
      <c r="AT18" s="24" t="s">
        <v>957</v>
      </c>
      <c r="AU18" s="24">
        <v>0</v>
      </c>
      <c r="AV18" s="24" t="s">
        <v>892</v>
      </c>
      <c r="AW18" s="24" t="b">
        <v>0</v>
      </c>
      <c r="AY18" s="24" t="b">
        <v>1</v>
      </c>
      <c r="AZ18" s="24" t="b">
        <v>0</v>
      </c>
      <c r="BB18" s="24" t="s">
        <v>967</v>
      </c>
      <c r="BC18" s="24" t="s">
        <v>847</v>
      </c>
      <c r="BD18" s="24" t="b">
        <v>0</v>
      </c>
      <c r="BE18" s="40">
        <f>B93</f>
        <v>0</v>
      </c>
      <c r="BF18" s="24" t="str">
        <f>""&amp;B93</f>
        <v/>
      </c>
      <c r="BG18" s="24" t="b">
        <v>1</v>
      </c>
      <c r="BH18" s="24" t="b">
        <v>0</v>
      </c>
      <c r="BK18" s="24" t="str">
        <f ca="1">_xlfn.FORMULATEXT(BE18)</f>
        <v>=B93</v>
      </c>
      <c r="BL18" s="24" t="str">
        <f ca="1">_xlfn.FORMULATEXT(BE18)</f>
        <v>=B93</v>
      </c>
    </row>
    <row r="19" spans="1:64" ht="16" customHeight="1">
      <c r="A19" s="24" t="s">
        <v>1000</v>
      </c>
      <c r="B19" s="45" t="s">
        <v>968</v>
      </c>
      <c r="C19" s="46" t="s">
        <v>969</v>
      </c>
      <c r="D19" s="46"/>
      <c r="E19" s="46"/>
      <c r="F19" s="46" t="s">
        <v>970</v>
      </c>
      <c r="G19" s="46"/>
      <c r="H19" s="46"/>
      <c r="I19" s="45" t="s">
        <v>971</v>
      </c>
      <c r="J19" s="45"/>
      <c r="K19" s="45"/>
      <c r="L19" s="45"/>
      <c r="M19" s="45"/>
      <c r="N19" s="45"/>
      <c r="AD19" s="24">
        <f>ROW()</f>
        <v>19</v>
      </c>
      <c r="AR19" s="24" t="s">
        <v>889</v>
      </c>
      <c r="AS19" s="24" t="s">
        <v>821</v>
      </c>
      <c r="AT19" s="24" t="s">
        <v>972</v>
      </c>
      <c r="AU19" s="24">
        <v>0</v>
      </c>
      <c r="AV19" s="24" t="s">
        <v>862</v>
      </c>
      <c r="AW19" s="24" t="b">
        <v>0</v>
      </c>
      <c r="AY19" s="24" t="b">
        <v>0</v>
      </c>
      <c r="AZ19" s="24" t="b">
        <v>0</v>
      </c>
      <c r="BB19" s="24" t="s">
        <v>973</v>
      </c>
      <c r="BC19" s="24" t="s">
        <v>847</v>
      </c>
      <c r="BD19" s="24" t="b">
        <v>1</v>
      </c>
      <c r="BE19" s="24">
        <f>M95</f>
        <v>0</v>
      </c>
      <c r="BF19" s="24" t="str">
        <f>""&amp;M95</f>
        <v/>
      </c>
      <c r="BG19" s="24" t="b">
        <v>1</v>
      </c>
      <c r="BH19" s="24" t="b">
        <v>0</v>
      </c>
      <c r="BK19" s="24" t="str">
        <f ca="1">_xlfn.FORMULATEXT(BE19)</f>
        <v>=M95</v>
      </c>
      <c r="BL19" s="24" t="str">
        <f ca="1">_xlfn.FORMULATEXT(BE19)</f>
        <v>=M95</v>
      </c>
    </row>
    <row r="20" spans="1:64" ht="27.65" customHeight="1">
      <c r="A20" s="24" t="s">
        <v>1000</v>
      </c>
      <c r="B20" s="45"/>
      <c r="C20" s="239"/>
      <c r="D20" s="239"/>
      <c r="E20" s="239"/>
      <c r="F20" s="239"/>
      <c r="G20" s="239"/>
      <c r="H20" s="239"/>
      <c r="I20" s="240" t="s">
        <v>974</v>
      </c>
      <c r="J20" s="241"/>
      <c r="K20" s="242"/>
      <c r="L20" s="243" t="s">
        <v>975</v>
      </c>
      <c r="M20" s="243"/>
      <c r="N20" s="243"/>
      <c r="AD20" s="24">
        <f>ROW()</f>
        <v>20</v>
      </c>
      <c r="AR20" s="24" t="s">
        <v>889</v>
      </c>
      <c r="AS20" s="24" t="s">
        <v>960</v>
      </c>
      <c r="AT20" s="24" t="s">
        <v>972</v>
      </c>
      <c r="AU20" s="24">
        <v>0</v>
      </c>
      <c r="AV20" s="24" t="s">
        <v>842</v>
      </c>
      <c r="AW20" s="24" t="b">
        <v>0</v>
      </c>
      <c r="AY20" s="24" t="b">
        <v>0</v>
      </c>
      <c r="AZ20" s="24" t="b">
        <v>0</v>
      </c>
      <c r="BB20" s="24" t="s">
        <v>976</v>
      </c>
      <c r="BC20" s="24" t="s">
        <v>847</v>
      </c>
      <c r="BD20" s="24" t="b">
        <v>0</v>
      </c>
      <c r="BE20" s="40">
        <f>B99</f>
        <v>0</v>
      </c>
      <c r="BF20" s="24" t="str">
        <f>""&amp;B99</f>
        <v/>
      </c>
      <c r="BG20" s="24" t="b">
        <v>1</v>
      </c>
      <c r="BH20" s="24" t="b">
        <v>0</v>
      </c>
      <c r="BK20" s="24" t="str">
        <f ca="1">_xlfn.FORMULATEXT(BE20)</f>
        <v>=B99</v>
      </c>
      <c r="BL20" s="24" t="str">
        <f ca="1">_xlfn.FORMULATEXT(BE20)</f>
        <v>=B99</v>
      </c>
    </row>
    <row r="21" spans="1:64" ht="14.5" customHeight="1">
      <c r="A21" s="24" t="s">
        <v>1000</v>
      </c>
      <c r="B21" s="217" t="s">
        <v>44</v>
      </c>
      <c r="C21" s="153"/>
      <c r="D21" s="152"/>
      <c r="E21" s="154"/>
      <c r="F21" s="153"/>
      <c r="G21" s="152"/>
      <c r="H21" s="154"/>
      <c r="I21" s="153"/>
      <c r="J21" s="152"/>
      <c r="K21" s="154"/>
      <c r="L21" s="232" t="str">
        <f>IF(_xlfn.NUMBERVALUE(F21)=0,"0.00",TEXT((_xlfn.NUMBERVALUE(I21)/_xlfn.NUMBERVALUE(F21))*100,"0.00"))</f>
        <v>0.00</v>
      </c>
      <c r="M21" s="231"/>
      <c r="N21" s="226"/>
      <c r="O21" s="244" t="s">
        <v>977</v>
      </c>
      <c r="AD21" s="24">
        <f>ROW()</f>
        <v>21</v>
      </c>
      <c r="AR21" s="24" t="s">
        <v>889</v>
      </c>
      <c r="AS21" s="24" t="s">
        <v>978</v>
      </c>
      <c r="AT21" s="24" t="s">
        <v>972</v>
      </c>
      <c r="AU21" s="24">
        <v>0</v>
      </c>
      <c r="AV21" s="24" t="s">
        <v>864</v>
      </c>
      <c r="AW21" s="24" t="b">
        <v>0</v>
      </c>
      <c r="AY21" s="24" t="b">
        <v>1</v>
      </c>
      <c r="AZ21" s="24" t="b">
        <v>1</v>
      </c>
      <c r="BB21" s="24" t="s">
        <v>979</v>
      </c>
      <c r="BC21" s="24" t="s">
        <v>847</v>
      </c>
      <c r="BD21" s="24" t="b">
        <v>0</v>
      </c>
      <c r="BE21" s="40">
        <f>B101</f>
        <v>0</v>
      </c>
      <c r="BF21" s="24" t="str">
        <f>""&amp;B101</f>
        <v/>
      </c>
      <c r="BG21" s="24" t="b">
        <v>1</v>
      </c>
      <c r="BH21" s="24" t="b">
        <v>0</v>
      </c>
      <c r="BK21" s="24" t="str">
        <f ca="1">_xlfn.FORMULATEXT(BE21)</f>
        <v>=B101</v>
      </c>
      <c r="BL21" s="24" t="str">
        <f ca="1">_xlfn.FORMULATEXT(BE21)</f>
        <v>=B101</v>
      </c>
    </row>
    <row r="22" spans="1:64" ht="14.5" customHeight="1">
      <c r="A22" s="24"/>
      <c r="B22" s="217" t="s">
        <v>28</v>
      </c>
      <c r="C22" s="153"/>
      <c r="D22" s="152"/>
      <c r="E22" s="154"/>
      <c r="F22" s="153"/>
      <c r="G22" s="152"/>
      <c r="H22" s="154"/>
      <c r="I22" s="153"/>
      <c r="J22" s="152"/>
      <c r="K22" s="154"/>
      <c r="L22" s="232" t="str">
        <f>IF(_xlfn.NUMBERVALUE(F22)=0,"0.00",TEXT((_xlfn.NUMBERVALUE(I22)/_xlfn.NUMBERVALUE(F22))*100,"0.00"))</f>
        <v>0.00</v>
      </c>
      <c r="M22" s="231"/>
      <c r="N22" s="226"/>
      <c r="O22" s="244" t="s">
        <v>977</v>
      </c>
      <c r="AD22" s="24"/>
      <c r="AR22" s="24"/>
      <c r="AS22" s="24"/>
      <c r="AT22" s="24"/>
      <c r="AU22" s="24"/>
      <c r="AV22" s="24"/>
      <c r="AW22" s="24"/>
      <c r="AY22" s="24"/>
      <c r="AZ22" s="24"/>
      <c r="BB22" s="24"/>
      <c r="BC22" s="24"/>
      <c r="BD22" s="24"/>
      <c r="BE22" s="40"/>
      <c r="BF22" s="24"/>
      <c r="BG22" s="24"/>
      <c r="BH22" s="24"/>
      <c r="BK22" s="24"/>
      <c r="BL22" s="24"/>
    </row>
    <row r="23" spans="1:64" ht="14.5" customHeight="1">
      <c r="A23" s="24"/>
      <c r="B23" s="217" t="s">
        <v>40</v>
      </c>
      <c r="C23" s="153"/>
      <c r="D23" s="152"/>
      <c r="E23" s="154"/>
      <c r="F23" s="153"/>
      <c r="G23" s="152"/>
      <c r="H23" s="154"/>
      <c r="I23" s="153"/>
      <c r="J23" s="152"/>
      <c r="K23" s="154"/>
      <c r="L23" s="232" t="str">
        <f>IF(_xlfn.NUMBERVALUE(F23)=0,"0.00",TEXT((_xlfn.NUMBERVALUE(I23)/_xlfn.NUMBERVALUE(F23))*100,"0.00"))</f>
        <v>0.00</v>
      </c>
      <c r="M23" s="231"/>
      <c r="N23" s="226"/>
      <c r="O23" s="244" t="s">
        <v>977</v>
      </c>
      <c r="AD23" s="24"/>
      <c r="AR23" s="24"/>
      <c r="AS23" s="24"/>
      <c r="AT23" s="24"/>
      <c r="AU23" s="24"/>
      <c r="AV23" s="24"/>
      <c r="AW23" s="24"/>
      <c r="AY23" s="24"/>
      <c r="AZ23" s="24"/>
      <c r="BB23" s="24"/>
      <c r="BC23" s="24"/>
      <c r="BD23" s="24"/>
      <c r="BE23" s="40"/>
      <c r="BF23" s="24"/>
      <c r="BG23" s="24"/>
      <c r="BH23" s="24"/>
      <c r="BK23" s="24"/>
      <c r="BL23" s="24"/>
    </row>
    <row r="24" spans="1:64" ht="14.5" customHeight="1">
      <c r="A24" s="24"/>
      <c r="B24" s="217" t="s">
        <v>55</v>
      </c>
      <c r="C24" s="153"/>
      <c r="D24" s="152"/>
      <c r="E24" s="154"/>
      <c r="F24" s="153"/>
      <c r="G24" s="152"/>
      <c r="H24" s="154"/>
      <c r="I24" s="153"/>
      <c r="J24" s="152"/>
      <c r="K24" s="154"/>
      <c r="L24" s="232" t="str">
        <f>IF(_xlfn.NUMBERVALUE(F24)=0,"0.00",TEXT((_xlfn.NUMBERVALUE(I24)/_xlfn.NUMBERVALUE(F24))*100,"0.00"))</f>
        <v>0.00</v>
      </c>
      <c r="M24" s="231"/>
      <c r="N24" s="226"/>
      <c r="O24" s="244" t="s">
        <v>977</v>
      </c>
      <c r="AD24" s="24"/>
      <c r="AR24" s="24"/>
      <c r="AS24" s="24"/>
      <c r="AT24" s="24"/>
      <c r="AU24" s="24"/>
      <c r="AV24" s="24"/>
      <c r="AW24" s="24"/>
      <c r="AY24" s="24"/>
      <c r="AZ24" s="24"/>
      <c r="BB24" s="24"/>
      <c r="BC24" s="24"/>
      <c r="BD24" s="24"/>
      <c r="BE24" s="40"/>
      <c r="BF24" s="24"/>
      <c r="BG24" s="24"/>
      <c r="BH24" s="24"/>
      <c r="BK24" s="24"/>
      <c r="BL24" s="24"/>
    </row>
    <row r="25" spans="1:64" ht="14.5" customHeight="1">
      <c r="A25" s="24"/>
      <c r="B25" s="217" t="s">
        <v>963</v>
      </c>
      <c r="C25" s="153"/>
      <c r="D25" s="152"/>
      <c r="E25" s="154"/>
      <c r="F25" s="153"/>
      <c r="G25" s="152"/>
      <c r="H25" s="154"/>
      <c r="I25" s="153"/>
      <c r="J25" s="152"/>
      <c r="K25" s="154"/>
      <c r="L25" s="232" t="str">
        <f>IF(_xlfn.NUMBERVALUE(F25)=0,"0.00",TEXT((_xlfn.NUMBERVALUE(I25)/_xlfn.NUMBERVALUE(F25))*100,"0.00"))</f>
        <v>0.00</v>
      </c>
      <c r="M25" s="231"/>
      <c r="N25" s="226"/>
      <c r="O25" s="244" t="s">
        <v>977</v>
      </c>
      <c r="AD25" s="24"/>
      <c r="AR25" s="24"/>
      <c r="AS25" s="24"/>
      <c r="AT25" s="24"/>
      <c r="AU25" s="24"/>
      <c r="AV25" s="24"/>
      <c r="AW25" s="24"/>
      <c r="AY25" s="24"/>
      <c r="AZ25" s="24"/>
      <c r="BB25" s="24"/>
      <c r="BC25" s="24"/>
      <c r="BD25" s="24"/>
      <c r="BE25" s="40"/>
      <c r="BF25" s="24"/>
      <c r="BG25" s="24"/>
      <c r="BH25" s="24"/>
      <c r="BK25" s="24"/>
      <c r="BL25" s="24"/>
    </row>
    <row r="26" spans="1:1 30:64" ht="14.5">
      <c r="A26" s="24"/>
      <c r="AD26" s="24">
        <f>ROW()</f>
        <v>26</v>
      </c>
      <c r="AR26" s="24" t="s">
        <v>889</v>
      </c>
      <c r="AS26" s="24" t="s">
        <v>966</v>
      </c>
      <c r="AT26" s="24" t="s">
        <v>972</v>
      </c>
      <c r="AU26" s="24">
        <v>0</v>
      </c>
      <c r="AV26" s="24" t="s">
        <v>892</v>
      </c>
      <c r="AW26" s="24" t="b">
        <v>0</v>
      </c>
      <c r="AY26" s="24" t="b">
        <v>1</v>
      </c>
      <c r="AZ26" s="24" t="b">
        <v>0</v>
      </c>
      <c r="BB26" s="24" t="s">
        <v>980</v>
      </c>
      <c r="BC26" s="24" t="s">
        <v>981</v>
      </c>
      <c r="BD26" s="24" t="b">
        <v>0</v>
      </c>
      <c r="BE26" s="24" t="str">
        <f>IF(AA106=1,"Y",IF(AA106=2,"N",""))</f>
        <v/>
      </c>
      <c r="BF26" s="24" t="str">
        <f>BE26</f>
        <v/>
      </c>
      <c r="BG26" s="24" t="b">
        <v>1</v>
      </c>
      <c r="BH26" s="24" t="b">
        <v>0</v>
      </c>
      <c r="BJ26" s="24">
        <f>AA106</f>
        <v>0</v>
      </c>
      <c r="BK26" s="24" t="str">
        <f ca="1">_xlfn.FORMULATEXT(BJ26)</f>
        <v>=AA106</v>
      </c>
      <c r="BL26" s="24" t="s">
        <v>982</v>
      </c>
    </row>
    <row r="27" spans="1:3 30:64" ht="14.5">
      <c r="A27" s="24"/>
      <c r="B27" s="42" t="s">
        <v>983</v>
      </c>
      <c r="C27" s="55"/>
      <c r="AD27" s="24">
        <f>ROW()</f>
        <v>27</v>
      </c>
      <c r="AR27" s="24" t="s">
        <v>904</v>
      </c>
      <c r="AS27" s="24" t="s">
        <v>821</v>
      </c>
      <c r="AT27" s="24" t="s">
        <v>984</v>
      </c>
      <c r="AU27" s="24">
        <v>0</v>
      </c>
      <c r="AV27" s="24" t="s">
        <v>906</v>
      </c>
      <c r="AW27" s="24" t="b">
        <v>0</v>
      </c>
      <c r="AY27" s="24" t="b">
        <v>0</v>
      </c>
      <c r="AZ27" s="24" t="b">
        <v>0</v>
      </c>
      <c r="BB27" s="24" t="s">
        <v>985</v>
      </c>
      <c r="BC27" s="24" t="s">
        <v>847</v>
      </c>
      <c r="BD27" s="24" t="b">
        <v>1</v>
      </c>
      <c r="BE27" s="24">
        <f>M108</f>
        <v>0</v>
      </c>
      <c r="BF27" s="24" t="str">
        <f>""&amp;M108</f>
        <v/>
      </c>
      <c r="BG27" s="24" t="b">
        <v>1</v>
      </c>
      <c r="BH27" s="24" t="b">
        <v>1</v>
      </c>
      <c r="BK27" s="24" t="str">
        <f ca="1">_xlfn.FORMULATEXT(BE27)</f>
        <v>=M108</v>
      </c>
      <c r="BL27" s="24" t="str">
        <f ca="1">_xlfn.FORMULATEXT(BE27)</f>
        <v>=M108</v>
      </c>
    </row>
    <row r="28" spans="1:64" ht="14.5">
      <c r="A28" s="24"/>
      <c r="B28" s="56" t="s">
        <v>986</v>
      </c>
      <c r="C28" s="56"/>
      <c r="D28" s="37"/>
      <c r="E28" s="37"/>
      <c r="F28" s="37"/>
      <c r="I28" s="37"/>
      <c r="J28" s="37"/>
      <c r="K28" s="37"/>
      <c r="L28" s="37"/>
      <c r="M28" s="215" t="s">
        <v>955</v>
      </c>
      <c r="N28" s="216"/>
      <c r="AD28" s="24">
        <f>ROW()</f>
        <v>28</v>
      </c>
      <c r="AR28" s="24" t="s">
        <v>904</v>
      </c>
      <c r="AS28" s="24" t="s">
        <v>960</v>
      </c>
      <c r="AT28" s="24" t="s">
        <v>984</v>
      </c>
      <c r="AU28" s="24">
        <v>0</v>
      </c>
      <c r="AV28" s="24" t="s">
        <v>842</v>
      </c>
      <c r="AW28" s="24" t="b">
        <v>0</v>
      </c>
      <c r="AY28" s="24" t="b">
        <v>0</v>
      </c>
      <c r="AZ28" s="24" t="b">
        <v>0</v>
      </c>
      <c r="BB28" s="24" t="s">
        <v>987</v>
      </c>
      <c r="BC28" s="24" t="s">
        <v>847</v>
      </c>
      <c r="BD28" s="24" t="b">
        <v>1</v>
      </c>
      <c r="BE28" s="24">
        <f>M110</f>
        <v>0</v>
      </c>
      <c r="BF28" s="24" t="str">
        <f>""&amp;M110</f>
        <v/>
      </c>
      <c r="BG28" s="24" t="b">
        <v>1</v>
      </c>
      <c r="BH28" s="24" t="b">
        <v>1</v>
      </c>
      <c r="BK28" s="24" t="str">
        <f ca="1">_xlfn.FORMULATEXT(BE28)</f>
        <v>=M110</v>
      </c>
      <c r="BL28" s="24" t="str">
        <f ca="1">_xlfn.FORMULATEXT(BE28)</f>
        <v>=M110</v>
      </c>
    </row>
    <row r="29" spans="1:64" ht="14.5">
      <c r="A29" s="24"/>
      <c r="B29" s="37"/>
      <c r="C29" s="37"/>
      <c r="D29" s="37"/>
      <c r="E29" s="37"/>
      <c r="F29" s="37"/>
      <c r="G29" s="37"/>
      <c r="H29" s="37"/>
      <c r="I29" s="37"/>
      <c r="J29" s="37"/>
      <c r="K29" s="37"/>
      <c r="L29" s="37"/>
      <c r="M29" s="37"/>
      <c r="N29" s="37"/>
      <c r="AD29" s="24">
        <f>ROW()</f>
        <v>29</v>
      </c>
      <c r="AR29" s="24" t="s">
        <v>904</v>
      </c>
      <c r="AS29" s="24" t="s">
        <v>988</v>
      </c>
      <c r="AT29" s="24" t="s">
        <v>984</v>
      </c>
      <c r="AU29" s="24">
        <v>0</v>
      </c>
      <c r="AV29" s="24" t="s">
        <v>864</v>
      </c>
      <c r="AW29" s="24" t="b">
        <v>0</v>
      </c>
      <c r="AY29" s="24" t="b">
        <v>1</v>
      </c>
      <c r="AZ29" s="24" t="b">
        <v>0</v>
      </c>
      <c r="BB29" s="24" t="s">
        <v>989</v>
      </c>
      <c r="BC29" s="24" t="s">
        <v>847</v>
      </c>
      <c r="BD29" s="24" t="b">
        <v>1</v>
      </c>
      <c r="BE29" s="24" t="str">
        <f>M119</f>
        <v>0.00</v>
      </c>
      <c r="BF29" s="24" t="str">
        <f>""&amp;M119</f>
        <v>0.00</v>
      </c>
      <c r="BG29" s="24" t="b">
        <v>0</v>
      </c>
      <c r="BH29" s="24" t="b">
        <v>0</v>
      </c>
      <c r="BK29" s="24" t="str">
        <f ca="1">_xlfn.FORMULATEXT(BE29)</f>
        <v>=M119</v>
      </c>
      <c r="BL29" s="24" t="str">
        <f ca="1">_xlfn.FORMULATEXT(BE29)</f>
        <v>=M119</v>
      </c>
    </row>
    <row r="30" spans="1:157" s="24" customFormat="1" ht="17.5" customHeight="1" hidden="1">
      <c r="A30" s="24" t="s">
        <v>1000</v>
      </c>
      <c r="B30" s="59" t="s">
        <v>990</v>
      </c>
      <c r="C30" s="45" t="s">
        <v>991</v>
      </c>
      <c r="D30" s="45"/>
      <c r="E30" s="45"/>
      <c r="F30" s="46" t="s">
        <v>969</v>
      </c>
      <c r="G30" s="46"/>
      <c r="H30" s="46"/>
      <c r="I30" s="46" t="s">
        <v>992</v>
      </c>
      <c r="J30" s="46"/>
      <c r="K30" s="60" t="s">
        <v>971</v>
      </c>
      <c r="L30" s="60"/>
      <c r="M30" s="60"/>
      <c r="N30" s="60"/>
      <c r="O30" s="24"/>
      <c r="P30" s="24"/>
      <c r="Q30" s="24"/>
      <c r="R30" s="24"/>
      <c r="S30" s="24"/>
      <c r="T30" s="24"/>
      <c r="U30" s="24"/>
      <c r="V30" s="24"/>
      <c r="W30" s="24"/>
      <c r="X30" s="24"/>
      <c r="Y30" s="24"/>
      <c r="Z30" s="24"/>
      <c r="AA30" s="24"/>
      <c r="AB30" s="24"/>
      <c r="AC30" s="24"/>
      <c r="AD30" s="24">
        <f>ROW()</f>
        <v>30</v>
      </c>
      <c r="AE30" s="24"/>
      <c r="AF30" s="24"/>
      <c r="AG30" s="24"/>
      <c r="AH30" s="24"/>
      <c r="AI30" s="24"/>
      <c r="AJ30" s="24"/>
      <c r="AK30" s="24"/>
      <c r="AL30" s="24"/>
      <c r="AM30" s="24"/>
      <c r="AN30" s="24"/>
      <c r="AO30" s="24"/>
      <c r="AP30" s="24"/>
      <c r="AQ30" s="24"/>
      <c r="AR30" s="24" t="s">
        <v>904</v>
      </c>
      <c r="AS30" s="24" t="s">
        <v>993</v>
      </c>
      <c r="AT30" s="24" t="s">
        <v>984</v>
      </c>
      <c r="AU30" s="24">
        <v>0</v>
      </c>
      <c r="AV30" s="24" t="s">
        <v>994</v>
      </c>
      <c r="AW30" s="24" t="b">
        <v>0</v>
      </c>
      <c r="AX30" s="24"/>
      <c r="AY30" s="24" t="b">
        <v>1</v>
      </c>
      <c r="AZ30" s="24" t="b">
        <v>1</v>
      </c>
      <c r="BA30" s="24"/>
      <c r="BB30" s="24" t="s">
        <v>995</v>
      </c>
      <c r="BC30" s="24" t="s">
        <v>847</v>
      </c>
      <c r="BD30" s="24" t="b">
        <v>1</v>
      </c>
      <c r="BE30" s="24" t="str">
        <f>M122</f>
        <v>0.00</v>
      </c>
      <c r="BF30" s="24" t="str">
        <f>""&amp;M122</f>
        <v>0.00</v>
      </c>
      <c r="BG30" s="24" t="b">
        <v>0</v>
      </c>
      <c r="BH30" s="24" t="b">
        <v>0</v>
      </c>
      <c r="BI30" s="24"/>
      <c r="BJ30" s="24"/>
      <c r="BK30" s="24" t="str">
        <f ca="1">_xlfn.FORMULATEXT(BE30)</f>
        <v>=M122</v>
      </c>
      <c r="BL30" s="24" t="str">
        <f ca="1">_xlfn.FORMULATEXT(BE30)</f>
        <v>=M122</v>
      </c>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c r="DB30" s="24"/>
      <c r="DC30" s="24"/>
      <c r="DD30" s="24"/>
      <c r="DE30" s="24"/>
      <c r="DF30" s="24"/>
      <c r="DG30" s="24"/>
      <c r="DH30" s="24"/>
      <c r="DI30" s="24"/>
      <c r="DJ30" s="24"/>
      <c r="DK30" s="24"/>
      <c r="DL30" s="24"/>
      <c r="DM30" s="24"/>
      <c r="DN30" s="24"/>
      <c r="DO30" s="24"/>
      <c r="DP30" s="24"/>
      <c r="DQ30" s="24"/>
      <c r="DR30" s="24"/>
      <c r="DS30" s="24"/>
      <c r="DT30" s="24"/>
      <c r="DU30" s="24"/>
      <c r="DV30" s="24"/>
      <c r="DW30" s="24"/>
      <c r="DX30" s="24"/>
      <c r="DY30" s="24"/>
      <c r="DZ30" s="24"/>
      <c r="EA30" s="24"/>
      <c r="EB30" s="24"/>
      <c r="EC30" s="24"/>
      <c r="ED30" s="24"/>
      <c r="EE30" s="24"/>
      <c r="EF30" s="24"/>
      <c r="EG30" s="24"/>
      <c r="EH30" s="24"/>
      <c r="EI30" s="24"/>
      <c r="EJ30" s="24"/>
      <c r="EK30" s="24"/>
      <c r="EL30" s="24"/>
      <c r="EM30" s="24"/>
      <c r="EN30" s="24"/>
      <c r="EO30" s="24"/>
      <c r="EP30" s="24"/>
      <c r="EQ30" s="24"/>
      <c r="ER30" s="24"/>
      <c r="ES30" s="24"/>
      <c r="ET30" s="24"/>
      <c r="EU30" s="24"/>
      <c r="EV30" s="24"/>
      <c r="EW30" s="24"/>
      <c r="EX30" s="24"/>
      <c r="EY30" s="24"/>
      <c r="EZ30" s="24"/>
      <c r="FA30" s="24"/>
    </row>
    <row r="31" spans="1:157" s="24" customFormat="1" ht="26.15" customHeight="1" hidden="1">
      <c r="A31" s="24" t="s">
        <v>1000</v>
      </c>
      <c r="B31" s="59"/>
      <c r="C31" s="246"/>
      <c r="D31" s="246"/>
      <c r="E31" s="246"/>
      <c r="F31" s="239"/>
      <c r="G31" s="239"/>
      <c r="H31" s="239"/>
      <c r="I31" s="239"/>
      <c r="J31" s="239"/>
      <c r="K31" s="239" t="s">
        <v>996</v>
      </c>
      <c r="L31" s="239"/>
      <c r="M31" s="246" t="s">
        <v>975</v>
      </c>
      <c r="N31" s="246"/>
      <c r="O31" s="24"/>
      <c r="P31" s="24"/>
      <c r="Q31" s="24"/>
      <c r="R31" s="24"/>
      <c r="S31" s="24"/>
      <c r="T31" s="24"/>
      <c r="U31" s="24"/>
      <c r="V31" s="24"/>
      <c r="W31" s="24"/>
      <c r="X31" s="24"/>
      <c r="Y31" s="24"/>
      <c r="Z31" s="24"/>
      <c r="AA31" s="24"/>
      <c r="AB31" s="24"/>
      <c r="AC31" s="24"/>
      <c r="AD31" s="24">
        <f>ROW()</f>
        <v>31</v>
      </c>
      <c r="AE31" s="24"/>
      <c r="AF31" s="24"/>
      <c r="AG31" s="24"/>
      <c r="AH31" s="24"/>
      <c r="AI31" s="24"/>
      <c r="AJ31" s="24"/>
      <c r="AK31" s="24"/>
      <c r="AL31" s="24"/>
      <c r="AM31" s="24"/>
      <c r="AN31" s="24"/>
      <c r="AO31" s="24"/>
      <c r="AP31" s="24"/>
      <c r="AQ31" s="24"/>
      <c r="AR31" s="24" t="s">
        <v>904</v>
      </c>
      <c r="AS31" s="24" t="s">
        <v>997</v>
      </c>
      <c r="AT31" s="24" t="s">
        <v>984</v>
      </c>
      <c r="AU31" s="24">
        <v>0</v>
      </c>
      <c r="AV31" s="24" t="s">
        <v>998</v>
      </c>
      <c r="AW31" s="24" t="b">
        <v>0</v>
      </c>
      <c r="AX31" s="24"/>
      <c r="AY31" s="24" t="b">
        <v>1</v>
      </c>
      <c r="AZ31" s="24" t="b">
        <v>0</v>
      </c>
      <c r="BA31" s="24"/>
      <c r="BB31" s="24" t="s">
        <v>999</v>
      </c>
      <c r="BC31" s="24" t="s">
        <v>847</v>
      </c>
      <c r="BD31" s="24" t="b">
        <v>1</v>
      </c>
      <c r="BE31" s="40">
        <f>M124</f>
        <v>0</v>
      </c>
      <c r="BF31" s="24" t="str">
        <f>""&amp;M124</f>
        <v/>
      </c>
      <c r="BG31" s="24" t="b">
        <v>1</v>
      </c>
      <c r="BH31" s="24" t="b">
        <v>0</v>
      </c>
      <c r="BI31" s="24"/>
      <c r="BJ31" s="24"/>
      <c r="BK31" s="24" t="str">
        <f ca="1">_xlfn.FORMULATEXT(BE31)</f>
        <v>=M124</v>
      </c>
      <c r="BL31" s="24" t="str">
        <f ca="1">_xlfn.FORMULATEXT(BE31)</f>
        <v>=M124</v>
      </c>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row>
    <row r="32" spans="1:157" s="24" customFormat="1" ht="34.5" customHeight="1" hidden="1">
      <c r="A32" s="24" t="s">
        <v>1000</v>
      </c>
      <c r="B32" s="217"/>
      <c r="C32" s="276"/>
      <c r="D32" s="277"/>
      <c r="E32" s="278"/>
      <c r="F32" s="279"/>
      <c r="G32" s="280"/>
      <c r="H32" s="281"/>
      <c r="I32" s="279"/>
      <c r="J32" s="281"/>
      <c r="K32" s="279"/>
      <c r="L32" s="281"/>
      <c r="M32" s="250"/>
      <c r="N32" s="251"/>
      <c r="O32" s="245"/>
      <c r="P32" s="24"/>
      <c r="Q32" s="24"/>
      <c r="R32" s="24"/>
      <c r="S32" s="24"/>
      <c r="T32" s="24"/>
      <c r="U32" s="24"/>
      <c r="V32" s="24"/>
      <c r="W32" s="24"/>
      <c r="X32" s="24"/>
      <c r="Y32" s="24"/>
      <c r="Z32" s="24"/>
      <c r="AA32" s="24"/>
      <c r="AB32" s="24"/>
      <c r="AC32" s="24"/>
      <c r="AD32" s="24">
        <f>ROW()</f>
        <v>32</v>
      </c>
      <c r="AE32" s="24"/>
      <c r="AF32" s="24"/>
      <c r="AG32" s="24"/>
      <c r="AH32" s="24"/>
      <c r="AI32" s="24"/>
      <c r="AJ32" s="24"/>
      <c r="AK32" s="24"/>
      <c r="AL32" s="24"/>
      <c r="AM32" s="24"/>
      <c r="AN32" s="24"/>
      <c r="AO32" s="24"/>
      <c r="AP32" s="24"/>
      <c r="AQ32" s="24"/>
      <c r="AR32" s="24" t="s">
        <v>904</v>
      </c>
      <c r="AS32" s="24" t="s">
        <v>1001</v>
      </c>
      <c r="AT32" s="24" t="s">
        <v>984</v>
      </c>
      <c r="AU32" s="24">
        <v>0</v>
      </c>
      <c r="AV32" s="24" t="s">
        <v>892</v>
      </c>
      <c r="AW32" s="24" t="b">
        <v>0</v>
      </c>
      <c r="AX32" s="24"/>
      <c r="AY32" s="24" t="b">
        <v>1</v>
      </c>
      <c r="AZ32" s="24" t="b">
        <v>0</v>
      </c>
      <c r="BA32" s="24"/>
      <c r="BB32" s="24" t="s">
        <v>1002</v>
      </c>
      <c r="BC32" s="24" t="s">
        <v>847</v>
      </c>
      <c r="BD32" s="24" t="b">
        <v>1</v>
      </c>
      <c r="BE32" s="24">
        <f>M126</f>
        <v>0</v>
      </c>
      <c r="BF32" s="24" t="str">
        <f>""&amp;M126</f>
        <v/>
      </c>
      <c r="BG32" s="24" t="b">
        <v>1</v>
      </c>
      <c r="BH32" s="24" t="b">
        <v>0</v>
      </c>
      <c r="BI32" s="24"/>
      <c r="BJ32" s="24"/>
      <c r="BK32" s="24" t="str">
        <f ca="1">_xlfn.FORMULATEXT(BE32)</f>
        <v>=M126</v>
      </c>
      <c r="BL32" s="24" t="str">
        <f ca="1">_xlfn.FORMULATEXT(BE32)</f>
        <v>=M126</v>
      </c>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c r="DB32" s="24"/>
      <c r="DC32" s="24"/>
      <c r="DD32" s="24"/>
      <c r="DE32" s="24"/>
      <c r="DF32" s="24"/>
      <c r="DG32" s="24"/>
      <c r="DH32" s="24"/>
      <c r="DI32" s="24"/>
      <c r="DJ32" s="24"/>
      <c r="DK32" s="24"/>
      <c r="DL32" s="24"/>
      <c r="DM32" s="24"/>
      <c r="DN32" s="24"/>
      <c r="DO32" s="24"/>
      <c r="DP32" s="24"/>
      <c r="DQ32" s="24"/>
      <c r="DR32" s="24"/>
      <c r="DS32" s="24"/>
      <c r="DT32" s="24"/>
      <c r="DU32" s="24"/>
      <c r="DV32" s="24"/>
      <c r="DW32" s="24"/>
      <c r="DX32" s="24"/>
      <c r="DY32" s="24"/>
      <c r="DZ32" s="24"/>
      <c r="EA32" s="24"/>
      <c r="EB32" s="24"/>
      <c r="EC32" s="24"/>
      <c r="ED32" s="24"/>
      <c r="EE32" s="24"/>
      <c r="EF32" s="24"/>
      <c r="EG32" s="24"/>
      <c r="EH32" s="24"/>
      <c r="EI32" s="24"/>
      <c r="EJ32" s="24"/>
      <c r="EK32" s="24"/>
      <c r="EL32" s="24"/>
      <c r="EM32" s="24"/>
      <c r="EN32" s="24"/>
      <c r="EO32" s="24"/>
      <c r="EP32" s="24"/>
      <c r="EQ32" s="24"/>
      <c r="ER32" s="24"/>
      <c r="ES32" s="24"/>
      <c r="ET32" s="24"/>
      <c r="EU32" s="24"/>
      <c r="EV32" s="24"/>
      <c r="EW32" s="24"/>
      <c r="EX32" s="24"/>
      <c r="EY32" s="24"/>
      <c r="EZ32" s="24"/>
      <c r="FA32" s="24"/>
    </row>
    <row r="33" spans="1:157" s="24" customFormat="1" ht="14.5" hidden="1">
      <c r="A33" s="24" t="s">
        <v>1000</v>
      </c>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f>ROW()</f>
        <v>33</v>
      </c>
      <c r="AE33" s="24"/>
      <c r="AF33" s="24"/>
      <c r="AG33" s="24"/>
      <c r="AH33" s="24"/>
      <c r="AI33" s="24"/>
      <c r="AJ33" s="24"/>
      <c r="AK33" s="24"/>
      <c r="AL33" s="24"/>
      <c r="AM33" s="24"/>
      <c r="AN33" s="24"/>
      <c r="AO33" s="24"/>
      <c r="AP33" s="24"/>
      <c r="AQ33" s="24"/>
      <c r="AR33" s="24" t="s">
        <v>904</v>
      </c>
      <c r="AS33" s="24" t="s">
        <v>1003</v>
      </c>
      <c r="AT33" s="24" t="s">
        <v>984</v>
      </c>
      <c r="AU33" s="24">
        <v>0</v>
      </c>
      <c r="AV33" s="24" t="s">
        <v>949</v>
      </c>
      <c r="AW33" s="24" t="b">
        <v>1</v>
      </c>
      <c r="AX33" s="24"/>
      <c r="AY33" s="24" t="b">
        <v>1</v>
      </c>
      <c r="AZ33" s="24" t="b">
        <v>0</v>
      </c>
      <c r="BA33" s="24"/>
      <c r="BB33" s="24" t="s">
        <v>1004</v>
      </c>
      <c r="BC33" s="24" t="s">
        <v>847</v>
      </c>
      <c r="BD33" s="24" t="b">
        <v>1</v>
      </c>
      <c r="BE33" s="24">
        <f>M130</f>
        <v>0</v>
      </c>
      <c r="BF33" s="24" t="str">
        <f>""&amp;M130</f>
        <v/>
      </c>
      <c r="BG33" s="24" t="b">
        <v>1</v>
      </c>
      <c r="BH33" s="24" t="b">
        <v>0</v>
      </c>
      <c r="BI33" s="24"/>
      <c r="BJ33" s="24"/>
      <c r="BK33" s="24" t="str">
        <f ca="1">_xlfn.FORMULATEXT(BE33)</f>
        <v>=M130</v>
      </c>
      <c r="BL33" s="24" t="str">
        <f ca="1">_xlfn.FORMULATEXT(BE33)</f>
        <v>=M130</v>
      </c>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c r="DB33" s="24"/>
      <c r="DC33" s="24"/>
      <c r="DD33" s="24"/>
      <c r="DE33" s="24"/>
      <c r="DF33" s="24"/>
      <c r="DG33" s="24"/>
      <c r="DH33" s="24"/>
      <c r="DI33" s="24"/>
      <c r="DJ33" s="24"/>
      <c r="DK33" s="24"/>
      <c r="DL33" s="24"/>
      <c r="DM33" s="24"/>
      <c r="DN33" s="24"/>
      <c r="DO33" s="24"/>
      <c r="DP33" s="24"/>
      <c r="DQ33" s="24"/>
      <c r="DR33" s="24"/>
      <c r="DS33" s="24"/>
      <c r="DT33" s="24"/>
      <c r="DU33" s="24"/>
      <c r="DV33" s="24"/>
      <c r="DW33" s="24"/>
      <c r="DX33" s="24"/>
      <c r="DY33" s="24"/>
      <c r="DZ33" s="24"/>
      <c r="EA33" s="24"/>
      <c r="EB33" s="24"/>
      <c r="EC33" s="24"/>
      <c r="ED33" s="24"/>
      <c r="EE33" s="24"/>
      <c r="EF33" s="24"/>
      <c r="EG33" s="24"/>
      <c r="EH33" s="24"/>
      <c r="EI33" s="24"/>
      <c r="EJ33" s="24"/>
      <c r="EK33" s="24"/>
      <c r="EL33" s="24"/>
      <c r="EM33" s="24"/>
      <c r="EN33" s="24"/>
      <c r="EO33" s="24"/>
      <c r="EP33" s="24"/>
      <c r="EQ33" s="24"/>
      <c r="ER33" s="24"/>
      <c r="ES33" s="24"/>
      <c r="ET33" s="24"/>
      <c r="EU33" s="24"/>
      <c r="EV33" s="24"/>
      <c r="EW33" s="24"/>
      <c r="EX33" s="24"/>
      <c r="EY33" s="24"/>
      <c r="EZ33" s="24"/>
      <c r="FA33" s="24"/>
    </row>
    <row r="34" spans="1:2 30:64" ht="14.5">
      <c r="A34" s="24"/>
      <c r="B34" s="26" t="s">
        <v>1005</v>
      </c>
      <c r="AD34" s="24">
        <f>ROW()</f>
        <v>34</v>
      </c>
      <c r="AR34" s="24" t="s">
        <v>904</v>
      </c>
      <c r="AS34" s="24" t="s">
        <v>1006</v>
      </c>
      <c r="AT34" s="24" t="s">
        <v>984</v>
      </c>
      <c r="AU34" s="24">
        <v>0</v>
      </c>
      <c r="AV34" s="24" t="s">
        <v>843</v>
      </c>
      <c r="AW34" s="24" t="b">
        <v>0</v>
      </c>
      <c r="AY34" s="24" t="b">
        <v>1</v>
      </c>
      <c r="AZ34" s="24" t="b">
        <v>0</v>
      </c>
      <c r="BB34" s="24" t="s">
        <v>1007</v>
      </c>
      <c r="BC34" s="24" t="s">
        <v>847</v>
      </c>
      <c r="BD34" s="24" t="b">
        <v>0</v>
      </c>
      <c r="BE34" s="24">
        <f>B138</f>
        <v>0</v>
      </c>
      <c r="BF34" s="24" t="str">
        <f>""&amp;B138</f>
        <v/>
      </c>
      <c r="BG34" s="24" t="b">
        <v>1</v>
      </c>
      <c r="BH34" s="24" t="b">
        <v>0</v>
      </c>
      <c r="BK34" s="24" t="str">
        <f ca="1">_xlfn.FORMULATEXT(BE34)</f>
        <v>=B138</v>
      </c>
      <c r="BL34" s="24" t="str">
        <f ca="1">_xlfn.FORMULATEXT(BE34)</f>
        <v>=B138</v>
      </c>
    </row>
    <row r="35" spans="1:1 30:64" ht="14.5">
      <c r="A35" s="24"/>
      <c r="AD35" s="24">
        <f>ROW()</f>
        <v>35</v>
      </c>
      <c r="AR35" s="24" t="s">
        <v>904</v>
      </c>
      <c r="AS35" s="24" t="s">
        <v>1008</v>
      </c>
      <c r="AT35" s="24" t="s">
        <v>984</v>
      </c>
      <c r="AU35" s="24">
        <v>0</v>
      </c>
      <c r="AV35" s="24" t="s">
        <v>1009</v>
      </c>
      <c r="AW35" s="24" t="b">
        <v>1</v>
      </c>
      <c r="AY35" s="24" t="b">
        <v>1</v>
      </c>
      <c r="AZ35" s="24" t="b">
        <v>0</v>
      </c>
      <c r="BB35" s="24" t="s">
        <v>1010</v>
      </c>
      <c r="BC35" s="24" t="s">
        <v>847</v>
      </c>
      <c r="BD35" s="24" t="b">
        <v>0</v>
      </c>
      <c r="BE35" s="24">
        <f>L140</f>
        <v>0</v>
      </c>
      <c r="BF35" s="24" t="str">
        <f>""&amp;L140</f>
        <v/>
      </c>
      <c r="BG35" s="24" t="b">
        <v>1</v>
      </c>
      <c r="BH35" s="24" t="b">
        <v>0</v>
      </c>
      <c r="BK35" s="24" t="str">
        <f ca="1">_xlfn.FORMULATEXT(BE35)</f>
        <v>=L140</v>
      </c>
      <c r="BL35" s="24" t="str">
        <f ca="1">_xlfn.FORMULATEXT(BE35)</f>
        <v>=L140</v>
      </c>
    </row>
    <row r="36" spans="1:2 30:64" ht="14.5">
      <c r="A36" s="24"/>
      <c r="B36" s="133" t="s">
        <v>1011</v>
      </c>
      <c r="AD36" s="24">
        <f>ROW()</f>
        <v>36</v>
      </c>
      <c r="AR36" s="24" t="s">
        <v>904</v>
      </c>
      <c r="AS36" s="24" t="s">
        <v>1012</v>
      </c>
      <c r="AT36" s="24" t="s">
        <v>984</v>
      </c>
      <c r="AU36" s="24">
        <v>0</v>
      </c>
      <c r="AV36" s="24" t="s">
        <v>1013</v>
      </c>
      <c r="AW36" s="24" t="b">
        <v>0</v>
      </c>
      <c r="AY36" s="24" t="b">
        <v>1</v>
      </c>
      <c r="AZ36" s="24" t="b">
        <v>0</v>
      </c>
      <c r="BB36" s="24" t="s">
        <v>1014</v>
      </c>
      <c r="BC36" s="24" t="s">
        <v>847</v>
      </c>
      <c r="BD36" s="24" t="b">
        <v>0</v>
      </c>
      <c r="BE36" s="24">
        <f>D147</f>
        <v>0</v>
      </c>
      <c r="BF36" s="24" t="str">
        <f>""&amp;D147</f>
        <v/>
      </c>
      <c r="BG36" s="24" t="b">
        <v>1</v>
      </c>
      <c r="BH36" s="24" t="b">
        <v>0</v>
      </c>
      <c r="BK36" s="24" t="str">
        <f ca="1">_xlfn.FORMULATEXT(BE36)</f>
        <v>=D147</v>
      </c>
      <c r="BL36" s="24" t="str">
        <f ca="1">_xlfn.FORMULATEXT(BE36)</f>
        <v>=D147</v>
      </c>
    </row>
    <row r="37" spans="1:64" ht="32.5" customHeight="1">
      <c r="A37" s="24"/>
      <c r="B37" s="135"/>
      <c r="C37" s="134"/>
      <c r="D37" s="134"/>
      <c r="E37" s="134"/>
      <c r="F37" s="134"/>
      <c r="G37" s="134"/>
      <c r="H37" s="134"/>
      <c r="I37" s="134"/>
      <c r="J37" s="134"/>
      <c r="K37" s="134"/>
      <c r="L37" s="134"/>
      <c r="M37" s="134"/>
      <c r="N37" s="136"/>
      <c r="AD37" s="24">
        <f>ROW()</f>
        <v>37</v>
      </c>
      <c r="AR37" s="24" t="s">
        <v>904</v>
      </c>
      <c r="AS37" s="24" t="s">
        <v>1015</v>
      </c>
      <c r="AT37" s="24" t="s">
        <v>984</v>
      </c>
      <c r="AU37" s="24">
        <v>0</v>
      </c>
      <c r="AV37" s="24" t="s">
        <v>1016</v>
      </c>
      <c r="AW37" s="24" t="b">
        <v>0</v>
      </c>
      <c r="AY37" s="24" t="b">
        <v>1</v>
      </c>
      <c r="AZ37" s="24" t="b">
        <v>0</v>
      </c>
      <c r="BB37" s="24" t="s">
        <v>1017</v>
      </c>
      <c r="BC37" s="24" t="s">
        <v>981</v>
      </c>
      <c r="BD37" s="24" t="b">
        <v>0</v>
      </c>
      <c r="BE37" s="24" t="str">
        <f>IF(AA149=1,"Y",IF(AA149=2,"N",""))</f>
        <v/>
      </c>
      <c r="BF37" s="24" t="str">
        <f>BE37</f>
        <v/>
      </c>
      <c r="BG37" s="24" t="b">
        <v>1</v>
      </c>
      <c r="BH37" s="24" t="b">
        <v>0</v>
      </c>
      <c r="BJ37" s="24">
        <f>AA149</f>
        <v>0</v>
      </c>
      <c r="BK37" s="24" t="str">
        <f ca="1">_xlfn.FORMULATEXT(BJ37)</f>
        <v>=AA149</v>
      </c>
      <c r="BL37" s="24" t="s">
        <v>1018</v>
      </c>
    </row>
    <row r="38" spans="1:1 30:64" ht="14.5">
      <c r="A38" s="24"/>
      <c r="AD38" s="24">
        <f>ROW()</f>
        <v>38</v>
      </c>
      <c r="AR38" s="24" t="s">
        <v>904</v>
      </c>
      <c r="AS38" s="24" t="s">
        <v>1019</v>
      </c>
      <c r="AT38" s="24" t="s">
        <v>984</v>
      </c>
      <c r="AU38" s="24">
        <v>0</v>
      </c>
      <c r="AV38" s="24" t="s">
        <v>1020</v>
      </c>
      <c r="AW38" s="24" t="b">
        <v>0</v>
      </c>
      <c r="AY38" s="24" t="b">
        <v>1</v>
      </c>
      <c r="AZ38" s="24" t="b">
        <v>0</v>
      </c>
      <c r="BB38" s="24" t="s">
        <v>1021</v>
      </c>
      <c r="BC38" s="24" t="s">
        <v>847</v>
      </c>
      <c r="BD38" s="24" t="b">
        <v>0</v>
      </c>
      <c r="BE38" s="40">
        <f>B157</f>
        <v>0</v>
      </c>
      <c r="BF38" s="24" t="str">
        <f>""&amp;B157</f>
        <v/>
      </c>
      <c r="BG38" s="24" t="b">
        <v>1</v>
      </c>
      <c r="BH38" s="24" t="b">
        <v>0</v>
      </c>
      <c r="BK38" s="24" t="str">
        <f ca="1">_xlfn.FORMULATEXT(BE38)</f>
        <v>=B157</v>
      </c>
      <c r="BL38" s="24" t="str">
        <f ca="1">_xlfn.FORMULATEXT(BE38)</f>
        <v>=B157</v>
      </c>
    </row>
    <row r="39" spans="1:64" ht="26.5" customHeight="1">
      <c r="A39" s="24"/>
      <c r="B39" s="137" t="s">
        <v>1022</v>
      </c>
      <c r="C39" s="137"/>
      <c r="D39" s="137"/>
      <c r="E39" s="137"/>
      <c r="F39" s="137"/>
      <c r="G39" s="137"/>
      <c r="H39" s="137"/>
      <c r="I39" s="137"/>
      <c r="J39" s="137"/>
      <c r="K39" s="137"/>
      <c r="L39" s="137"/>
      <c r="M39" s="137"/>
      <c r="N39" s="137"/>
      <c r="AD39" s="24">
        <f>ROW()</f>
        <v>39</v>
      </c>
      <c r="AR39" s="24" t="s">
        <v>904</v>
      </c>
      <c r="AS39" s="24" t="s">
        <v>1023</v>
      </c>
      <c r="AT39" s="24" t="s">
        <v>984</v>
      </c>
      <c r="AU39" s="24">
        <v>0</v>
      </c>
      <c r="AV39" s="24" t="s">
        <v>1024</v>
      </c>
      <c r="AW39" s="24" t="b">
        <v>0</v>
      </c>
      <c r="AY39" s="24" t="b">
        <v>1</v>
      </c>
      <c r="AZ39" s="24" t="b">
        <v>0</v>
      </c>
      <c r="BB39" s="24" t="s">
        <v>1025</v>
      </c>
      <c r="BC39" s="24" t="s">
        <v>847</v>
      </c>
      <c r="BD39" s="24" t="b">
        <v>0</v>
      </c>
      <c r="BE39" s="24">
        <f>B159</f>
        <v>0</v>
      </c>
      <c r="BF39" s="24" t="str">
        <f>""&amp;B159</f>
        <v/>
      </c>
      <c r="BG39" s="24" t="b">
        <v>1</v>
      </c>
      <c r="BH39" s="24" t="b">
        <v>0</v>
      </c>
      <c r="BK39" s="24" t="str">
        <f ca="1">_xlfn.FORMULATEXT(BE39)</f>
        <v>=B159</v>
      </c>
      <c r="BL39" s="24" t="str">
        <f ca="1">_xlfn.FORMULATEXT(BE39)</f>
        <v>=B159</v>
      </c>
    </row>
    <row r="40" spans="1:64" ht="32.5" customHeight="1">
      <c r="A40" s="24"/>
      <c r="B40" s="135"/>
      <c r="C40" s="134"/>
      <c r="D40" s="134"/>
      <c r="E40" s="134"/>
      <c r="F40" s="134"/>
      <c r="G40" s="134"/>
      <c r="H40" s="134"/>
      <c r="I40" s="134"/>
      <c r="J40" s="134"/>
      <c r="K40" s="134"/>
      <c r="L40" s="134"/>
      <c r="M40" s="134"/>
      <c r="N40" s="136"/>
      <c r="AD40" s="24">
        <f>ROW()</f>
        <v>40</v>
      </c>
      <c r="AR40" s="24" t="s">
        <v>915</v>
      </c>
      <c r="AS40" s="24" t="s">
        <v>821</v>
      </c>
      <c r="AT40" s="24" t="s">
        <v>1026</v>
      </c>
      <c r="AU40" s="24">
        <v>0</v>
      </c>
      <c r="AV40" s="24" t="s">
        <v>917</v>
      </c>
      <c r="AW40" s="24" t="b">
        <v>0</v>
      </c>
      <c r="AY40" s="24" t="b">
        <v>0</v>
      </c>
      <c r="AZ40" s="24" t="b">
        <v>0</v>
      </c>
      <c r="BB40" s="24" t="s">
        <v>1027</v>
      </c>
      <c r="BC40" s="24" t="s">
        <v>847</v>
      </c>
      <c r="BD40" s="24" t="b">
        <v>0</v>
      </c>
      <c r="BE40" s="24">
        <f>B161</f>
        <v>0</v>
      </c>
      <c r="BF40" s="24" t="str">
        <f>""&amp;B161</f>
        <v/>
      </c>
      <c r="BG40" s="24" t="b">
        <v>1</v>
      </c>
      <c r="BH40" s="24" t="b">
        <v>0</v>
      </c>
      <c r="BK40" s="24" t="str">
        <f ca="1">_xlfn.FORMULATEXT(BE40)</f>
        <v>=B161</v>
      </c>
      <c r="BL40" s="24" t="str">
        <f ca="1">_xlfn.FORMULATEXT(BE40)</f>
        <v>=B161</v>
      </c>
    </row>
    <row r="41" spans="1:1 30:64" ht="14.5">
      <c r="A41" s="24"/>
      <c r="AD41" s="24">
        <f>ROW()</f>
        <v>41</v>
      </c>
      <c r="AR41" s="24" t="s">
        <v>915</v>
      </c>
      <c r="AS41" s="24" t="s">
        <v>960</v>
      </c>
      <c r="AT41" s="24" t="s">
        <v>1026</v>
      </c>
      <c r="AU41" s="24">
        <v>0</v>
      </c>
      <c r="AV41" s="24" t="s">
        <v>842</v>
      </c>
      <c r="AW41" s="24" t="b">
        <v>0</v>
      </c>
      <c r="AY41" s="24" t="b">
        <v>0</v>
      </c>
      <c r="AZ41" s="24" t="b">
        <v>0</v>
      </c>
      <c r="BB41" s="24" t="s">
        <v>1028</v>
      </c>
      <c r="BC41" s="24" t="s">
        <v>847</v>
      </c>
      <c r="BD41" s="24" t="b">
        <v>0</v>
      </c>
      <c r="BE41" s="24">
        <f>B164</f>
        <v>0</v>
      </c>
      <c r="BF41" s="24" t="str">
        <f>""&amp;B164</f>
        <v/>
      </c>
      <c r="BG41" s="24" t="b">
        <v>1</v>
      </c>
      <c r="BH41" s="24" t="b">
        <v>0</v>
      </c>
      <c r="BK41" s="24" t="str">
        <f ca="1">_xlfn.FORMULATEXT(BE41)</f>
        <v>=B164</v>
      </c>
      <c r="BL41" s="24" t="str">
        <f ca="1">_xlfn.FORMULATEXT(BE41)</f>
        <v>=B164</v>
      </c>
    </row>
    <row r="42" spans="1:2 30:64" ht="14.5">
      <c r="A42" s="24"/>
      <c r="B42" s="133" t="s">
        <v>1029</v>
      </c>
      <c r="AD42" s="24">
        <f>ROW()</f>
        <v>42</v>
      </c>
      <c r="AR42" s="24" t="s">
        <v>915</v>
      </c>
      <c r="AS42" s="24" t="s">
        <v>1030</v>
      </c>
      <c r="AT42" s="24" t="s">
        <v>1026</v>
      </c>
      <c r="AU42" s="24">
        <v>0</v>
      </c>
      <c r="AV42" s="24" t="s">
        <v>864</v>
      </c>
      <c r="AW42" s="24" t="b">
        <v>0</v>
      </c>
      <c r="AY42" s="24" t="b">
        <v>1</v>
      </c>
      <c r="AZ42" s="24" t="b">
        <v>0</v>
      </c>
      <c r="BB42" s="24" t="s">
        <v>1031</v>
      </c>
      <c r="BC42" s="24" t="s">
        <v>847</v>
      </c>
      <c r="BD42" s="24" t="b">
        <v>0</v>
      </c>
      <c r="BE42" s="64">
        <f>B169</f>
        <v>0</v>
      </c>
      <c r="BF42" s="24" t="str">
        <f>""&amp;B169</f>
        <v/>
      </c>
      <c r="BG42" s="24" t="b">
        <v>1</v>
      </c>
      <c r="BH42" s="24" t="b">
        <v>0</v>
      </c>
      <c r="BK42" s="24" t="str">
        <f ca="1">_xlfn.FORMULATEXT(BE42)</f>
        <v>=B169</v>
      </c>
      <c r="BL42" s="24" t="str">
        <f ca="1">_xlfn.FORMULATEXT(BE42)</f>
        <v>=B169</v>
      </c>
    </row>
    <row r="43" spans="1:64" ht="31.5" customHeight="1">
      <c r="A43" s="24"/>
      <c r="B43" s="135"/>
      <c r="C43" s="134"/>
      <c r="D43" s="134"/>
      <c r="E43" s="134"/>
      <c r="F43" s="134"/>
      <c r="G43" s="134"/>
      <c r="H43" s="134"/>
      <c r="I43" s="134"/>
      <c r="J43" s="134"/>
      <c r="K43" s="134"/>
      <c r="L43" s="134"/>
      <c r="M43" s="134"/>
      <c r="N43" s="136"/>
      <c r="AD43" s="24">
        <f>ROW()</f>
        <v>43</v>
      </c>
      <c r="AR43" s="24" t="s">
        <v>915</v>
      </c>
      <c r="AS43" s="24" t="s">
        <v>1032</v>
      </c>
      <c r="AT43" s="24" t="s">
        <v>1026</v>
      </c>
      <c r="AU43" s="24">
        <v>0</v>
      </c>
      <c r="AV43" s="24" t="s">
        <v>994</v>
      </c>
      <c r="AW43" s="24" t="b">
        <v>0</v>
      </c>
      <c r="AY43" s="24" t="b">
        <v>1</v>
      </c>
      <c r="AZ43" s="24" t="b">
        <v>0</v>
      </c>
      <c r="BB43" s="24" t="s">
        <v>1033</v>
      </c>
      <c r="BC43" s="24" t="s">
        <v>847</v>
      </c>
      <c r="BD43" s="24" t="b">
        <v>0</v>
      </c>
      <c r="BE43" s="24">
        <f>B172</f>
        <v>0</v>
      </c>
      <c r="BF43" s="24" t="str">
        <f>""&amp;B172</f>
        <v/>
      </c>
      <c r="BG43" s="24" t="b">
        <v>1</v>
      </c>
      <c r="BH43" s="24" t="b">
        <v>0</v>
      </c>
      <c r="BK43" s="24" t="str">
        <f ca="1">_xlfn.FORMULATEXT(BE43)</f>
        <v>=B172</v>
      </c>
      <c r="BL43" s="24" t="str">
        <f ca="1">_xlfn.FORMULATEXT(BE43)</f>
        <v>=B172</v>
      </c>
    </row>
    <row r="44" spans="1:1 30:64" ht="14.5">
      <c r="A44" s="24"/>
      <c r="AD44" s="24">
        <f>ROW()</f>
        <v>44</v>
      </c>
      <c r="AR44" s="24" t="s">
        <v>915</v>
      </c>
      <c r="AS44" s="24" t="s">
        <v>1034</v>
      </c>
      <c r="AT44" s="24" t="s">
        <v>1026</v>
      </c>
      <c r="AU44" s="24">
        <v>0</v>
      </c>
      <c r="AV44" s="24" t="s">
        <v>998</v>
      </c>
      <c r="AW44" s="24" t="b">
        <v>0</v>
      </c>
      <c r="AY44" s="24" t="b">
        <v>1</v>
      </c>
      <c r="AZ44" s="24" t="b">
        <v>0</v>
      </c>
      <c r="BB44" s="24" t="s">
        <v>1035</v>
      </c>
      <c r="BC44" s="24" t="s">
        <v>847</v>
      </c>
      <c r="BD44" s="24" t="b">
        <v>0</v>
      </c>
      <c r="BE44" s="64">
        <f>B174</f>
        <v>0</v>
      </c>
      <c r="BF44" s="24" t="str">
        <f>""&amp;B174</f>
        <v/>
      </c>
      <c r="BG44" s="24" t="b">
        <v>1</v>
      </c>
      <c r="BH44" s="24" t="b">
        <v>0</v>
      </c>
      <c r="BK44" s="24" t="str">
        <f ca="1">_xlfn.FORMULATEXT(BE44)</f>
        <v>=B174</v>
      </c>
      <c r="BL44" s="24" t="str">
        <f ca="1">_xlfn.FORMULATEXT(BE44)</f>
        <v>=B174</v>
      </c>
    </row>
    <row r="45" spans="1:64" ht="29.15" customHeight="1">
      <c r="A45" s="24"/>
      <c r="B45" s="138" t="s">
        <v>1036</v>
      </c>
      <c r="C45" s="138"/>
      <c r="D45" s="138"/>
      <c r="E45" s="138"/>
      <c r="F45" s="138"/>
      <c r="G45" s="138"/>
      <c r="H45" s="138"/>
      <c r="I45" s="138"/>
      <c r="J45" s="138"/>
      <c r="K45" s="138"/>
      <c r="L45" s="138"/>
      <c r="M45" s="138"/>
      <c r="N45" s="138"/>
      <c r="AD45" s="24">
        <f>ROW()</f>
        <v>45</v>
      </c>
      <c r="AR45" s="24" t="s">
        <v>915</v>
      </c>
      <c r="AS45" s="24" t="s">
        <v>1037</v>
      </c>
      <c r="AT45" s="24" t="s">
        <v>1026</v>
      </c>
      <c r="AU45" s="24">
        <v>0</v>
      </c>
      <c r="AV45" s="24" t="s">
        <v>1038</v>
      </c>
      <c r="AW45" s="24" t="b">
        <v>0</v>
      </c>
      <c r="AY45" s="24" t="b">
        <v>1</v>
      </c>
      <c r="AZ45" s="24" t="b">
        <v>0</v>
      </c>
      <c r="BB45" s="24" t="s">
        <v>1039</v>
      </c>
      <c r="BC45" s="24" t="s">
        <v>847</v>
      </c>
      <c r="BD45" s="24" t="b">
        <v>0</v>
      </c>
      <c r="BE45" s="64">
        <f>B177</f>
        <v>0</v>
      </c>
      <c r="BF45" s="24" t="str">
        <f>""&amp;B177</f>
        <v/>
      </c>
      <c r="BG45" s="24" t="b">
        <v>1</v>
      </c>
      <c r="BH45" s="24" t="b">
        <v>0</v>
      </c>
      <c r="BK45" s="24" t="str">
        <f ca="1">_xlfn.FORMULATEXT(BE45)</f>
        <v>=B177</v>
      </c>
      <c r="BL45" s="24" t="str">
        <f ca="1">_xlfn.FORMULATEXT(BE45)</f>
        <v>=B177</v>
      </c>
    </row>
    <row r="46" spans="1:64" ht="29.5" customHeight="1">
      <c r="A46" s="24"/>
      <c r="B46" s="135"/>
      <c r="C46" s="134"/>
      <c r="D46" s="134"/>
      <c r="E46" s="134"/>
      <c r="F46" s="134"/>
      <c r="G46" s="134"/>
      <c r="H46" s="134"/>
      <c r="I46" s="134"/>
      <c r="J46" s="134"/>
      <c r="K46" s="134"/>
      <c r="L46" s="134"/>
      <c r="M46" s="134"/>
      <c r="N46" s="136"/>
      <c r="AD46" s="24">
        <f>ROW()</f>
        <v>46</v>
      </c>
      <c r="AR46" s="24" t="s">
        <v>915</v>
      </c>
      <c r="AS46" s="24" t="s">
        <v>1040</v>
      </c>
      <c r="AT46" s="24" t="s">
        <v>1026</v>
      </c>
      <c r="AU46" s="24">
        <v>0</v>
      </c>
      <c r="AV46" s="24" t="s">
        <v>843</v>
      </c>
      <c r="AW46" s="24" t="b">
        <v>1</v>
      </c>
      <c r="AY46" s="24" t="b">
        <v>1</v>
      </c>
      <c r="AZ46" s="24" t="b">
        <v>0</v>
      </c>
      <c r="BB46" s="24" t="s">
        <v>1041</v>
      </c>
      <c r="BC46" s="24" t="s">
        <v>847</v>
      </c>
      <c r="BD46" s="24" t="b">
        <v>0</v>
      </c>
      <c r="BE46" s="64">
        <f>B180</f>
        <v>0</v>
      </c>
      <c r="BF46" s="24" t="str">
        <f>""&amp;B180</f>
        <v/>
      </c>
      <c r="BG46" s="24" t="b">
        <v>1</v>
      </c>
      <c r="BH46" s="24" t="b">
        <v>0</v>
      </c>
      <c r="BK46" s="24" t="str">
        <f ca="1">_xlfn.FORMULATEXT(BE46)</f>
        <v>=B180</v>
      </c>
      <c r="BL46" s="24" t="str">
        <f ca="1">_xlfn.FORMULATEXT(BE46)</f>
        <v>=B180</v>
      </c>
    </row>
    <row r="47" spans="1:1 30:64" ht="14.5">
      <c r="A47" s="24"/>
      <c r="AD47" s="24">
        <f>ROW()</f>
        <v>47</v>
      </c>
      <c r="AR47" s="24" t="s">
        <v>915</v>
      </c>
      <c r="AS47" s="24" t="s">
        <v>1042</v>
      </c>
      <c r="AT47" s="24" t="s">
        <v>1026</v>
      </c>
      <c r="AU47" s="24">
        <v>0</v>
      </c>
      <c r="AV47" s="24" t="s">
        <v>862</v>
      </c>
      <c r="AW47" s="24" t="b">
        <v>1</v>
      </c>
      <c r="AY47" s="24" t="b">
        <v>1</v>
      </c>
      <c r="AZ47" s="24" t="b">
        <v>0</v>
      </c>
      <c r="BB47" s="24" t="s">
        <v>1043</v>
      </c>
      <c r="BC47" s="24" t="s">
        <v>847</v>
      </c>
      <c r="BD47" s="24" t="b">
        <v>1</v>
      </c>
      <c r="BE47" s="40">
        <f>B183</f>
        <v>0</v>
      </c>
      <c r="BF47" s="24" t="str">
        <f>""&amp;B183</f>
        <v/>
      </c>
      <c r="BG47" s="24" t="b">
        <v>1</v>
      </c>
      <c r="BH47" s="24" t="b">
        <v>0</v>
      </c>
      <c r="BK47" s="24" t="str">
        <f ca="1">_xlfn.FORMULATEXT(BE47)</f>
        <v>=B183</v>
      </c>
      <c r="BL47" s="24" t="str">
        <f ca="1">_xlfn.FORMULATEXT(BE47)</f>
        <v>=B183</v>
      </c>
    </row>
    <row r="48" spans="1:157" s="24" customFormat="1" ht="14.5" hidden="1">
      <c r="A48" s="24" t="s">
        <v>1000</v>
      </c>
      <c r="B48" s="42" t="s">
        <v>1044</v>
      </c>
      <c r="C48" s="55"/>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f>ROW()</f>
        <v>48</v>
      </c>
      <c r="AE48" s="24"/>
      <c r="AF48" s="24"/>
      <c r="AG48" s="24"/>
      <c r="AH48" s="24"/>
      <c r="AI48" s="24"/>
      <c r="AJ48" s="24"/>
      <c r="AK48" s="24"/>
      <c r="AL48" s="24"/>
      <c r="AM48" s="24"/>
      <c r="AN48" s="24"/>
      <c r="AO48" s="24"/>
      <c r="AP48" s="24"/>
      <c r="AQ48" s="24"/>
      <c r="AR48" s="24" t="s">
        <v>915</v>
      </c>
      <c r="AS48" s="24" t="s">
        <v>1045</v>
      </c>
      <c r="AT48" s="24" t="s">
        <v>1026</v>
      </c>
      <c r="AU48" s="24">
        <v>0</v>
      </c>
      <c r="AV48" s="24" t="s">
        <v>1046</v>
      </c>
      <c r="AW48" s="24" t="b">
        <v>1</v>
      </c>
      <c r="AX48" s="24"/>
      <c r="AY48" s="24" t="b">
        <v>1</v>
      </c>
      <c r="AZ48" s="24" t="b">
        <v>0</v>
      </c>
      <c r="BA48" s="24"/>
      <c r="BB48" s="24" t="s">
        <v>1047</v>
      </c>
      <c r="BC48" s="24" t="s">
        <v>847</v>
      </c>
      <c r="BD48" s="24" t="b">
        <v>0</v>
      </c>
      <c r="BE48" s="24">
        <f>B185</f>
        <v>0</v>
      </c>
      <c r="BF48" s="24" t="str">
        <f>""&amp;B185</f>
        <v/>
      </c>
      <c r="BG48" s="24" t="b">
        <v>1</v>
      </c>
      <c r="BH48" s="24" t="b">
        <v>0</v>
      </c>
      <c r="BI48" s="24"/>
      <c r="BJ48" s="24"/>
      <c r="BK48" s="24" t="str">
        <f ca="1">_xlfn.FORMULATEXT(BE48)</f>
        <v>=B185</v>
      </c>
      <c r="BL48" s="24" t="str">
        <f ca="1">_xlfn.FORMULATEXT(BE48)</f>
        <v>=B185</v>
      </c>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row>
    <row r="49" spans="1:157" s="24" customFormat="1" ht="14.5" hidden="1">
      <c r="A49" s="24" t="s">
        <v>1000</v>
      </c>
      <c r="B49" s="55"/>
      <c r="C49" s="55"/>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f>ROW()</f>
        <v>49</v>
      </c>
      <c r="AE49" s="24"/>
      <c r="AF49" s="24"/>
      <c r="AG49" s="24"/>
      <c r="AH49" s="24"/>
      <c r="AI49" s="24"/>
      <c r="AJ49" s="24"/>
      <c r="AK49" s="24"/>
      <c r="AL49" s="24"/>
      <c r="AM49" s="24"/>
      <c r="AN49" s="24"/>
      <c r="AO49" s="24"/>
      <c r="AP49" s="24"/>
      <c r="AQ49" s="24"/>
      <c r="AR49" s="24" t="s">
        <v>915</v>
      </c>
      <c r="AS49" s="24" t="s">
        <v>1048</v>
      </c>
      <c r="AT49" s="24" t="s">
        <v>1026</v>
      </c>
      <c r="AU49" s="24">
        <v>0</v>
      </c>
      <c r="AV49" s="24" t="s">
        <v>1049</v>
      </c>
      <c r="AW49" s="24" t="b">
        <v>0</v>
      </c>
      <c r="AX49" s="24"/>
      <c r="AY49" s="24" t="b">
        <v>1</v>
      </c>
      <c r="AZ49" s="24" t="b">
        <v>0</v>
      </c>
      <c r="BA49" s="24"/>
      <c r="BB49" s="24" t="s">
        <v>1050</v>
      </c>
      <c r="BC49" s="24" t="s">
        <v>847</v>
      </c>
      <c r="BD49" s="24" t="b">
        <v>0</v>
      </c>
      <c r="BE49" s="24">
        <f>B187</f>
        <v>0</v>
      </c>
      <c r="BF49" s="24" t="str">
        <f>""&amp;B187</f>
        <v/>
      </c>
      <c r="BG49" s="24" t="b">
        <v>1</v>
      </c>
      <c r="BH49" s="24" t="b">
        <v>0</v>
      </c>
      <c r="BI49" s="24"/>
      <c r="BJ49" s="24"/>
      <c r="BK49" s="24" t="str">
        <f ca="1">_xlfn.FORMULATEXT(BE49)</f>
        <v>=B187</v>
      </c>
      <c r="BL49" s="24" t="str">
        <f ca="1">_xlfn.FORMULATEXT(BE49)</f>
        <v>=B187</v>
      </c>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row>
    <row r="50" spans="1:157" s="24" customFormat="1" ht="14.5" hidden="1">
      <c r="A50" s="24" t="s">
        <v>1000</v>
      </c>
      <c r="B50" s="56" t="s">
        <v>1051</v>
      </c>
      <c r="C50" s="55"/>
      <c r="D50" s="24"/>
      <c r="E50" s="24"/>
      <c r="F50" s="24"/>
      <c r="G50" s="24"/>
      <c r="H50" s="24"/>
      <c r="I50" s="28"/>
      <c r="J50" s="24"/>
      <c r="K50" s="24"/>
      <c r="L50" s="24"/>
      <c r="M50" s="24"/>
      <c r="N50" s="24"/>
      <c r="O50" s="24"/>
      <c r="P50" s="24"/>
      <c r="Q50" s="24"/>
      <c r="R50" s="24"/>
      <c r="S50" s="24"/>
      <c r="T50" s="24"/>
      <c r="U50" s="24"/>
      <c r="V50" s="24"/>
      <c r="W50" s="24"/>
      <c r="X50" s="24"/>
      <c r="Y50" s="24"/>
      <c r="Z50" s="24"/>
      <c r="AA50" s="24"/>
      <c r="AB50" s="24"/>
      <c r="AC50" s="24"/>
      <c r="AD50" s="24">
        <f>ROW()</f>
        <v>50</v>
      </c>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t="s">
        <v>1052</v>
      </c>
      <c r="BC50" s="24" t="s">
        <v>847</v>
      </c>
      <c r="BD50" s="24" t="b">
        <v>0</v>
      </c>
      <c r="BE50" s="40">
        <f>B189</f>
        <v>0</v>
      </c>
      <c r="BF50" s="24" t="str">
        <f>""&amp;B189</f>
        <v/>
      </c>
      <c r="BG50" s="24" t="b">
        <v>1</v>
      </c>
      <c r="BH50" s="24" t="b">
        <v>0</v>
      </c>
      <c r="BI50" s="24"/>
      <c r="BJ50" s="24"/>
      <c r="BK50" s="24" t="str">
        <f ca="1">_xlfn.FORMULATEXT(BE50)</f>
        <v>=B189</v>
      </c>
      <c r="BL50" s="24" t="str">
        <f ca="1">_xlfn.FORMULATEXT(BE50)</f>
        <v>=B189</v>
      </c>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c r="DB50" s="24"/>
      <c r="DC50" s="24"/>
      <c r="DD50" s="24"/>
      <c r="DE50" s="24"/>
      <c r="DF50" s="24"/>
      <c r="DG50" s="24"/>
      <c r="DH50" s="24"/>
      <c r="DI50" s="24"/>
      <c r="DJ50" s="24"/>
      <c r="DK50" s="24"/>
      <c r="DL50" s="24"/>
      <c r="DM50" s="24"/>
      <c r="DN50" s="24"/>
      <c r="DO50" s="24"/>
      <c r="DP50" s="24"/>
      <c r="DQ50" s="24"/>
      <c r="DR50" s="24"/>
      <c r="DS50" s="24"/>
      <c r="DT50" s="24"/>
      <c r="DU50" s="24"/>
      <c r="DV50" s="24"/>
      <c r="DW50" s="24"/>
      <c r="DX50" s="24"/>
      <c r="DY50" s="24"/>
      <c r="DZ50" s="24"/>
      <c r="EA50" s="24"/>
      <c r="EB50" s="24"/>
      <c r="EC50" s="24"/>
      <c r="ED50" s="24"/>
      <c r="EE50" s="24"/>
      <c r="EF50" s="24"/>
      <c r="EG50" s="24"/>
      <c r="EH50" s="24"/>
      <c r="EI50" s="24"/>
      <c r="EJ50" s="24"/>
      <c r="EK50" s="24"/>
      <c r="EL50" s="24"/>
      <c r="EM50" s="24"/>
      <c r="EN50" s="24"/>
      <c r="EO50" s="24"/>
      <c r="EP50" s="24"/>
      <c r="EQ50" s="24"/>
      <c r="ER50" s="24"/>
      <c r="ES50" s="24"/>
      <c r="ET50" s="24"/>
      <c r="EU50" s="24"/>
      <c r="EV50" s="24"/>
      <c r="EW50" s="24"/>
      <c r="EX50" s="24"/>
      <c r="EY50" s="24"/>
      <c r="EZ50" s="24"/>
      <c r="FA50" s="24"/>
    </row>
    <row r="51" spans="1:157" s="24" customFormat="1" ht="14.5" hidden="1">
      <c r="A51" s="24" t="s">
        <v>1000</v>
      </c>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f>ROW()</f>
        <v>51</v>
      </c>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t="s">
        <v>1053</v>
      </c>
      <c r="BC51" s="24" t="s">
        <v>847</v>
      </c>
      <c r="BD51" s="24" t="b">
        <v>1</v>
      </c>
      <c r="BE51" s="24">
        <f>M192</f>
        <v>0</v>
      </c>
      <c r="BF51" s="24" t="str">
        <f>""&amp;M192</f>
        <v/>
      </c>
      <c r="BG51" s="24" t="b">
        <v>1</v>
      </c>
      <c r="BH51" s="24" t="b">
        <v>0</v>
      </c>
      <c r="BI51" s="24"/>
      <c r="BJ51" s="24"/>
      <c r="BK51" s="24" t="str">
        <f ca="1">_xlfn.FORMULATEXT(BE51)</f>
        <v>=M192</v>
      </c>
      <c r="BL51" s="24" t="str">
        <f ca="1">_xlfn.FORMULATEXT(BE51)</f>
        <v>=M192</v>
      </c>
      <c r="BM51" s="24"/>
      <c r="BN51" s="24"/>
      <c r="BO51" s="24"/>
      <c r="BP51" s="24"/>
      <c r="BQ51" s="24"/>
      <c r="BR51" s="24"/>
      <c r="BS51" s="24"/>
      <c r="BT51" s="24"/>
      <c r="BU51" s="24"/>
      <c r="BV51" s="24"/>
      <c r="BW51" s="24"/>
      <c r="BX51" s="24"/>
      <c r="BY51" s="24"/>
      <c r="BZ51" s="24"/>
      <c r="CA51" s="24"/>
      <c r="CB51" s="24"/>
      <c r="CC51" s="24"/>
      <c r="CD51" s="24"/>
      <c r="CE51" s="24"/>
      <c r="CF51" s="24"/>
      <c r="CG51" s="24"/>
      <c r="CH51" s="24"/>
      <c r="CI51" s="24"/>
      <c r="CJ51" s="24"/>
      <c r="CK51" s="24"/>
      <c r="CL51" s="24"/>
      <c r="CM51" s="24"/>
      <c r="CN51" s="24"/>
      <c r="CO51" s="24"/>
      <c r="CP51" s="24"/>
      <c r="CQ51" s="24"/>
      <c r="CR51" s="24"/>
      <c r="CS51" s="24"/>
      <c r="CT51" s="24"/>
      <c r="CU51" s="24"/>
      <c r="CV51" s="24"/>
      <c r="CW51" s="24"/>
      <c r="CX51" s="24"/>
      <c r="CY51" s="24"/>
      <c r="CZ51" s="24"/>
      <c r="DA51" s="24"/>
      <c r="DB51" s="24"/>
      <c r="DC51" s="24"/>
      <c r="DD51" s="24"/>
      <c r="DE51" s="24"/>
      <c r="DF51" s="24"/>
      <c r="DG51" s="24"/>
      <c r="DH51" s="24"/>
      <c r="DI51" s="24"/>
      <c r="DJ51" s="24"/>
      <c r="DK51" s="24"/>
      <c r="DL51" s="24"/>
      <c r="DM51" s="24"/>
      <c r="DN51" s="24"/>
      <c r="DO51" s="24"/>
      <c r="DP51" s="24"/>
      <c r="DQ51" s="24"/>
      <c r="DR51" s="24"/>
      <c r="DS51" s="24"/>
      <c r="DT51" s="24"/>
      <c r="DU51" s="24"/>
      <c r="DV51" s="24"/>
      <c r="DW51" s="24"/>
      <c r="DX51" s="24"/>
      <c r="DY51" s="24"/>
      <c r="DZ51" s="24"/>
      <c r="EA51" s="24"/>
      <c r="EB51" s="24"/>
      <c r="EC51" s="24"/>
      <c r="ED51" s="24"/>
      <c r="EE51" s="24"/>
      <c r="EF51" s="24"/>
      <c r="EG51" s="24"/>
      <c r="EH51" s="24"/>
      <c r="EI51" s="24"/>
      <c r="EJ51" s="24"/>
      <c r="EK51" s="24"/>
      <c r="EL51" s="24"/>
      <c r="EM51" s="24"/>
      <c r="EN51" s="24"/>
      <c r="EO51" s="24"/>
      <c r="EP51" s="24"/>
      <c r="EQ51" s="24"/>
      <c r="ER51" s="24"/>
      <c r="ES51" s="24"/>
      <c r="ET51" s="24"/>
      <c r="EU51" s="24"/>
      <c r="EV51" s="24"/>
      <c r="EW51" s="24"/>
      <c r="EX51" s="24"/>
      <c r="EY51" s="24"/>
      <c r="EZ51" s="24"/>
      <c r="FA51" s="24"/>
    </row>
    <row r="52" spans="1:157" s="24" customFormat="1" ht="14.5" hidden="1">
      <c r="A52" s="24" t="s">
        <v>1000</v>
      </c>
      <c r="B52" s="56" t="s">
        <v>1054</v>
      </c>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f>ROW()</f>
        <v>52</v>
      </c>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t="s">
        <v>1055</v>
      </c>
      <c r="BC52" s="24" t="s">
        <v>847</v>
      </c>
      <c r="BD52" s="24" t="b">
        <v>1</v>
      </c>
      <c r="BE52" s="24">
        <f>M194</f>
        <v>0</v>
      </c>
      <c r="BF52" s="24" t="str">
        <f>""&amp;M194</f>
        <v/>
      </c>
      <c r="BG52" s="24" t="b">
        <v>1</v>
      </c>
      <c r="BH52" s="24" t="b">
        <v>0</v>
      </c>
      <c r="BI52" s="24"/>
      <c r="BJ52" s="24"/>
      <c r="BK52" s="24" t="str">
        <f ca="1">_xlfn.FORMULATEXT(BE52)</f>
        <v>=M194</v>
      </c>
      <c r="BL52" s="24" t="str">
        <f ca="1">_xlfn.FORMULATEXT(BE52)</f>
        <v>=M194</v>
      </c>
      <c r="BM52" s="24"/>
      <c r="BN52" s="24"/>
      <c r="BO52" s="24"/>
      <c r="BP52" s="24"/>
      <c r="BQ52" s="24"/>
      <c r="BR52" s="24"/>
      <c r="BS52" s="24"/>
      <c r="BT52" s="24"/>
      <c r="BU52" s="24"/>
      <c r="BV52" s="24"/>
      <c r="BW52" s="24"/>
      <c r="BX52" s="24"/>
      <c r="BY52" s="24"/>
      <c r="BZ52" s="24"/>
      <c r="CA52" s="24"/>
      <c r="CB52" s="24"/>
      <c r="CC52" s="24"/>
      <c r="CD52" s="24"/>
      <c r="CE52" s="24"/>
      <c r="CF52" s="24"/>
      <c r="CG52" s="24"/>
      <c r="CH52" s="24"/>
      <c r="CI52" s="24"/>
      <c r="CJ52" s="24"/>
      <c r="CK52" s="24"/>
      <c r="CL52" s="24"/>
      <c r="CM52" s="24"/>
      <c r="CN52" s="24"/>
      <c r="CO52" s="24"/>
      <c r="CP52" s="24"/>
      <c r="CQ52" s="24"/>
      <c r="CR52" s="24"/>
      <c r="CS52" s="24"/>
      <c r="CT52" s="24"/>
      <c r="CU52" s="24"/>
      <c r="CV52" s="24"/>
      <c r="CW52" s="24"/>
      <c r="CX52" s="24"/>
      <c r="CY52" s="24"/>
      <c r="CZ52" s="24"/>
      <c r="DA52" s="24"/>
      <c r="DB52" s="24"/>
      <c r="DC52" s="24"/>
      <c r="DD52" s="24"/>
      <c r="DE52" s="24"/>
      <c r="DF52" s="24"/>
      <c r="DG52" s="24"/>
      <c r="DH52" s="24"/>
      <c r="DI52" s="24"/>
      <c r="DJ52" s="24"/>
      <c r="DK52" s="24"/>
      <c r="DL52" s="24"/>
      <c r="DM52" s="24"/>
      <c r="DN52" s="24"/>
      <c r="DO52" s="24"/>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row>
    <row r="53" spans="1:157" s="24" customFormat="1" ht="14.5" hidden="1">
      <c r="A53" s="24" t="s">
        <v>1000</v>
      </c>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f>ROW()</f>
        <v>53</v>
      </c>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t="s">
        <v>1056</v>
      </c>
      <c r="BC53" s="24" t="s">
        <v>847</v>
      </c>
      <c r="BD53" s="24" t="b">
        <v>1</v>
      </c>
      <c r="BE53" s="24">
        <f>M196</f>
        <v>0</v>
      </c>
      <c r="BF53" s="24" t="str">
        <f>""&amp;M196</f>
        <v/>
      </c>
      <c r="BG53" s="24" t="b">
        <v>1</v>
      </c>
      <c r="BH53" s="24" t="b">
        <v>0</v>
      </c>
      <c r="BI53" s="24"/>
      <c r="BJ53" s="24"/>
      <c r="BK53" s="24" t="str">
        <f ca="1">_xlfn.FORMULATEXT(BE53)</f>
        <v>=M196</v>
      </c>
      <c r="BL53" s="24" t="str">
        <f ca="1">_xlfn.FORMULATEXT(BE53)</f>
        <v>=M196</v>
      </c>
      <c r="BM53" s="24"/>
      <c r="BN53" s="24"/>
      <c r="BO53" s="24"/>
      <c r="BP53" s="24"/>
      <c r="BQ53" s="24"/>
      <c r="BR53" s="24"/>
      <c r="BS53" s="24"/>
      <c r="BT53" s="24"/>
      <c r="BU53" s="24"/>
      <c r="BV53" s="24"/>
      <c r="BW53" s="24"/>
      <c r="BX53" s="24"/>
      <c r="BY53" s="24"/>
      <c r="BZ53" s="24"/>
      <c r="CA53" s="24"/>
      <c r="CB53" s="24"/>
      <c r="CC53" s="24"/>
      <c r="CD53" s="24"/>
      <c r="CE53" s="24"/>
      <c r="CF53" s="24"/>
      <c r="CG53" s="24"/>
      <c r="CH53" s="24"/>
      <c r="CI53" s="24"/>
      <c r="CJ53" s="24"/>
      <c r="CK53" s="24"/>
      <c r="CL53" s="24"/>
      <c r="CM53" s="24"/>
      <c r="CN53" s="24"/>
      <c r="CO53" s="24"/>
      <c r="CP53" s="24"/>
      <c r="CQ53" s="24"/>
      <c r="CR53" s="24"/>
      <c r="CS53" s="24"/>
      <c r="CT53" s="24"/>
      <c r="CU53" s="24"/>
      <c r="CV53" s="24"/>
      <c r="CW53" s="24"/>
      <c r="CX53" s="24"/>
      <c r="CY53" s="24"/>
      <c r="CZ53" s="24"/>
      <c r="DA53" s="24"/>
      <c r="DB53" s="24"/>
      <c r="DC53" s="24"/>
      <c r="DD53" s="24"/>
      <c r="DE53" s="24"/>
      <c r="DF53" s="24"/>
      <c r="DG53" s="24"/>
      <c r="DH53" s="24"/>
      <c r="DI53" s="24"/>
      <c r="DJ53" s="24"/>
      <c r="DK53" s="24"/>
      <c r="DL53" s="24"/>
      <c r="DM53" s="24"/>
      <c r="DN53" s="24"/>
      <c r="DO53" s="24"/>
      <c r="DP53" s="24"/>
      <c r="DQ53" s="24"/>
      <c r="DR53" s="24"/>
      <c r="DS53" s="24"/>
      <c r="DT53" s="24"/>
      <c r="DU53" s="24"/>
      <c r="DV53" s="24"/>
      <c r="DW53" s="24"/>
      <c r="DX53" s="24"/>
      <c r="DY53" s="24"/>
      <c r="DZ53" s="24"/>
      <c r="EA53" s="24"/>
      <c r="EB53" s="24"/>
      <c r="EC53" s="24"/>
      <c r="ED53" s="24"/>
      <c r="EE53" s="24"/>
      <c r="EF53" s="24"/>
      <c r="EG53" s="24"/>
      <c r="EH53" s="24"/>
      <c r="EI53" s="24"/>
      <c r="EJ53" s="24"/>
      <c r="EK53" s="24"/>
      <c r="EL53" s="24"/>
      <c r="EM53" s="24"/>
      <c r="EN53" s="24"/>
      <c r="EO53" s="24"/>
      <c r="EP53" s="24"/>
      <c r="EQ53" s="24"/>
      <c r="ER53" s="24"/>
      <c r="ES53" s="24"/>
      <c r="ET53" s="24"/>
      <c r="EU53" s="24"/>
      <c r="EV53" s="24"/>
      <c r="EW53" s="24"/>
      <c r="EX53" s="24"/>
      <c r="EY53" s="24"/>
      <c r="EZ53" s="24"/>
      <c r="FA53" s="24"/>
    </row>
    <row r="54" spans="1:157" s="24" customFormat="1" ht="27" customHeight="1" hidden="1">
      <c r="A54" s="24" t="s">
        <v>1000</v>
      </c>
      <c r="B54" s="66" t="s">
        <v>968</v>
      </c>
      <c r="C54" s="239" t="s">
        <v>1057</v>
      </c>
      <c r="D54" s="239"/>
      <c r="E54" s="239"/>
      <c r="F54" s="239"/>
      <c r="G54" s="239"/>
      <c r="H54" s="239"/>
      <c r="I54" s="239" t="s">
        <v>1058</v>
      </c>
      <c r="J54" s="239"/>
      <c r="K54" s="239"/>
      <c r="L54" s="239"/>
      <c r="M54" s="239"/>
      <c r="N54" s="239"/>
      <c r="O54" s="24"/>
      <c r="P54" s="24"/>
      <c r="Q54" s="24"/>
      <c r="R54" s="24"/>
      <c r="S54" s="24"/>
      <c r="T54" s="24"/>
      <c r="U54" s="24"/>
      <c r="V54" s="24"/>
      <c r="W54" s="24"/>
      <c r="X54" s="24"/>
      <c r="Y54" s="24"/>
      <c r="Z54" s="24"/>
      <c r="AA54" s="24"/>
      <c r="AB54" s="24"/>
      <c r="AC54" s="24"/>
      <c r="AD54" s="24">
        <f>ROW()</f>
        <v>54</v>
      </c>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t="s">
        <v>1059</v>
      </c>
      <c r="BC54" s="24" t="s">
        <v>847</v>
      </c>
      <c r="BD54" s="24" t="b">
        <v>1</v>
      </c>
      <c r="BE54" s="24">
        <f>M198</f>
        <v>0</v>
      </c>
      <c r="BF54" s="24" t="str">
        <f>""&amp;M198</f>
        <v/>
      </c>
      <c r="BG54" s="24" t="b">
        <v>1</v>
      </c>
      <c r="BH54" s="24" t="b">
        <v>0</v>
      </c>
      <c r="BI54" s="24"/>
      <c r="BJ54" s="24"/>
      <c r="BK54" s="24" t="str">
        <f ca="1">_xlfn.FORMULATEXT(BE54)</f>
        <v>=M198</v>
      </c>
      <c r="BL54" s="24" t="str">
        <f ca="1">_xlfn.FORMULATEXT(BE54)</f>
        <v>=M198</v>
      </c>
      <c r="BM54" s="24"/>
      <c r="BN54" s="24"/>
      <c r="BO54" s="24"/>
      <c r="BP54" s="24"/>
      <c r="BQ54" s="24"/>
      <c r="BR54" s="24"/>
      <c r="BS54" s="24"/>
      <c r="BT54" s="24"/>
      <c r="BU54" s="24"/>
      <c r="BV54" s="24"/>
      <c r="BW54" s="24"/>
      <c r="BX54" s="24"/>
      <c r="BY54" s="24"/>
      <c r="BZ54" s="24"/>
      <c r="CA54" s="24"/>
      <c r="CB54" s="24"/>
      <c r="CC54" s="24"/>
      <c r="CD54" s="24"/>
      <c r="CE54" s="24"/>
      <c r="CF54" s="24"/>
      <c r="CG54" s="24"/>
      <c r="CH54" s="24"/>
      <c r="CI54" s="24"/>
      <c r="CJ54" s="24"/>
      <c r="CK54" s="24"/>
      <c r="CL54" s="24"/>
      <c r="CM54" s="24"/>
      <c r="CN54" s="24"/>
      <c r="CO54" s="24"/>
      <c r="CP54" s="24"/>
      <c r="CQ54" s="24"/>
      <c r="CR54" s="24"/>
      <c r="CS54" s="24"/>
      <c r="CT54" s="24"/>
      <c r="CU54" s="24"/>
      <c r="CV54" s="24"/>
      <c r="CW54" s="24"/>
      <c r="CX54" s="24"/>
      <c r="CY54" s="24"/>
      <c r="CZ54" s="24"/>
      <c r="DA54" s="24"/>
      <c r="DB54" s="24"/>
      <c r="DC54" s="24"/>
      <c r="DD54" s="24"/>
      <c r="DE54" s="24"/>
      <c r="DF54" s="24"/>
      <c r="DG54" s="24"/>
      <c r="DH54" s="24"/>
      <c r="DI54" s="24"/>
      <c r="DJ54" s="24"/>
      <c r="DK54" s="24"/>
      <c r="DL54" s="24"/>
      <c r="DM54" s="24"/>
      <c r="DN54" s="24"/>
      <c r="DO54" s="24"/>
      <c r="DP54" s="24"/>
      <c r="DQ54" s="24"/>
      <c r="DR54" s="24"/>
      <c r="DS54" s="24"/>
      <c r="DT54" s="24"/>
      <c r="DU54" s="24"/>
      <c r="DV54" s="24"/>
      <c r="DW54" s="24"/>
      <c r="DX54" s="24"/>
      <c r="DY54" s="24"/>
      <c r="DZ54" s="24"/>
      <c r="EA54" s="24"/>
      <c r="EB54" s="24"/>
      <c r="EC54" s="24"/>
      <c r="ED54" s="24"/>
      <c r="EE54" s="24"/>
      <c r="EF54" s="24"/>
      <c r="EG54" s="24"/>
      <c r="EH54" s="24"/>
      <c r="EI54" s="24"/>
      <c r="EJ54" s="24"/>
      <c r="EK54" s="24"/>
      <c r="EL54" s="24"/>
      <c r="EM54" s="24"/>
      <c r="EN54" s="24"/>
      <c r="EO54" s="24"/>
      <c r="EP54" s="24"/>
      <c r="EQ54" s="24"/>
      <c r="ER54" s="24"/>
      <c r="ES54" s="24"/>
      <c r="ET54" s="24"/>
      <c r="EU54" s="24"/>
      <c r="EV54" s="24"/>
      <c r="EW54" s="24"/>
      <c r="EX54" s="24"/>
      <c r="EY54" s="24"/>
      <c r="EZ54" s="24"/>
      <c r="FA54" s="24"/>
    </row>
    <row r="55" spans="1:157" s="24" customFormat="1" ht="28.75" customHeight="1" hidden="1">
      <c r="A55" s="24" t="s">
        <v>1000</v>
      </c>
      <c r="B55" s="217"/>
      <c r="C55" s="276"/>
      <c r="D55" s="277"/>
      <c r="E55" s="277"/>
      <c r="F55" s="277"/>
      <c r="G55" s="277"/>
      <c r="H55" s="278"/>
      <c r="I55" s="282"/>
      <c r="J55" s="283"/>
      <c r="K55" s="283"/>
      <c r="L55" s="283"/>
      <c r="M55" s="283"/>
      <c r="N55" s="278"/>
      <c r="O55" s="245" t="s">
        <v>1060</v>
      </c>
      <c r="P55" s="24"/>
      <c r="Q55" s="24"/>
      <c r="R55" s="24"/>
      <c r="S55" s="24"/>
      <c r="T55" s="24"/>
      <c r="U55" s="24"/>
      <c r="V55" s="24"/>
      <c r="W55" s="24"/>
      <c r="X55" s="24"/>
      <c r="Y55" s="24"/>
      <c r="Z55" s="24"/>
      <c r="AA55" s="24"/>
      <c r="AB55" s="24"/>
      <c r="AC55" s="24"/>
      <c r="AD55" s="24">
        <f>ROW()</f>
        <v>55</v>
      </c>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t="s">
        <v>1061</v>
      </c>
      <c r="BC55" s="24" t="s">
        <v>847</v>
      </c>
      <c r="BD55" s="24" t="b">
        <v>1</v>
      </c>
      <c r="BE55" s="24">
        <f>M200</f>
        <v>0</v>
      </c>
      <c r="BF55" s="24" t="str">
        <f>""&amp;M200</f>
        <v/>
      </c>
      <c r="BG55" s="24" t="b">
        <v>1</v>
      </c>
      <c r="BH55" s="24" t="b">
        <v>0</v>
      </c>
      <c r="BI55" s="24"/>
      <c r="BJ55" s="24"/>
      <c r="BK55" s="24" t="str">
        <f ca="1">_xlfn.FORMULATEXT(BE55)</f>
        <v>=M200</v>
      </c>
      <c r="BL55" s="24" t="str">
        <f ca="1">_xlfn.FORMULATEXT(BE55)</f>
        <v>=M200</v>
      </c>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row>
    <row r="56" spans="1:1 30:30 54:64" ht="14.5">
      <c r="A56" s="24"/>
      <c r="AD56" s="24">
        <f>ROW()</f>
        <v>56</v>
      </c>
      <c r="BB56" s="24" t="s">
        <v>1062</v>
      </c>
      <c r="BC56" s="24" t="s">
        <v>847</v>
      </c>
      <c r="BD56" s="24" t="b">
        <v>1</v>
      </c>
      <c r="BE56" s="24">
        <f>M202</f>
        <v>0</v>
      </c>
      <c r="BF56" s="24" t="str">
        <f>""&amp;M202</f>
        <v/>
      </c>
      <c r="BG56" s="24" t="b">
        <v>1</v>
      </c>
      <c r="BH56" s="24" t="b">
        <v>0</v>
      </c>
      <c r="BK56" s="24" t="str">
        <f ca="1">_xlfn.FORMULATEXT(BE56)</f>
        <v>=M202</v>
      </c>
      <c r="BL56" s="24" t="str">
        <f ca="1">_xlfn.FORMULATEXT(BE56)</f>
        <v>=M202</v>
      </c>
    </row>
    <row r="57" spans="1:157" s="24" customFormat="1" ht="14.5" hidden="1">
      <c r="A57" s="24" t="s">
        <v>1000</v>
      </c>
      <c r="B57" s="56" t="s">
        <v>1063</v>
      </c>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f>ROW()</f>
        <v>57</v>
      </c>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t="s">
        <v>1064</v>
      </c>
      <c r="BC57" s="24" t="s">
        <v>847</v>
      </c>
      <c r="BD57" s="24" t="b">
        <v>1</v>
      </c>
      <c r="BE57" s="24">
        <f>M204</f>
        <v>0</v>
      </c>
      <c r="BF57" s="24" t="str">
        <f>""&amp;M204</f>
        <v/>
      </c>
      <c r="BG57" s="24" t="b">
        <v>1</v>
      </c>
      <c r="BH57" s="24" t="b">
        <v>0</v>
      </c>
      <c r="BI57" s="24"/>
      <c r="BJ57" s="24"/>
      <c r="BK57" s="24" t="str">
        <f ca="1">_xlfn.FORMULATEXT(BE57)</f>
        <v>=M204</v>
      </c>
      <c r="BL57" s="24" t="str">
        <f ca="1">_xlfn.FORMULATEXT(BE57)</f>
        <v>=M204</v>
      </c>
      <c r="BM57" s="24"/>
      <c r="BN57" s="24"/>
      <c r="BO57" s="24"/>
      <c r="BP57" s="24"/>
      <c r="BQ57" s="24"/>
      <c r="BR57" s="24"/>
      <c r="BS57" s="24"/>
      <c r="BT57" s="24"/>
      <c r="BU57" s="24"/>
      <c r="BV57" s="24"/>
      <c r="BW57" s="24"/>
      <c r="BX57" s="24"/>
      <c r="BY57" s="24"/>
      <c r="BZ57" s="24"/>
      <c r="CA57" s="24"/>
      <c r="CB57" s="24"/>
      <c r="CC57" s="24"/>
      <c r="CD57" s="24"/>
      <c r="CE57" s="24"/>
      <c r="CF57" s="24"/>
      <c r="CG57" s="24"/>
      <c r="CH57" s="24"/>
      <c r="CI57" s="24"/>
      <c r="CJ57" s="24"/>
      <c r="CK57" s="24"/>
      <c r="CL57" s="24"/>
      <c r="CM57" s="24"/>
      <c r="CN57" s="24"/>
      <c r="CO57" s="24"/>
      <c r="CP57" s="24"/>
      <c r="CQ57" s="24"/>
      <c r="CR57" s="24"/>
      <c r="CS57" s="24"/>
      <c r="CT57" s="24"/>
      <c r="CU57" s="24"/>
      <c r="CV57" s="24"/>
      <c r="CW57" s="24"/>
      <c r="CX57" s="24"/>
      <c r="CY57" s="24"/>
      <c r="CZ57" s="24"/>
      <c r="DA57" s="24"/>
      <c r="DB57" s="24"/>
      <c r="DC57" s="24"/>
      <c r="DD57" s="24"/>
      <c r="DE57" s="24"/>
      <c r="DF57" s="24"/>
      <c r="DG57" s="24"/>
      <c r="DH57" s="24"/>
      <c r="DI57" s="24"/>
      <c r="DJ57" s="24"/>
      <c r="DK57" s="24"/>
      <c r="DL57" s="24"/>
      <c r="DM57" s="24"/>
      <c r="DN57" s="24"/>
      <c r="DO57" s="24"/>
      <c r="DP57" s="24"/>
      <c r="DQ57" s="24"/>
      <c r="DR57" s="24"/>
      <c r="DS57" s="24"/>
      <c r="DT57" s="24"/>
      <c r="DU57" s="24"/>
      <c r="DV57" s="24"/>
      <c r="DW57" s="24"/>
      <c r="DX57" s="24"/>
      <c r="DY57" s="24"/>
      <c r="DZ57" s="24"/>
      <c r="EA57" s="24"/>
      <c r="EB57" s="24"/>
      <c r="EC57" s="24"/>
      <c r="ED57" s="24"/>
      <c r="EE57" s="24"/>
      <c r="EF57" s="24"/>
      <c r="EG57" s="24"/>
      <c r="EH57" s="24"/>
      <c r="EI57" s="24"/>
      <c r="EJ57" s="24"/>
      <c r="EK57" s="24"/>
      <c r="EL57" s="24"/>
      <c r="EM57" s="24"/>
      <c r="EN57" s="24"/>
      <c r="EO57" s="24"/>
      <c r="EP57" s="24"/>
      <c r="EQ57" s="24"/>
      <c r="ER57" s="24"/>
      <c r="ES57" s="24"/>
      <c r="ET57" s="24"/>
      <c r="EU57" s="24"/>
      <c r="EV57" s="24"/>
      <c r="EW57" s="24"/>
      <c r="EX57" s="24"/>
      <c r="EY57" s="24"/>
      <c r="EZ57" s="24"/>
      <c r="FA57" s="24"/>
    </row>
    <row r="58" spans="1:157" s="24" customFormat="1" ht="14.5" hidden="1">
      <c r="A58" s="24" t="s">
        <v>1000</v>
      </c>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f>ROW()</f>
        <v>58</v>
      </c>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t="s">
        <v>1065</v>
      </c>
      <c r="BC58" s="24" t="s">
        <v>847</v>
      </c>
      <c r="BD58" s="24" t="b">
        <v>1</v>
      </c>
      <c r="BE58" s="24">
        <f>M206</f>
        <v>0</v>
      </c>
      <c r="BF58" s="24" t="str">
        <f>""&amp;M206</f>
        <v/>
      </c>
      <c r="BG58" s="24" t="b">
        <v>1</v>
      </c>
      <c r="BH58" s="24" t="b">
        <v>0</v>
      </c>
      <c r="BI58" s="24"/>
      <c r="BJ58" s="24"/>
      <c r="BK58" s="24" t="str">
        <f ca="1">_xlfn.FORMULATEXT(BE58)</f>
        <v>=M206</v>
      </c>
      <c r="BL58" s="24" t="str">
        <f ca="1">_xlfn.FORMULATEXT(BE58)</f>
        <v>=M206</v>
      </c>
      <c r="BM58" s="24"/>
      <c r="BN58" s="24"/>
      <c r="BO58" s="24"/>
      <c r="BP58" s="24"/>
      <c r="BQ58" s="24"/>
      <c r="BR58" s="24"/>
      <c r="BS58" s="24"/>
      <c r="BT58" s="24"/>
      <c r="BU58" s="24"/>
      <c r="BV58" s="24"/>
      <c r="BW58" s="24"/>
      <c r="BX58" s="24"/>
      <c r="BY58" s="24"/>
      <c r="BZ58" s="24"/>
      <c r="CA58" s="24"/>
      <c r="CB58" s="24"/>
      <c r="CC58" s="24"/>
      <c r="CD58" s="24"/>
      <c r="CE58" s="24"/>
      <c r="CF58" s="24"/>
      <c r="CG58" s="24"/>
      <c r="CH58" s="24"/>
      <c r="CI58" s="24"/>
      <c r="CJ58" s="24"/>
      <c r="CK58" s="24"/>
      <c r="CL58" s="24"/>
      <c r="CM58" s="24"/>
      <c r="CN58" s="24"/>
      <c r="CO58" s="24"/>
      <c r="CP58" s="24"/>
      <c r="CQ58" s="24"/>
      <c r="CR58" s="24"/>
      <c r="CS58" s="24"/>
      <c r="CT58" s="24"/>
      <c r="CU58" s="24"/>
      <c r="CV58" s="24"/>
      <c r="CW58" s="24"/>
      <c r="CX58" s="24"/>
      <c r="CY58" s="24"/>
      <c r="CZ58" s="24"/>
      <c r="DA58" s="24"/>
      <c r="DB58" s="24"/>
      <c r="DC58" s="24"/>
      <c r="DD58" s="24"/>
      <c r="DE58" s="24"/>
      <c r="DF58" s="24"/>
      <c r="DG58" s="24"/>
      <c r="DH58" s="24"/>
      <c r="DI58" s="24"/>
      <c r="DJ58" s="24"/>
      <c r="DK58" s="24"/>
      <c r="DL58" s="24"/>
      <c r="DM58" s="24"/>
      <c r="DN58" s="24"/>
      <c r="DO58" s="24"/>
      <c r="DP58" s="24"/>
      <c r="DQ58" s="24"/>
      <c r="DR58" s="24"/>
      <c r="DS58" s="24"/>
      <c r="DT58" s="24"/>
      <c r="DU58" s="24"/>
      <c r="DV58" s="24"/>
      <c r="DW58" s="24"/>
      <c r="DX58" s="24"/>
      <c r="DY58" s="24"/>
      <c r="DZ58" s="24"/>
      <c r="EA58" s="24"/>
      <c r="EB58" s="24"/>
      <c r="EC58" s="24"/>
      <c r="ED58" s="24"/>
      <c r="EE58" s="24"/>
      <c r="EF58" s="24"/>
      <c r="EG58" s="24"/>
      <c r="EH58" s="24"/>
      <c r="EI58" s="24"/>
      <c r="EJ58" s="24"/>
      <c r="EK58" s="24"/>
      <c r="EL58" s="24"/>
      <c r="EM58" s="24"/>
      <c r="EN58" s="24"/>
      <c r="EO58" s="24"/>
      <c r="EP58" s="24"/>
      <c r="EQ58" s="24"/>
      <c r="ER58" s="24"/>
      <c r="ES58" s="24"/>
      <c r="ET58" s="24"/>
      <c r="EU58" s="24"/>
      <c r="EV58" s="24"/>
      <c r="EW58" s="24"/>
      <c r="EX58" s="24"/>
      <c r="EY58" s="24"/>
      <c r="EZ58" s="24"/>
      <c r="FA58" s="24"/>
    </row>
    <row r="59" spans="1:157" s="24" customFormat="1" ht="25" customHeight="1" hidden="1">
      <c r="A59" s="24" t="s">
        <v>1000</v>
      </c>
      <c r="B59" s="66" t="s">
        <v>968</v>
      </c>
      <c r="C59" s="239" t="s">
        <v>1066</v>
      </c>
      <c r="D59" s="239"/>
      <c r="E59" s="239"/>
      <c r="F59" s="239"/>
      <c r="G59" s="239"/>
      <c r="H59" s="239"/>
      <c r="I59" s="239" t="s">
        <v>1067</v>
      </c>
      <c r="J59" s="239"/>
      <c r="K59" s="239"/>
      <c r="L59" s="239"/>
      <c r="M59" s="239"/>
      <c r="N59" s="239"/>
      <c r="O59" s="24"/>
      <c r="P59" s="24"/>
      <c r="Q59" s="24"/>
      <c r="R59" s="24"/>
      <c r="S59" s="24"/>
      <c r="T59" s="24"/>
      <c r="U59" s="24"/>
      <c r="V59" s="24"/>
      <c r="W59" s="24"/>
      <c r="X59" s="24"/>
      <c r="Y59" s="24"/>
      <c r="Z59" s="24"/>
      <c r="AA59" s="24"/>
      <c r="AB59" s="24"/>
      <c r="AC59" s="24"/>
      <c r="AD59" s="24">
        <f>ROW()</f>
        <v>59</v>
      </c>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t="s">
        <v>1068</v>
      </c>
      <c r="BC59" s="24" t="s">
        <v>847</v>
      </c>
      <c r="BD59" s="24" t="b">
        <v>0</v>
      </c>
      <c r="BE59" s="24">
        <f>M208</f>
        <v>0</v>
      </c>
      <c r="BF59" s="24" t="str">
        <f>""&amp;M208</f>
        <v/>
      </c>
      <c r="BG59" s="24" t="b">
        <v>1</v>
      </c>
      <c r="BH59" s="24" t="b">
        <v>0</v>
      </c>
      <c r="BI59" s="24"/>
      <c r="BJ59" s="24"/>
      <c r="BK59" s="24" t="str">
        <f ca="1">_xlfn.FORMULATEXT(BE59)</f>
        <v>=M208</v>
      </c>
      <c r="BL59" s="24" t="str">
        <f ca="1">_xlfn.FORMULATEXT(BE59)</f>
        <v>=M208</v>
      </c>
      <c r="BM59" s="24"/>
      <c r="BN59" s="24"/>
      <c r="BO59" s="24"/>
      <c r="BP59" s="24"/>
      <c r="BQ59" s="24"/>
      <c r="BR59" s="24"/>
      <c r="BS59" s="24"/>
      <c r="BT59" s="24"/>
      <c r="BU59" s="24"/>
      <c r="BV59" s="24"/>
      <c r="BW59" s="24"/>
      <c r="BX59" s="24"/>
      <c r="BY59" s="24"/>
      <c r="BZ59" s="24"/>
      <c r="CA59" s="24"/>
      <c r="CB59" s="24"/>
      <c r="CC59" s="24"/>
      <c r="CD59" s="24"/>
      <c r="CE59" s="24"/>
      <c r="CF59" s="24"/>
      <c r="CG59" s="24"/>
      <c r="CH59" s="24"/>
      <c r="CI59" s="24"/>
      <c r="CJ59" s="24"/>
      <c r="CK59" s="24"/>
      <c r="CL59" s="24"/>
      <c r="CM59" s="24"/>
      <c r="CN59" s="24"/>
      <c r="CO59" s="24"/>
      <c r="CP59" s="24"/>
      <c r="CQ59" s="24"/>
      <c r="CR59" s="24"/>
      <c r="CS59" s="24"/>
      <c r="CT59" s="24"/>
      <c r="CU59" s="24"/>
      <c r="CV59" s="24"/>
      <c r="CW59" s="24"/>
      <c r="CX59" s="24"/>
      <c r="CY59" s="24"/>
      <c r="CZ59" s="24"/>
      <c r="DA59" s="24"/>
      <c r="DB59" s="24"/>
      <c r="DC59" s="24"/>
      <c r="DD59" s="24"/>
      <c r="DE59" s="24"/>
      <c r="DF59" s="24"/>
      <c r="DG59" s="24"/>
      <c r="DH59" s="24"/>
      <c r="DI59" s="24"/>
      <c r="DJ59" s="24"/>
      <c r="DK59" s="24"/>
      <c r="DL59" s="24"/>
      <c r="DM59" s="24"/>
      <c r="DN59" s="24"/>
      <c r="DO59" s="24"/>
      <c r="DP59" s="24"/>
      <c r="DQ59" s="24"/>
      <c r="DR59" s="24"/>
      <c r="DS59" s="24"/>
      <c r="DT59" s="24"/>
      <c r="DU59" s="24"/>
      <c r="DV59" s="24"/>
      <c r="DW59" s="24"/>
      <c r="DX59" s="24"/>
      <c r="DY59" s="24"/>
      <c r="DZ59" s="24"/>
      <c r="EA59" s="24"/>
      <c r="EB59" s="24"/>
      <c r="EC59" s="24"/>
      <c r="ED59" s="24"/>
      <c r="EE59" s="24"/>
      <c r="EF59" s="24"/>
      <c r="EG59" s="24"/>
      <c r="EH59" s="24"/>
      <c r="EI59" s="24"/>
      <c r="EJ59" s="24"/>
      <c r="EK59" s="24"/>
      <c r="EL59" s="24"/>
      <c r="EM59" s="24"/>
      <c r="EN59" s="24"/>
      <c r="EO59" s="24"/>
      <c r="EP59" s="24"/>
      <c r="EQ59" s="24"/>
      <c r="ER59" s="24"/>
      <c r="ES59" s="24"/>
      <c r="ET59" s="24"/>
      <c r="EU59" s="24"/>
      <c r="EV59" s="24"/>
      <c r="EW59" s="24"/>
      <c r="EX59" s="24"/>
      <c r="EY59" s="24"/>
      <c r="EZ59" s="24"/>
      <c r="FA59" s="24"/>
    </row>
    <row r="60" spans="1:157" s="24" customFormat="1" ht="31.4" customHeight="1" hidden="1">
      <c r="A60" s="24" t="s">
        <v>1000</v>
      </c>
      <c r="B60" s="217"/>
      <c r="C60" s="276"/>
      <c r="D60" s="277"/>
      <c r="E60" s="277"/>
      <c r="F60" s="277"/>
      <c r="G60" s="277"/>
      <c r="H60" s="278"/>
      <c r="I60" s="276"/>
      <c r="J60" s="277"/>
      <c r="K60" s="277"/>
      <c r="L60" s="277"/>
      <c r="M60" s="277"/>
      <c r="N60" s="278"/>
      <c r="O60" s="245"/>
      <c r="P60" s="24"/>
      <c r="Q60" s="24"/>
      <c r="R60" s="24"/>
      <c r="S60" s="24"/>
      <c r="T60" s="24"/>
      <c r="U60" s="24"/>
      <c r="V60" s="24"/>
      <c r="W60" s="24"/>
      <c r="X60" s="24"/>
      <c r="Y60" s="24"/>
      <c r="Z60" s="24"/>
      <c r="AA60" s="24"/>
      <c r="AB60" s="24"/>
      <c r="AC60" s="24"/>
      <c r="AD60" s="24">
        <f>ROW()</f>
        <v>60</v>
      </c>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t="s">
        <v>1069</v>
      </c>
      <c r="BC60" s="24" t="s">
        <v>847</v>
      </c>
      <c r="BD60" s="24" t="b">
        <v>0</v>
      </c>
      <c r="BE60" s="40">
        <f>B212</f>
        <v>0</v>
      </c>
      <c r="BF60" s="24" t="str">
        <f>""&amp;B212</f>
        <v/>
      </c>
      <c r="BG60" s="24" t="b">
        <v>1</v>
      </c>
      <c r="BH60" s="24" t="b">
        <v>0</v>
      </c>
      <c r="BI60" s="24"/>
      <c r="BJ60" s="24"/>
      <c r="BK60" s="24" t="str">
        <f ca="1">_xlfn.FORMULATEXT(BE60)</f>
        <v>=B212</v>
      </c>
      <c r="BL60" s="24" t="str">
        <f ca="1">_xlfn.FORMULATEXT(BE60)</f>
        <v>=B212</v>
      </c>
      <c r="BM60" s="24"/>
      <c r="BN60" s="24"/>
      <c r="BO60" s="24"/>
      <c r="BP60" s="24"/>
      <c r="BQ60" s="24"/>
      <c r="BR60" s="24"/>
      <c r="BS60" s="24"/>
      <c r="BT60" s="24"/>
      <c r="BU60" s="24"/>
      <c r="BV60" s="24"/>
      <c r="BW60" s="24"/>
      <c r="BX60" s="24"/>
      <c r="BY60" s="24"/>
      <c r="BZ60" s="24"/>
      <c r="CA60" s="24"/>
      <c r="CB60" s="24"/>
      <c r="CC60" s="24"/>
      <c r="CD60" s="24"/>
      <c r="CE60" s="24"/>
      <c r="CF60" s="24"/>
      <c r="CG60" s="24"/>
      <c r="CH60" s="24"/>
      <c r="CI60" s="24"/>
      <c r="CJ60" s="24"/>
      <c r="CK60" s="24"/>
      <c r="CL60" s="24"/>
      <c r="CM60" s="24"/>
      <c r="CN60" s="24"/>
      <c r="CO60" s="24"/>
      <c r="CP60" s="24"/>
      <c r="CQ60" s="24"/>
      <c r="CR60" s="24"/>
      <c r="CS60" s="24"/>
      <c r="CT60" s="24"/>
      <c r="CU60" s="24"/>
      <c r="CV60" s="24"/>
      <c r="CW60" s="24"/>
      <c r="CX60" s="24"/>
      <c r="CY60" s="24"/>
      <c r="CZ60" s="24"/>
      <c r="DA60" s="24"/>
      <c r="DB60" s="24"/>
      <c r="DC60" s="24"/>
      <c r="DD60" s="24"/>
      <c r="DE60" s="24"/>
      <c r="DF60" s="24"/>
      <c r="DG60" s="24"/>
      <c r="DH60" s="24"/>
      <c r="DI60" s="24"/>
      <c r="DJ60" s="24"/>
      <c r="DK60" s="24"/>
      <c r="DL60" s="24"/>
      <c r="DM60" s="24"/>
      <c r="DN60" s="24"/>
      <c r="DO60" s="24"/>
      <c r="DP60" s="24"/>
      <c r="DQ60" s="24"/>
      <c r="DR60" s="24"/>
      <c r="DS60" s="24"/>
      <c r="DT60" s="24"/>
      <c r="DU60" s="24"/>
      <c r="DV60" s="24"/>
      <c r="DW60" s="24"/>
      <c r="DX60" s="24"/>
      <c r="DY60" s="24"/>
      <c r="DZ60" s="24"/>
      <c r="EA60" s="24"/>
      <c r="EB60" s="24"/>
      <c r="EC60" s="24"/>
      <c r="ED60" s="24"/>
      <c r="EE60" s="24"/>
      <c r="EF60" s="24"/>
      <c r="EG60" s="24"/>
      <c r="EH60" s="24"/>
      <c r="EI60" s="24"/>
      <c r="EJ60" s="24"/>
      <c r="EK60" s="24"/>
      <c r="EL60" s="24"/>
      <c r="EM60" s="24"/>
      <c r="EN60" s="24"/>
      <c r="EO60" s="24"/>
      <c r="EP60" s="24"/>
      <c r="EQ60" s="24"/>
      <c r="ER60" s="24"/>
      <c r="ES60" s="24"/>
      <c r="ET60" s="24"/>
      <c r="EU60" s="24"/>
      <c r="EV60" s="24"/>
      <c r="EW60" s="24"/>
      <c r="EX60" s="24"/>
      <c r="EY60" s="24"/>
      <c r="EZ60" s="24"/>
      <c r="FA60" s="24"/>
    </row>
    <row r="61" spans="1:157" s="24" customFormat="1" ht="14.5" hidden="1">
      <c r="A61" s="24" t="s">
        <v>1000</v>
      </c>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f>ROW()</f>
        <v>61</v>
      </c>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t="s">
        <v>1070</v>
      </c>
      <c r="BC61" s="24" t="s">
        <v>847</v>
      </c>
      <c r="BD61" s="24" t="b">
        <v>0</v>
      </c>
      <c r="BE61" s="24">
        <f>B215</f>
        <v>0</v>
      </c>
      <c r="BF61" s="24" t="str">
        <f>""&amp;B215</f>
        <v/>
      </c>
      <c r="BG61" s="24" t="b">
        <v>1</v>
      </c>
      <c r="BH61" s="24" t="b">
        <v>0</v>
      </c>
      <c r="BI61" s="24"/>
      <c r="BJ61" s="24"/>
      <c r="BK61" s="24" t="str">
        <f ca="1">_xlfn.FORMULATEXT(BE61)</f>
        <v>=B215</v>
      </c>
      <c r="BL61" s="24" t="str">
        <f ca="1">_xlfn.FORMULATEXT(BE61)</f>
        <v>=B215</v>
      </c>
      <c r="BM61" s="24"/>
      <c r="BN61" s="24"/>
      <c r="BO61" s="24"/>
      <c r="BP61" s="24"/>
      <c r="BQ61" s="24"/>
      <c r="BR61" s="24"/>
      <c r="BS61" s="24"/>
      <c r="BT61" s="24"/>
      <c r="BU61" s="24"/>
      <c r="BV61" s="24"/>
      <c r="BW61" s="24"/>
      <c r="BX61" s="24"/>
      <c r="BY61" s="24"/>
      <c r="BZ61" s="24"/>
      <c r="CA61" s="24"/>
      <c r="CB61" s="24"/>
      <c r="CC61" s="24"/>
      <c r="CD61" s="24"/>
      <c r="CE61" s="24"/>
      <c r="CF61" s="24"/>
      <c r="CG61" s="24"/>
      <c r="CH61" s="24"/>
      <c r="CI61" s="24"/>
      <c r="CJ61" s="24"/>
      <c r="CK61" s="24"/>
      <c r="CL61" s="24"/>
      <c r="CM61" s="24"/>
      <c r="CN61" s="24"/>
      <c r="CO61" s="24"/>
      <c r="CP61" s="24"/>
      <c r="CQ61" s="24"/>
      <c r="CR61" s="24"/>
      <c r="CS61" s="24"/>
      <c r="CT61" s="24"/>
      <c r="CU61" s="24"/>
      <c r="CV61" s="24"/>
      <c r="CW61" s="24"/>
      <c r="CX61" s="24"/>
      <c r="CY61" s="24"/>
      <c r="CZ61" s="24"/>
      <c r="DA61" s="24"/>
      <c r="DB61" s="24"/>
      <c r="DC61" s="24"/>
      <c r="DD61" s="24"/>
      <c r="DE61" s="24"/>
      <c r="DF61" s="24"/>
      <c r="DG61" s="24"/>
      <c r="DH61" s="24"/>
      <c r="DI61" s="24"/>
      <c r="DJ61" s="24"/>
      <c r="DK61" s="24"/>
      <c r="DL61" s="24"/>
      <c r="DM61" s="24"/>
      <c r="DN61" s="24"/>
      <c r="DO61" s="24"/>
      <c r="DP61" s="24"/>
      <c r="DQ61" s="24"/>
      <c r="DR61" s="24"/>
      <c r="DS61" s="24"/>
      <c r="DT61" s="24"/>
      <c r="DU61" s="24"/>
      <c r="DV61" s="24"/>
      <c r="DW61" s="24"/>
      <c r="DX61" s="24"/>
      <c r="DY61" s="24"/>
      <c r="DZ61" s="24"/>
      <c r="EA61" s="24"/>
      <c r="EB61" s="24"/>
      <c r="EC61" s="24"/>
      <c r="ED61" s="24"/>
      <c r="EE61" s="24"/>
      <c r="EF61" s="24"/>
      <c r="EG61" s="24"/>
      <c r="EH61" s="24"/>
      <c r="EI61" s="24"/>
      <c r="EJ61" s="24"/>
      <c r="EK61" s="24"/>
      <c r="EL61" s="24"/>
      <c r="EM61" s="24"/>
      <c r="EN61" s="24"/>
      <c r="EO61" s="24"/>
      <c r="EP61" s="24"/>
      <c r="EQ61" s="24"/>
      <c r="ER61" s="24"/>
      <c r="ES61" s="24"/>
      <c r="ET61" s="24"/>
      <c r="EU61" s="24"/>
      <c r="EV61" s="24"/>
      <c r="EW61" s="24"/>
      <c r="EX61" s="24"/>
      <c r="EY61" s="24"/>
      <c r="EZ61" s="24"/>
      <c r="FA61" s="24"/>
    </row>
    <row r="62" spans="1:2 30:30 54:64" ht="14.5">
      <c r="A62" s="24"/>
      <c r="B62" s="26" t="s">
        <v>1071</v>
      </c>
      <c r="AD62" s="24">
        <f>ROW()</f>
        <v>62</v>
      </c>
      <c r="BB62" s="24" t="s">
        <v>1072</v>
      </c>
      <c r="BC62" s="24" t="s">
        <v>847</v>
      </c>
      <c r="BD62" s="24" t="b">
        <v>0</v>
      </c>
      <c r="BE62" s="40">
        <f>B220</f>
        <v>0</v>
      </c>
      <c r="BF62" s="24" t="str">
        <f>""&amp;B220</f>
        <v/>
      </c>
      <c r="BG62" s="24" t="b">
        <v>1</v>
      </c>
      <c r="BH62" s="24" t="b">
        <v>0</v>
      </c>
      <c r="BK62" s="24" t="str">
        <f ca="1">_xlfn.FORMULATEXT(BE62)</f>
        <v>=B220</v>
      </c>
      <c r="BL62" s="24" t="str">
        <f ca="1">_xlfn.FORMULATEXT(BE62)</f>
        <v>=B220</v>
      </c>
    </row>
    <row r="63" spans="1:1 30:30 54:64" ht="14.5">
      <c r="A63" s="24"/>
      <c r="AD63" s="24">
        <f>ROW()</f>
        <v>63</v>
      </c>
      <c r="BB63" s="24" t="s">
        <v>1073</v>
      </c>
      <c r="BC63" s="24" t="s">
        <v>847</v>
      </c>
      <c r="BD63" s="24" t="b">
        <v>1</v>
      </c>
      <c r="BE63" s="24">
        <f>M222</f>
        <v>0</v>
      </c>
      <c r="BF63" s="24" t="str">
        <f>""&amp;M222</f>
        <v/>
      </c>
      <c r="BG63" s="24" t="b">
        <v>1</v>
      </c>
      <c r="BH63" s="24" t="b">
        <v>0</v>
      </c>
      <c r="BK63" s="24" t="str">
        <f ca="1">_xlfn.FORMULATEXT(BE63)</f>
        <v>=M222</v>
      </c>
      <c r="BL63" s="24" t="str">
        <f ca="1">_xlfn.FORMULATEXT(BE63)</f>
        <v>=M222</v>
      </c>
    </row>
    <row r="64" spans="1:12 30:30 54:64" ht="14.5">
      <c r="A64" s="24"/>
      <c r="B64" s="56" t="s">
        <v>1074</v>
      </c>
      <c r="C64" s="37"/>
      <c r="D64" s="37"/>
      <c r="E64" s="37"/>
      <c r="F64" s="37"/>
      <c r="G64" s="37"/>
      <c r="H64" s="37"/>
      <c r="I64" s="37"/>
      <c r="J64" s="37"/>
      <c r="K64" s="37"/>
      <c r="L64" s="37"/>
      <c r="AD64" s="24">
        <f>ROW()</f>
        <v>64</v>
      </c>
      <c r="BB64" s="24" t="s">
        <v>1075</v>
      </c>
      <c r="BC64" s="24" t="s">
        <v>847</v>
      </c>
      <c r="BD64" s="24" t="b">
        <v>1</v>
      </c>
      <c r="BE64" s="24">
        <f>M224</f>
        <v>0</v>
      </c>
      <c r="BF64" s="24" t="str">
        <f>""&amp;M224</f>
        <v/>
      </c>
      <c r="BG64" s="24" t="b">
        <v>1</v>
      </c>
      <c r="BH64" s="24" t="b">
        <v>0</v>
      </c>
      <c r="BK64" s="24" t="str">
        <f ca="1">_xlfn.FORMULATEXT(BE64)</f>
        <v>=M224</v>
      </c>
      <c r="BL64" s="24" t="str">
        <f ca="1">_xlfn.FORMULATEXT(BE64)</f>
        <v>=M224</v>
      </c>
    </row>
    <row r="65" spans="1:12 30:30 54:64" ht="14.5">
      <c r="A65" s="24"/>
      <c r="B65" s="37"/>
      <c r="C65" s="37"/>
      <c r="D65" s="37"/>
      <c r="E65" s="37"/>
      <c r="F65" s="37"/>
      <c r="G65" s="37"/>
      <c r="H65" s="37"/>
      <c r="I65" s="37"/>
      <c r="J65" s="37"/>
      <c r="K65" s="37"/>
      <c r="L65" s="37"/>
      <c r="AD65" s="24">
        <f>ROW()</f>
        <v>65</v>
      </c>
      <c r="BB65" s="24" t="s">
        <v>1076</v>
      </c>
      <c r="BC65" s="24" t="s">
        <v>847</v>
      </c>
      <c r="BD65" s="24" t="b">
        <v>1</v>
      </c>
      <c r="BE65" s="24">
        <f>M226</f>
        <v>0</v>
      </c>
      <c r="BF65" s="24" t="str">
        <f>""&amp;M226</f>
        <v/>
      </c>
      <c r="BG65" s="24" t="b">
        <v>1</v>
      </c>
      <c r="BH65" s="24" t="b">
        <v>0</v>
      </c>
      <c r="BK65" s="24" t="str">
        <f ca="1">_xlfn.FORMULATEXT(BE65)</f>
        <v>=M226</v>
      </c>
      <c r="BL65" s="24" t="str">
        <f ca="1">_xlfn.FORMULATEXT(BE65)</f>
        <v>=M226</v>
      </c>
    </row>
    <row r="66" spans="1:30 54:64" ht="14.5">
      <c r="A66" s="24"/>
      <c r="B66" s="56" t="s">
        <v>937</v>
      </c>
      <c r="C66" s="37"/>
      <c r="D66" s="37"/>
      <c r="E66" s="37"/>
      <c r="F66" s="37"/>
      <c r="G66" s="37"/>
      <c r="H66" s="37"/>
      <c r="I66" s="37"/>
      <c r="J66" s="37"/>
      <c r="K66" s="37"/>
      <c r="L66" s="37"/>
      <c r="AA66" s="206">
        <v>2</v>
      </c>
      <c r="AB66" s="24">
        <f>IF(AC66="0",1,IF(AC66="1",2,""))</f>
        <v>2</v>
      </c>
      <c r="AC66" s="24" t="s">
        <v>44</v>
      </c>
      <c r="AD66" s="24">
        <f>ROW()</f>
        <v>66</v>
      </c>
      <c r="BB66" s="24" t="s">
        <v>1077</v>
      </c>
      <c r="BC66" s="24" t="s">
        <v>847</v>
      </c>
      <c r="BD66" s="24" t="b">
        <v>0</v>
      </c>
      <c r="BE66" s="24">
        <f>B229</f>
        <v>0</v>
      </c>
      <c r="BF66" s="24" t="str">
        <f>""&amp;B229</f>
        <v/>
      </c>
      <c r="BG66" s="24" t="b">
        <v>1</v>
      </c>
      <c r="BH66" s="24" t="b">
        <v>0</v>
      </c>
      <c r="BK66" s="24" t="str">
        <f ca="1">_xlfn.FORMULATEXT(BE66)</f>
        <v>=B229</v>
      </c>
      <c r="BL66" s="24" t="str">
        <f ca="1">_xlfn.FORMULATEXT(BE66)</f>
        <v>=B229</v>
      </c>
    </row>
    <row r="67" spans="1:157" s="24" customFormat="1" ht="14.5" hidden="1">
      <c r="A67" s="24" t="s">
        <v>1000</v>
      </c>
      <c r="B67" s="37"/>
      <c r="C67" s="37"/>
      <c r="D67" s="37"/>
      <c r="E67" s="37"/>
      <c r="F67" s="37"/>
      <c r="G67" s="37"/>
      <c r="H67" s="37"/>
      <c r="I67" s="37"/>
      <c r="J67" s="37"/>
      <c r="K67" s="37"/>
      <c r="L67" s="37"/>
      <c r="M67" s="24"/>
      <c r="N67" s="24"/>
      <c r="O67" s="24"/>
      <c r="P67" s="24"/>
      <c r="Q67" s="24"/>
      <c r="R67" s="24"/>
      <c r="S67" s="24"/>
      <c r="T67" s="24"/>
      <c r="U67" s="24"/>
      <c r="V67" s="24"/>
      <c r="W67" s="24"/>
      <c r="X67" s="24"/>
      <c r="Y67" s="24"/>
      <c r="Z67" s="24"/>
      <c r="AA67" s="24"/>
      <c r="AB67" s="24"/>
      <c r="AC67" s="24"/>
      <c r="AD67" s="24">
        <f>ROW()</f>
        <v>67</v>
      </c>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t="s">
        <v>1078</v>
      </c>
      <c r="BC67" s="24" t="s">
        <v>847</v>
      </c>
      <c r="BD67" s="24" t="b">
        <v>1</v>
      </c>
      <c r="BE67" s="24">
        <f>M232</f>
        <v>0</v>
      </c>
      <c r="BF67" s="24" t="str">
        <f>""&amp;M232</f>
        <v/>
      </c>
      <c r="BG67" s="24" t="b">
        <v>1</v>
      </c>
      <c r="BH67" s="24" t="b">
        <v>0</v>
      </c>
      <c r="BI67" s="24"/>
      <c r="BJ67" s="24"/>
      <c r="BK67" s="24" t="str">
        <f ca="1">_xlfn.FORMULATEXT(BE67)</f>
        <v>=M232</v>
      </c>
      <c r="BL67" s="24" t="str">
        <f ca="1">_xlfn.FORMULATEXT(BE67)</f>
        <v>=M232</v>
      </c>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c r="DB67" s="24"/>
      <c r="DC67" s="24"/>
      <c r="DD67" s="24"/>
      <c r="DE67" s="24"/>
      <c r="DF67" s="24"/>
      <c r="DG67" s="24"/>
      <c r="DH67" s="24"/>
      <c r="DI67" s="24"/>
      <c r="DJ67" s="24"/>
      <c r="DK67" s="24"/>
      <c r="DL67" s="24"/>
      <c r="DM67" s="24"/>
      <c r="DN67" s="24"/>
      <c r="DO67" s="24"/>
      <c r="DP67" s="24"/>
      <c r="DQ67" s="24"/>
      <c r="DR67" s="24"/>
      <c r="DS67" s="24"/>
      <c r="DT67" s="24"/>
      <c r="DU67" s="24"/>
      <c r="DV67" s="24"/>
      <c r="DW67" s="24"/>
      <c r="DX67" s="24"/>
      <c r="DY67" s="24"/>
      <c r="DZ67" s="24"/>
      <c r="EA67" s="24"/>
      <c r="EB67" s="24"/>
      <c r="EC67" s="24"/>
      <c r="ED67" s="24"/>
      <c r="EE67" s="24"/>
      <c r="EF67" s="24"/>
      <c r="EG67" s="24"/>
      <c r="EH67" s="24"/>
      <c r="EI67" s="24"/>
      <c r="EJ67" s="24"/>
      <c r="EK67" s="24"/>
      <c r="EL67" s="24"/>
      <c r="EM67" s="24"/>
      <c r="EN67" s="24"/>
      <c r="EO67" s="24"/>
      <c r="EP67" s="24"/>
      <c r="EQ67" s="24"/>
      <c r="ER67" s="24"/>
      <c r="ES67" s="24"/>
      <c r="ET67" s="24"/>
      <c r="EU67" s="24"/>
      <c r="EV67" s="24"/>
      <c r="EW67" s="24"/>
      <c r="EX67" s="24"/>
      <c r="EY67" s="24"/>
      <c r="EZ67" s="24"/>
      <c r="FA67" s="24"/>
    </row>
    <row r="68" spans="1:157" s="24" customFormat="1" ht="14.5" hidden="1">
      <c r="A68" s="24" t="s">
        <v>1000</v>
      </c>
      <c r="B68" s="56" t="s">
        <v>941</v>
      </c>
      <c r="C68" s="37"/>
      <c r="D68" s="37"/>
      <c r="E68" s="37"/>
      <c r="F68" s="37"/>
      <c r="G68" s="37"/>
      <c r="H68" s="37"/>
      <c r="I68" s="37"/>
      <c r="J68" s="37"/>
      <c r="K68" s="37"/>
      <c r="L68" s="37"/>
      <c r="M68" s="24"/>
      <c r="N68" s="24"/>
      <c r="O68" s="24"/>
      <c r="P68" s="24"/>
      <c r="Q68" s="24"/>
      <c r="R68" s="24"/>
      <c r="S68" s="24"/>
      <c r="T68" s="24"/>
      <c r="U68" s="24"/>
      <c r="V68" s="24"/>
      <c r="W68" s="24"/>
      <c r="X68" s="24"/>
      <c r="Y68" s="24"/>
      <c r="Z68" s="24"/>
      <c r="AA68" s="284"/>
      <c r="AB68" s="24"/>
      <c r="AC68" s="24"/>
      <c r="AD68" s="24">
        <f>ROW()</f>
        <v>68</v>
      </c>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t="s">
        <v>1079</v>
      </c>
      <c r="BC68" s="24" t="s">
        <v>847</v>
      </c>
      <c r="BD68" s="24" t="b">
        <v>1</v>
      </c>
      <c r="BE68" s="24">
        <f>M234</f>
        <v>0</v>
      </c>
      <c r="BF68" s="24" t="str">
        <f>""&amp;M234</f>
        <v/>
      </c>
      <c r="BG68" s="24" t="b">
        <v>1</v>
      </c>
      <c r="BH68" s="24" t="b">
        <v>0</v>
      </c>
      <c r="BI68" s="24"/>
      <c r="BJ68" s="24"/>
      <c r="BK68" s="24" t="str">
        <f ca="1">_xlfn.FORMULATEXT(BE68)</f>
        <v>=M234</v>
      </c>
      <c r="BL68" s="24" t="str">
        <f ca="1">_xlfn.FORMULATEXT(BE68)</f>
        <v>=M234</v>
      </c>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c r="DB68" s="24"/>
      <c r="DC68" s="24"/>
      <c r="DD68" s="24"/>
      <c r="DE68" s="24"/>
      <c r="DF68" s="24"/>
      <c r="DG68" s="24"/>
      <c r="DH68" s="24"/>
      <c r="DI68" s="24"/>
      <c r="DJ68" s="24"/>
      <c r="DK68" s="24"/>
      <c r="DL68" s="24"/>
      <c r="DM68" s="24"/>
      <c r="DN68" s="24"/>
      <c r="DO68" s="24"/>
      <c r="DP68" s="24"/>
      <c r="DQ68" s="24"/>
      <c r="DR68" s="24"/>
      <c r="DS68" s="24"/>
      <c r="DT68" s="24"/>
      <c r="DU68" s="24"/>
      <c r="DV68" s="24"/>
      <c r="DW68" s="24"/>
      <c r="DX68" s="24"/>
      <c r="DY68" s="24"/>
      <c r="DZ68" s="24"/>
      <c r="EA68" s="24"/>
      <c r="EB68" s="24"/>
      <c r="EC68" s="24"/>
      <c r="ED68" s="24"/>
      <c r="EE68" s="24"/>
      <c r="EF68" s="24"/>
      <c r="EG68" s="24"/>
      <c r="EH68" s="24"/>
      <c r="EI68" s="24"/>
      <c r="EJ68" s="24"/>
      <c r="EK68" s="24"/>
      <c r="EL68" s="24"/>
      <c r="EM68" s="24"/>
      <c r="EN68" s="24"/>
      <c r="EO68" s="24"/>
      <c r="EP68" s="24"/>
      <c r="EQ68" s="24"/>
      <c r="ER68" s="24"/>
      <c r="ES68" s="24"/>
      <c r="ET68" s="24"/>
      <c r="EU68" s="24"/>
      <c r="EV68" s="24"/>
      <c r="EW68" s="24"/>
      <c r="EX68" s="24"/>
      <c r="EY68" s="24"/>
      <c r="EZ68" s="24"/>
      <c r="FA68" s="24"/>
    </row>
    <row r="69" spans="1:12 30:30 54:64" ht="14.5">
      <c r="A69" s="24"/>
      <c r="B69" s="37"/>
      <c r="C69" s="37"/>
      <c r="D69" s="37"/>
      <c r="E69" s="37"/>
      <c r="F69" s="37"/>
      <c r="G69" s="37"/>
      <c r="H69" s="37"/>
      <c r="I69" s="37"/>
      <c r="J69" s="37"/>
      <c r="K69" s="37"/>
      <c r="L69" s="37"/>
      <c r="AD69" s="24">
        <f>ROW()</f>
        <v>69</v>
      </c>
      <c r="BB69" s="24" t="s">
        <v>1080</v>
      </c>
      <c r="BC69" s="24" t="s">
        <v>847</v>
      </c>
      <c r="BD69" s="24" t="b">
        <v>1</v>
      </c>
      <c r="BE69" s="24">
        <f>M236</f>
        <v>0</v>
      </c>
      <c r="BF69" s="24" t="str">
        <f>""&amp;M236</f>
        <v/>
      </c>
      <c r="BG69" s="24" t="b">
        <v>1</v>
      </c>
      <c r="BH69" s="24" t="b">
        <v>0</v>
      </c>
      <c r="BK69" s="24" t="str">
        <f ca="1">_xlfn.FORMULATEXT(BE69)</f>
        <v>=M236</v>
      </c>
      <c r="BL69" s="24" t="str">
        <f ca="1">_xlfn.FORMULATEXT(BE69)</f>
        <v>=M236</v>
      </c>
    </row>
    <row r="70" spans="1:30 54:64" ht="16" customHeight="1">
      <c r="A70" s="24"/>
      <c r="B70" s="70" t="s">
        <v>1081</v>
      </c>
      <c r="C70" s="70"/>
      <c r="D70" s="70"/>
      <c r="E70" s="70"/>
      <c r="F70" s="70"/>
      <c r="G70" s="70"/>
      <c r="H70" s="70"/>
      <c r="I70" s="70"/>
      <c r="J70" s="70"/>
      <c r="K70" s="70"/>
      <c r="L70" s="71"/>
      <c r="AA70" s="206">
        <v>2</v>
      </c>
      <c r="AB70" s="24">
        <f>IF(AC70="0",1,IF(AC70="1",2,""))</f>
        <v>2</v>
      </c>
      <c r="AC70" s="24" t="s">
        <v>44</v>
      </c>
      <c r="AD70" s="24">
        <f>ROW()</f>
        <v>70</v>
      </c>
      <c r="BB70" s="24" t="s">
        <v>1082</v>
      </c>
      <c r="BC70" s="24" t="s">
        <v>847</v>
      </c>
      <c r="BD70" s="24" t="b">
        <v>1</v>
      </c>
      <c r="BE70" s="24">
        <f>M238</f>
        <v>0</v>
      </c>
      <c r="BF70" s="24" t="str">
        <f>""&amp;M238</f>
        <v/>
      </c>
      <c r="BG70" s="24" t="b">
        <v>1</v>
      </c>
      <c r="BH70" s="24" t="b">
        <v>0</v>
      </c>
      <c r="BK70" s="24" t="str">
        <f ca="1">_xlfn.FORMULATEXT(BE70)</f>
        <v>=M238</v>
      </c>
      <c r="BL70" s="24" t="str">
        <f ca="1">_xlfn.FORMULATEXT(BE70)</f>
        <v>=M238</v>
      </c>
    </row>
    <row r="71" spans="1:12 30:30 54:64" ht="16" customHeight="1">
      <c r="A71" s="24"/>
      <c r="B71" s="70"/>
      <c r="C71" s="70"/>
      <c r="D71" s="70"/>
      <c r="E71" s="70"/>
      <c r="F71" s="70"/>
      <c r="G71" s="70"/>
      <c r="H71" s="70"/>
      <c r="I71" s="70"/>
      <c r="J71" s="70"/>
      <c r="K71" s="70"/>
      <c r="L71" s="71"/>
      <c r="AD71" s="24">
        <f>ROW()</f>
        <v>71</v>
      </c>
      <c r="BB71" s="24" t="s">
        <v>1083</v>
      </c>
      <c r="BC71" s="24" t="s">
        <v>847</v>
      </c>
      <c r="BD71" s="24" t="b">
        <v>0</v>
      </c>
      <c r="BE71" s="40">
        <f>B241</f>
        <v>0</v>
      </c>
      <c r="BF71" s="24" t="str">
        <f>""&amp;B241</f>
        <v/>
      </c>
      <c r="BG71" s="24" t="b">
        <v>1</v>
      </c>
      <c r="BH71" s="24" t="b">
        <v>0</v>
      </c>
      <c r="BK71" s="24" t="str">
        <f ca="1">_xlfn.FORMULATEXT(BE71)</f>
        <v>=B241</v>
      </c>
      <c r="BL71" s="24" t="str">
        <f ca="1">_xlfn.FORMULATEXT(BE71)</f>
        <v>=B241</v>
      </c>
    </row>
    <row r="72" spans="1:12 30:30 54:64" ht="16" customHeight="1">
      <c r="A72" s="24"/>
      <c r="B72" s="70"/>
      <c r="C72" s="70"/>
      <c r="D72" s="70"/>
      <c r="E72" s="70"/>
      <c r="F72" s="70"/>
      <c r="G72" s="70"/>
      <c r="H72" s="70"/>
      <c r="I72" s="70"/>
      <c r="J72" s="70"/>
      <c r="K72" s="70"/>
      <c r="L72" s="71"/>
      <c r="AD72" s="24">
        <f>ROW()</f>
        <v>72</v>
      </c>
      <c r="BB72" s="24" t="s">
        <v>1084</v>
      </c>
      <c r="BC72" s="24" t="s">
        <v>847</v>
      </c>
      <c r="BD72" s="24" t="b">
        <v>0</v>
      </c>
      <c r="BE72" s="24">
        <f>B243</f>
        <v>0</v>
      </c>
      <c r="BF72" s="24" t="str">
        <f>""&amp;B243</f>
        <v/>
      </c>
      <c r="BG72" s="24" t="b">
        <v>1</v>
      </c>
      <c r="BH72" s="24" t="b">
        <v>0</v>
      </c>
      <c r="BK72" s="24" t="str">
        <f ca="1">_xlfn.FORMULATEXT(BE72)</f>
        <v>=B243</v>
      </c>
      <c r="BL72" s="24" t="str">
        <f ca="1">_xlfn.FORMULATEXT(BE72)</f>
        <v>=B243</v>
      </c>
    </row>
    <row r="73" spans="1:1 30:30 54:64" ht="14.5">
      <c r="A73" s="24" t="s">
        <v>1000</v>
      </c>
      <c r="AD73" s="24">
        <f>ROW()</f>
        <v>73</v>
      </c>
      <c r="BB73" s="24" t="s">
        <v>1085</v>
      </c>
      <c r="BC73" s="24" t="s">
        <v>847</v>
      </c>
      <c r="BD73" s="24" t="b">
        <v>0</v>
      </c>
      <c r="BE73" s="24">
        <f>B245</f>
        <v>0</v>
      </c>
      <c r="BF73" s="24" t="str">
        <f>""&amp;B245</f>
        <v/>
      </c>
      <c r="BG73" s="24" t="b">
        <v>1</v>
      </c>
      <c r="BH73" s="24" t="b">
        <v>0</v>
      </c>
      <c r="BK73" s="24" t="str">
        <f ca="1">_xlfn.FORMULATEXT(BE73)</f>
        <v>=B245</v>
      </c>
      <c r="BL73" s="24" t="str">
        <f ca="1">_xlfn.FORMULATEXT(BE73)</f>
        <v>=B245</v>
      </c>
    </row>
    <row r="74" spans="1:30 54:64" ht="14.5">
      <c r="A74" s="24" t="s">
        <v>1000</v>
      </c>
      <c r="B74" s="133" t="s">
        <v>1086</v>
      </c>
      <c r="H74" s="140"/>
      <c r="I74" s="140"/>
      <c r="L74" s="141"/>
      <c r="M74" s="140"/>
      <c r="N74" s="140"/>
      <c r="AD74" s="24">
        <f>ROW()</f>
        <v>74</v>
      </c>
      <c r="BB74" s="24" t="s">
        <v>1087</v>
      </c>
      <c r="BC74" s="24" t="s">
        <v>847</v>
      </c>
      <c r="BD74" s="24" t="b">
        <v>0</v>
      </c>
      <c r="BE74" s="24">
        <f>B115</f>
        <v>0</v>
      </c>
      <c r="BF74" s="24" t="str">
        <f>""&amp;B115</f>
        <v/>
      </c>
      <c r="BG74" s="24" t="b">
        <v>1</v>
      </c>
      <c r="BH74" s="24" t="b">
        <v>1</v>
      </c>
      <c r="BK74" s="24" t="str">
        <f ca="1">_xlfn.FORMULATEXT(BE74)</f>
        <v>=B115</v>
      </c>
      <c r="BL74" s="24" t="str">
        <f ca="1">_xlfn.FORMULATEXT(BE74)</f>
        <v>=B115</v>
      </c>
    </row>
    <row r="75" spans="1:30 54:64" ht="31" customHeight="1">
      <c r="A75" s="24" t="s">
        <v>1000</v>
      </c>
      <c r="B75" s="135"/>
      <c r="C75" s="134"/>
      <c r="D75" s="134"/>
      <c r="E75" s="134"/>
      <c r="F75" s="134"/>
      <c r="G75" s="134"/>
      <c r="H75" s="134"/>
      <c r="I75" s="134"/>
      <c r="J75" s="134"/>
      <c r="K75" s="134"/>
      <c r="L75" s="134"/>
      <c r="M75" s="134"/>
      <c r="N75" s="136"/>
      <c r="AD75" s="24">
        <f>ROW()</f>
        <v>75</v>
      </c>
      <c r="BB75" s="24" t="s">
        <v>1088</v>
      </c>
      <c r="BC75" s="24" t="s">
        <v>847</v>
      </c>
      <c r="BD75" s="24" t="b">
        <v>0</v>
      </c>
      <c r="BE75" s="24">
        <f>B116</f>
        <v>0</v>
      </c>
      <c r="BF75" s="24" t="str">
        <f>""&amp;B116</f>
        <v/>
      </c>
      <c r="BG75" s="24" t="b">
        <v>1</v>
      </c>
      <c r="BH75" s="24" t="b">
        <v>0</v>
      </c>
      <c r="BK75" s="24" t="str">
        <f ca="1">_xlfn.FORMULATEXT(BE75)</f>
        <v>=B116</v>
      </c>
      <c r="BL75" s="24" t="str">
        <f ca="1">_xlfn.FORMULATEXT(BE75)</f>
        <v>=B116</v>
      </c>
    </row>
    <row r="76" spans="1:157" s="24" customFormat="1" ht="28" customHeight="1" hidden="1">
      <c r="A76" s="24" t="s">
        <v>1000</v>
      </c>
      <c r="B76" s="37" t="s">
        <v>1089</v>
      </c>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f>ROW()</f>
        <v>76</v>
      </c>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t="s">
        <v>1090</v>
      </c>
      <c r="BC76" s="24" t="s">
        <v>847</v>
      </c>
      <c r="BD76" s="24" t="b">
        <v>0</v>
      </c>
      <c r="BE76" s="24">
        <f>B117</f>
        <v>0</v>
      </c>
      <c r="BF76" s="24" t="str">
        <f>""&amp;B117</f>
        <v/>
      </c>
      <c r="BG76" s="24" t="b">
        <v>1</v>
      </c>
      <c r="BH76" s="24" t="b">
        <v>0</v>
      </c>
      <c r="BI76" s="24"/>
      <c r="BJ76" s="24"/>
      <c r="BK76" s="24" t="str">
        <f ca="1">_xlfn.FORMULATEXT(BE76)</f>
        <v>=B117</v>
      </c>
      <c r="BL76" s="24" t="str">
        <f ca="1">_xlfn.FORMULATEXT(BE76)</f>
        <v>=B117</v>
      </c>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c r="DB76" s="24"/>
      <c r="DC76" s="24"/>
      <c r="DD76" s="24"/>
      <c r="DE76" s="24"/>
      <c r="DF76" s="24"/>
      <c r="DG76" s="24"/>
      <c r="DH76" s="24"/>
      <c r="DI76" s="24"/>
      <c r="DJ76" s="24"/>
      <c r="DK76" s="24"/>
      <c r="DL76" s="24"/>
      <c r="DM76" s="24"/>
      <c r="DN76" s="24"/>
      <c r="DO76" s="24"/>
      <c r="DP76" s="24"/>
      <c r="DQ76" s="24"/>
      <c r="DR76" s="24"/>
      <c r="DS76" s="24"/>
      <c r="DT76" s="24"/>
      <c r="DU76" s="24"/>
      <c r="DV76" s="24"/>
      <c r="DW76" s="24"/>
      <c r="DX76" s="24"/>
      <c r="DY76" s="24"/>
      <c r="DZ76" s="24"/>
      <c r="EA76" s="24"/>
      <c r="EB76" s="24"/>
      <c r="EC76" s="24"/>
      <c r="ED76" s="24"/>
      <c r="EE76" s="24"/>
      <c r="EF76" s="24"/>
      <c r="EG76" s="24"/>
      <c r="EH76" s="24"/>
      <c r="EI76" s="24"/>
      <c r="EJ76" s="24"/>
      <c r="EK76" s="24"/>
      <c r="EL76" s="24"/>
      <c r="EM76" s="24"/>
      <c r="EN76" s="24"/>
      <c r="EO76" s="24"/>
      <c r="EP76" s="24"/>
      <c r="EQ76" s="24"/>
      <c r="ER76" s="24"/>
      <c r="ES76" s="24"/>
      <c r="ET76" s="24"/>
      <c r="EU76" s="24"/>
      <c r="EV76" s="24"/>
      <c r="EW76" s="24"/>
      <c r="EX76" s="24"/>
      <c r="EY76" s="24"/>
      <c r="EZ76" s="24"/>
      <c r="FA76" s="24"/>
    </row>
    <row r="77" spans="1:157" s="24" customFormat="1" ht="14.5" hidden="1">
      <c r="A77" s="24" t="s">
        <v>1000</v>
      </c>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f>ROW()</f>
        <v>77</v>
      </c>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t="s">
        <v>1091</v>
      </c>
      <c r="BC77" s="24" t="s">
        <v>847</v>
      </c>
      <c r="BD77" s="24" t="b">
        <v>0</v>
      </c>
      <c r="BE77" s="24">
        <f>E115</f>
        <v>0</v>
      </c>
      <c r="BF77" s="24" t="str">
        <f>""&amp;E115</f>
        <v/>
      </c>
      <c r="BG77" s="24" t="b">
        <v>1</v>
      </c>
      <c r="BH77" s="24" t="b">
        <v>1</v>
      </c>
      <c r="BI77" s="24"/>
      <c r="BJ77" s="24"/>
      <c r="BK77" s="24" t="str">
        <f ca="1">_xlfn.FORMULATEXT(BE77)</f>
        <v>=E115</v>
      </c>
      <c r="BL77" s="24" t="str">
        <f ca="1">_xlfn.FORMULATEXT(BE77)</f>
        <v>=E115</v>
      </c>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c r="DB77" s="24"/>
      <c r="DC77" s="24"/>
      <c r="DD77" s="24"/>
      <c r="DE77" s="24"/>
      <c r="DF77" s="24"/>
      <c r="DG77" s="24"/>
      <c r="DH77" s="24"/>
      <c r="DI77" s="24"/>
      <c r="DJ77" s="24"/>
      <c r="DK77" s="24"/>
      <c r="DL77" s="24"/>
      <c r="DM77" s="24"/>
      <c r="DN77" s="24"/>
      <c r="DO77" s="24"/>
      <c r="DP77" s="24"/>
      <c r="DQ77" s="24"/>
      <c r="DR77" s="24"/>
      <c r="DS77" s="24"/>
      <c r="DT77" s="24"/>
      <c r="DU77" s="24"/>
      <c r="DV77" s="24"/>
      <c r="DW77" s="24"/>
      <c r="DX77" s="24"/>
      <c r="DY77" s="24"/>
      <c r="DZ77" s="24"/>
      <c r="EA77" s="24"/>
      <c r="EB77" s="24"/>
      <c r="EC77" s="24"/>
      <c r="ED77" s="24"/>
      <c r="EE77" s="24"/>
      <c r="EF77" s="24"/>
      <c r="EG77" s="24"/>
      <c r="EH77" s="24"/>
      <c r="EI77" s="24"/>
      <c r="EJ77" s="24"/>
      <c r="EK77" s="24"/>
      <c r="EL77" s="24"/>
      <c r="EM77" s="24"/>
      <c r="EN77" s="24"/>
      <c r="EO77" s="24"/>
      <c r="EP77" s="24"/>
      <c r="EQ77" s="24"/>
      <c r="ER77" s="24"/>
      <c r="ES77" s="24"/>
      <c r="ET77" s="24"/>
      <c r="EU77" s="24"/>
      <c r="EV77" s="24"/>
      <c r="EW77" s="24"/>
      <c r="EX77" s="24"/>
      <c r="EY77" s="24"/>
      <c r="EZ77" s="24"/>
      <c r="FA77" s="24"/>
    </row>
    <row r="78" spans="1:157" s="24" customFormat="1" ht="14.5" hidden="1">
      <c r="A78" s="24" t="s">
        <v>1000</v>
      </c>
      <c r="B78" s="56" t="s">
        <v>1092</v>
      </c>
      <c r="C78" s="24"/>
      <c r="D78" s="24"/>
      <c r="E78" s="24"/>
      <c r="F78" s="24"/>
      <c r="G78" s="24"/>
      <c r="H78" s="24"/>
      <c r="I78" s="24"/>
      <c r="J78" s="24"/>
      <c r="K78" s="24"/>
      <c r="L78" s="24"/>
      <c r="M78" s="220"/>
      <c r="N78" s="221"/>
      <c r="O78" s="24"/>
      <c r="P78" s="24"/>
      <c r="Q78" s="24"/>
      <c r="R78" s="24"/>
      <c r="S78" s="24"/>
      <c r="T78" s="24"/>
      <c r="U78" s="24"/>
      <c r="V78" s="24"/>
      <c r="W78" s="24"/>
      <c r="X78" s="24"/>
      <c r="Y78" s="24"/>
      <c r="Z78" s="24"/>
      <c r="AA78" s="24"/>
      <c r="AB78" s="24"/>
      <c r="AC78" s="24"/>
      <c r="AD78" s="24">
        <f>ROW()</f>
        <v>78</v>
      </c>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t="s">
        <v>1093</v>
      </c>
      <c r="BC78" s="24" t="s">
        <v>847</v>
      </c>
      <c r="BD78" s="24" t="b">
        <v>0</v>
      </c>
      <c r="BE78" s="24">
        <f>E116</f>
        <v>0</v>
      </c>
      <c r="BF78" s="24" t="str">
        <f>""&amp;E116</f>
        <v/>
      </c>
      <c r="BG78" s="24" t="b">
        <v>1</v>
      </c>
      <c r="BH78" s="24" t="b">
        <v>0</v>
      </c>
      <c r="BI78" s="24"/>
      <c r="BJ78" s="24"/>
      <c r="BK78" s="24" t="str">
        <f ca="1">_xlfn.FORMULATEXT(BE78)</f>
        <v>=E116</v>
      </c>
      <c r="BL78" s="24" t="str">
        <f ca="1">_xlfn.FORMULATEXT(BE78)</f>
        <v>=E116</v>
      </c>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c r="DB78" s="24"/>
      <c r="DC78" s="24"/>
      <c r="DD78" s="24"/>
      <c r="DE78" s="24"/>
      <c r="DF78" s="24"/>
      <c r="DG78" s="24"/>
      <c r="DH78" s="24"/>
      <c r="DI78" s="24"/>
      <c r="DJ78" s="24"/>
      <c r="DK78" s="24"/>
      <c r="DL78" s="24"/>
      <c r="DM78" s="24"/>
      <c r="DN78" s="24"/>
      <c r="DO78" s="24"/>
      <c r="DP78" s="24"/>
      <c r="DQ78" s="24"/>
      <c r="DR78" s="24"/>
      <c r="DS78" s="24"/>
      <c r="DT78" s="24"/>
      <c r="DU78" s="24"/>
      <c r="DV78" s="24"/>
      <c r="DW78" s="24"/>
      <c r="DX78" s="24"/>
      <c r="DY78" s="24"/>
      <c r="DZ78" s="24"/>
      <c r="EA78" s="24"/>
      <c r="EB78" s="24"/>
      <c r="EC78" s="24"/>
      <c r="ED78" s="24"/>
      <c r="EE78" s="24"/>
      <c r="EF78" s="24"/>
      <c r="EG78" s="24"/>
      <c r="EH78" s="24"/>
      <c r="EI78" s="24"/>
      <c r="EJ78" s="24"/>
      <c r="EK78" s="24"/>
      <c r="EL78" s="24"/>
      <c r="EM78" s="24"/>
      <c r="EN78" s="24"/>
      <c r="EO78" s="24"/>
      <c r="EP78" s="24"/>
      <c r="EQ78" s="24"/>
      <c r="ER78" s="24"/>
      <c r="ES78" s="24"/>
      <c r="ET78" s="24"/>
      <c r="EU78" s="24"/>
      <c r="EV78" s="24"/>
      <c r="EW78" s="24"/>
      <c r="EX78" s="24"/>
      <c r="EY78" s="24"/>
      <c r="EZ78" s="24"/>
      <c r="FA78" s="24"/>
    </row>
    <row r="79" spans="1:157" s="24" customFormat="1" ht="14.5" hidden="1">
      <c r="A79" s="24" t="s">
        <v>1000</v>
      </c>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f>ROW()</f>
        <v>79</v>
      </c>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t="s">
        <v>1094</v>
      </c>
      <c r="BC79" s="24" t="s">
        <v>847</v>
      </c>
      <c r="BD79" s="24" t="b">
        <v>0</v>
      </c>
      <c r="BE79" s="24">
        <f>E117</f>
        <v>0</v>
      </c>
      <c r="BF79" s="24" t="str">
        <f>""&amp;E117</f>
        <v/>
      </c>
      <c r="BG79" s="24" t="b">
        <v>1</v>
      </c>
      <c r="BH79" s="24" t="b">
        <v>0</v>
      </c>
      <c r="BI79" s="24"/>
      <c r="BJ79" s="24"/>
      <c r="BK79" s="24" t="str">
        <f ca="1">_xlfn.FORMULATEXT(BE79)</f>
        <v>=E117</v>
      </c>
      <c r="BL79" s="24" t="str">
        <f ca="1">_xlfn.FORMULATEXT(BE79)</f>
        <v>=E117</v>
      </c>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c r="DB79" s="24"/>
      <c r="DC79" s="24"/>
      <c r="DD79" s="24"/>
      <c r="DE79" s="24"/>
      <c r="DF79" s="24"/>
      <c r="DG79" s="24"/>
      <c r="DH79" s="24"/>
      <c r="DI79" s="24"/>
      <c r="DJ79" s="24"/>
      <c r="DK79" s="24"/>
      <c r="DL79" s="24"/>
      <c r="DM79" s="24"/>
      <c r="DN79" s="24"/>
      <c r="DO79" s="24"/>
      <c r="DP79" s="24"/>
      <c r="DQ79" s="24"/>
      <c r="DR79" s="24"/>
      <c r="DS79" s="24"/>
      <c r="DT79" s="24"/>
      <c r="DU79" s="24"/>
      <c r="DV79" s="24"/>
      <c r="DW79" s="24"/>
      <c r="DX79" s="24"/>
      <c r="DY79" s="24"/>
      <c r="DZ79" s="24"/>
      <c r="EA79" s="24"/>
      <c r="EB79" s="24"/>
      <c r="EC79" s="24"/>
      <c r="ED79" s="24"/>
      <c r="EE79" s="24"/>
      <c r="EF79" s="24"/>
      <c r="EG79" s="24"/>
      <c r="EH79" s="24"/>
      <c r="EI79" s="24"/>
      <c r="EJ79" s="24"/>
      <c r="EK79" s="24"/>
      <c r="EL79" s="24"/>
      <c r="EM79" s="24"/>
      <c r="EN79" s="24"/>
      <c r="EO79" s="24"/>
      <c r="EP79" s="24"/>
      <c r="EQ79" s="24"/>
      <c r="ER79" s="24"/>
      <c r="ES79" s="24"/>
      <c r="ET79" s="24"/>
      <c r="EU79" s="24"/>
      <c r="EV79" s="24"/>
      <c r="EW79" s="24"/>
      <c r="EX79" s="24"/>
      <c r="EY79" s="24"/>
      <c r="EZ79" s="24"/>
      <c r="FA79" s="24"/>
    </row>
    <row r="80" spans="1:157" s="24" customFormat="1" ht="210.65" customHeight="1" hidden="1">
      <c r="A80" s="24" t="s">
        <v>1000</v>
      </c>
      <c r="B80" s="73" t="s">
        <v>1095</v>
      </c>
      <c r="C80" s="184" t="s">
        <v>1096</v>
      </c>
      <c r="D80" s="184"/>
      <c r="E80" s="185" t="s">
        <v>1097</v>
      </c>
      <c r="F80" s="185"/>
      <c r="G80" s="263" t="s">
        <v>1098</v>
      </c>
      <c r="H80" s="263"/>
      <c r="I80" s="184" t="s">
        <v>1099</v>
      </c>
      <c r="J80" s="184"/>
      <c r="K80" s="184" t="s">
        <v>1100</v>
      </c>
      <c r="L80" s="184"/>
      <c r="M80" s="184" t="s">
        <v>1101</v>
      </c>
      <c r="N80" s="184"/>
      <c r="O80" s="184"/>
      <c r="P80" s="185" t="s">
        <v>1102</v>
      </c>
      <c r="Q80" s="185"/>
      <c r="R80" s="184" t="s">
        <v>1103</v>
      </c>
      <c r="S80" s="184"/>
      <c r="T80" s="184" t="s">
        <v>1104</v>
      </c>
      <c r="U80" s="184"/>
      <c r="V80" s="184"/>
      <c r="W80" s="184" t="s">
        <v>1105</v>
      </c>
      <c r="X80" s="184"/>
      <c r="Y80" s="185" t="s">
        <v>1106</v>
      </c>
      <c r="Z80" s="185"/>
      <c r="AA80" s="24"/>
      <c r="AB80" s="24"/>
      <c r="AC80" s="24"/>
      <c r="AD80" s="24">
        <f>ROW()</f>
        <v>80</v>
      </c>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t="s">
        <v>1107</v>
      </c>
      <c r="BC80" s="24" t="s">
        <v>847</v>
      </c>
      <c r="BD80" s="24" t="b">
        <v>0</v>
      </c>
      <c r="BE80" s="24">
        <f>I115</f>
        <v>0</v>
      </c>
      <c r="BF80" s="24" t="str">
        <f>""&amp;I115</f>
        <v/>
      </c>
      <c r="BG80" s="24" t="b">
        <v>1</v>
      </c>
      <c r="BH80" s="24" t="b">
        <v>0</v>
      </c>
      <c r="BI80" s="24"/>
      <c r="BJ80" s="24"/>
      <c r="BK80" s="24" t="str">
        <f ca="1">_xlfn.FORMULATEXT(BE80)</f>
        <v>=I115</v>
      </c>
      <c r="BL80" s="24" t="str">
        <f ca="1">_xlfn.FORMULATEXT(BE80)</f>
        <v>=I115</v>
      </c>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c r="DB80" s="24"/>
      <c r="DC80" s="24"/>
      <c r="DD80" s="24"/>
      <c r="DE80" s="24"/>
      <c r="DF80" s="24"/>
      <c r="DG80" s="24"/>
      <c r="DH80" s="24"/>
      <c r="DI80" s="24"/>
      <c r="DJ80" s="24"/>
      <c r="DK80" s="24"/>
      <c r="DL80" s="24"/>
      <c r="DM80" s="24"/>
      <c r="DN80" s="24"/>
      <c r="DO80" s="24"/>
      <c r="DP80" s="24"/>
      <c r="DQ80" s="24"/>
      <c r="DR80" s="24"/>
      <c r="DS80" s="24"/>
      <c r="DT80" s="24"/>
      <c r="DU80" s="24"/>
      <c r="DV80" s="24"/>
      <c r="DW80" s="24"/>
      <c r="DX80" s="24"/>
      <c r="DY80" s="24"/>
      <c r="DZ80" s="24"/>
      <c r="EA80" s="24"/>
      <c r="EB80" s="24"/>
      <c r="EC80" s="24"/>
      <c r="ED80" s="24"/>
      <c r="EE80" s="24"/>
      <c r="EF80" s="24"/>
      <c r="EG80" s="24"/>
      <c r="EH80" s="24"/>
      <c r="EI80" s="24"/>
      <c r="EJ80" s="24"/>
      <c r="EK80" s="24"/>
      <c r="EL80" s="24"/>
      <c r="EM80" s="24"/>
      <c r="EN80" s="24"/>
      <c r="EO80" s="24"/>
      <c r="EP80" s="24"/>
      <c r="EQ80" s="24"/>
      <c r="ER80" s="24"/>
      <c r="ES80" s="24"/>
      <c r="ET80" s="24"/>
      <c r="EU80" s="24"/>
      <c r="EV80" s="24"/>
      <c r="EW80" s="24"/>
      <c r="EX80" s="24"/>
      <c r="EY80" s="24"/>
      <c r="EZ80" s="24"/>
      <c r="FA80" s="24"/>
    </row>
    <row r="81" spans="1:157" s="24" customFormat="1" ht="29.5" customHeight="1" hidden="1">
      <c r="A81" s="24" t="s">
        <v>1000</v>
      </c>
      <c r="B81" s="217"/>
      <c r="C81" s="285"/>
      <c r="D81" s="286"/>
      <c r="E81" s="285"/>
      <c r="F81" s="286"/>
      <c r="G81" s="287"/>
      <c r="H81" s="288"/>
      <c r="I81" s="287"/>
      <c r="J81" s="288"/>
      <c r="K81" s="279"/>
      <c r="L81" s="281"/>
      <c r="M81" s="289"/>
      <c r="N81" s="290"/>
      <c r="O81" s="291"/>
      <c r="P81" s="292"/>
      <c r="Q81" s="293"/>
      <c r="R81" s="279"/>
      <c r="S81" s="281"/>
      <c r="T81" s="287"/>
      <c r="U81" s="294"/>
      <c r="V81" s="288"/>
      <c r="W81" s="287"/>
      <c r="X81" s="288"/>
      <c r="Y81" s="285"/>
      <c r="Z81" s="295"/>
      <c r="AA81" s="24"/>
      <c r="AB81" s="24"/>
      <c r="AC81" s="24"/>
      <c r="AD81" s="24">
        <f>ROW()</f>
        <v>81</v>
      </c>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t="s">
        <v>1108</v>
      </c>
      <c r="BC81" s="24" t="s">
        <v>847</v>
      </c>
      <c r="BD81" s="24" t="b">
        <v>0</v>
      </c>
      <c r="BE81" s="24">
        <f>I116</f>
        <v>0</v>
      </c>
      <c r="BF81" s="24" t="str">
        <f>""&amp;I116</f>
        <v/>
      </c>
      <c r="BG81" s="24" t="b">
        <v>1</v>
      </c>
      <c r="BH81" s="24" t="b">
        <v>0</v>
      </c>
      <c r="BI81" s="24"/>
      <c r="BJ81" s="24"/>
      <c r="BK81" s="24" t="str">
        <f ca="1">_xlfn.FORMULATEXT(BE81)</f>
        <v>=I116</v>
      </c>
      <c r="BL81" s="24" t="str">
        <f ca="1">_xlfn.FORMULATEXT(BE81)</f>
        <v>=I116</v>
      </c>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c r="DB81" s="24"/>
      <c r="DC81" s="24"/>
      <c r="DD81" s="24"/>
      <c r="DE81" s="24"/>
      <c r="DF81" s="24"/>
      <c r="DG81" s="24"/>
      <c r="DH81" s="24"/>
      <c r="DI81" s="24"/>
      <c r="DJ81" s="24"/>
      <c r="DK81" s="24"/>
      <c r="DL81" s="24"/>
      <c r="DM81" s="24"/>
      <c r="DN81" s="24"/>
      <c r="DO81" s="24"/>
      <c r="DP81" s="24"/>
      <c r="DQ81" s="24"/>
      <c r="DR81" s="24"/>
      <c r="DS81" s="24"/>
      <c r="DT81" s="24"/>
      <c r="DU81" s="24"/>
      <c r="DV81" s="24"/>
      <c r="DW81" s="24"/>
      <c r="DX81" s="24"/>
      <c r="DY81" s="24"/>
      <c r="DZ81" s="24"/>
      <c r="EA81" s="24"/>
      <c r="EB81" s="24"/>
      <c r="EC81" s="24"/>
      <c r="ED81" s="24"/>
      <c r="EE81" s="24"/>
      <c r="EF81" s="24"/>
      <c r="EG81" s="24"/>
      <c r="EH81" s="24"/>
      <c r="EI81" s="24"/>
      <c r="EJ81" s="24"/>
      <c r="EK81" s="24"/>
      <c r="EL81" s="24"/>
      <c r="EM81" s="24"/>
      <c r="EN81" s="24"/>
      <c r="EO81" s="24"/>
      <c r="EP81" s="24"/>
      <c r="EQ81" s="24"/>
      <c r="ER81" s="24"/>
      <c r="ES81" s="24"/>
      <c r="ET81" s="24"/>
      <c r="EU81" s="24"/>
      <c r="EV81" s="24"/>
      <c r="EW81" s="24"/>
      <c r="EX81" s="24"/>
      <c r="EY81" s="24"/>
      <c r="EZ81" s="24"/>
      <c r="FA81" s="24"/>
    </row>
    <row r="82" spans="1:1 30:30 54:64" ht="14.5">
      <c r="A82" s="24"/>
      <c r="AD82" s="24">
        <f>ROW()</f>
        <v>82</v>
      </c>
      <c r="BB82" s="24" t="s">
        <v>1109</v>
      </c>
      <c r="BC82" s="24" t="s">
        <v>847</v>
      </c>
      <c r="BD82" s="24" t="b">
        <v>0</v>
      </c>
      <c r="BE82" s="24">
        <f>I117</f>
        <v>0</v>
      </c>
      <c r="BF82" s="24" t="str">
        <f>""&amp;I117</f>
        <v/>
      </c>
      <c r="BG82" s="24" t="b">
        <v>1</v>
      </c>
      <c r="BH82" s="24" t="b">
        <v>0</v>
      </c>
      <c r="BK82" s="24" t="str">
        <f ca="1">_xlfn.FORMULATEXT(BE82)</f>
        <v>=I117</v>
      </c>
      <c r="BL82" s="24" t="str">
        <f ca="1">_xlfn.FORMULATEXT(BE82)</f>
        <v>=I117</v>
      </c>
    </row>
    <row r="83" spans="1:30 54:64" ht="14.5">
      <c r="A83" s="24"/>
      <c r="B83" s="142" t="s">
        <v>1110</v>
      </c>
      <c r="C83" s="143"/>
      <c r="M83" s="140"/>
      <c r="N83" s="140"/>
      <c r="AD83" s="24">
        <f>ROW()</f>
        <v>83</v>
      </c>
      <c r="BB83" s="24" t="s">
        <v>1111</v>
      </c>
      <c r="BC83" s="24" t="s">
        <v>847</v>
      </c>
      <c r="BD83" s="24" t="b">
        <v>0</v>
      </c>
      <c r="BE83" s="24" t="str">
        <f>M136</f>
        <v>0.00</v>
      </c>
      <c r="BF83" s="24" t="str">
        <f>""&amp;M136</f>
        <v>0.00</v>
      </c>
      <c r="BG83" s="24" t="b">
        <v>0</v>
      </c>
      <c r="BH83" s="24" t="b">
        <v>0</v>
      </c>
      <c r="BK83" s="24" t="str">
        <f ca="1">_xlfn.FORMULATEXT(BE83)</f>
        <v>=M136</v>
      </c>
      <c r="BL83" s="24" t="str">
        <f ca="1">_xlfn.FORMULATEXT(BE83)</f>
        <v>=M136</v>
      </c>
    </row>
    <row r="84" spans="1:30 54:64" ht="33.65" customHeight="1">
      <c r="A84" s="24"/>
      <c r="B84" s="135"/>
      <c r="C84" s="134"/>
      <c r="D84" s="134"/>
      <c r="E84" s="134"/>
      <c r="F84" s="134"/>
      <c r="G84" s="134"/>
      <c r="H84" s="134"/>
      <c r="I84" s="134"/>
      <c r="J84" s="134"/>
      <c r="K84" s="134"/>
      <c r="L84" s="134"/>
      <c r="M84" s="134"/>
      <c r="N84" s="136"/>
      <c r="AD84" s="24">
        <f>ROW()</f>
        <v>84</v>
      </c>
      <c r="BB84" s="24" t="s">
        <v>1112</v>
      </c>
      <c r="BC84" s="24" t="s">
        <v>847</v>
      </c>
      <c r="BD84" s="24" t="b">
        <v>0</v>
      </c>
      <c r="BE84" s="24" t="str">
        <f>O136</f>
        <v>0.00</v>
      </c>
      <c r="BF84" s="24" t="str">
        <f>""&amp;O136</f>
        <v>0.00</v>
      </c>
      <c r="BG84" s="24" t="b">
        <v>0</v>
      </c>
      <c r="BH84" s="24" t="b">
        <v>0</v>
      </c>
      <c r="BK84" s="24" t="str">
        <f ca="1">_xlfn.FORMULATEXT(BE84)</f>
        <v>=O136</v>
      </c>
      <c r="BL84" s="24" t="str">
        <f ca="1">_xlfn.FORMULATEXT(BE84)</f>
        <v>=O136</v>
      </c>
    </row>
    <row r="85" spans="1:2 30:30 54:64" ht="26.15" customHeight="1">
      <c r="A85" s="24"/>
      <c r="B85" s="37" t="s">
        <v>1113</v>
      </c>
      <c r="AD85" s="24">
        <f>ROW()</f>
        <v>85</v>
      </c>
      <c r="BB85" s="24" t="s">
        <v>1114</v>
      </c>
      <c r="BC85" s="24" t="s">
        <v>847</v>
      </c>
      <c r="BD85" s="24" t="b">
        <v>0</v>
      </c>
      <c r="BE85" s="24" t="str">
        <f>Q136</f>
        <v>0.00</v>
      </c>
      <c r="BF85" s="24" t="str">
        <f>""&amp;Q136</f>
        <v>0.00</v>
      </c>
      <c r="BG85" s="24" t="b">
        <v>0</v>
      </c>
      <c r="BH85" s="24" t="b">
        <v>0</v>
      </c>
      <c r="BK85" s="24" t="str">
        <f ca="1">_xlfn.FORMULATEXT(BE85)</f>
        <v>=Q136</v>
      </c>
      <c r="BL85" s="24" t="str">
        <f ca="1">_xlfn.FORMULATEXT(BE85)</f>
        <v>=Q136</v>
      </c>
    </row>
    <row r="86" spans="1:2 30:30 54:64" ht="14.5">
      <c r="A86" s="24"/>
      <c r="B86" s="56"/>
      <c r="AD86" s="24">
        <f>ROW()</f>
        <v>86</v>
      </c>
      <c r="BB86" s="24" t="s">
        <v>1115</v>
      </c>
      <c r="BC86" s="24" t="s">
        <v>847</v>
      </c>
      <c r="BD86" s="24" t="b">
        <v>0</v>
      </c>
      <c r="BE86" s="24">
        <f>I250</f>
        <v>0</v>
      </c>
      <c r="BF86" s="24" t="str">
        <f>""&amp;I250</f>
        <v/>
      </c>
      <c r="BG86" s="24" t="b">
        <v>1</v>
      </c>
      <c r="BH86" s="24" t="b">
        <v>0</v>
      </c>
      <c r="BK86" s="24" t="str">
        <f ca="1">_xlfn.FORMULATEXT(BE86)</f>
        <v>=I250</v>
      </c>
      <c r="BL86" s="24" t="str">
        <f ca="1">_xlfn.FORMULATEXT(BE86)</f>
        <v>=I250</v>
      </c>
    </row>
    <row r="87" spans="1:30 54:64" ht="14.5">
      <c r="A87" s="24"/>
      <c r="B87" s="142" t="s">
        <v>1116</v>
      </c>
      <c r="M87" s="140"/>
      <c r="N87" s="140"/>
      <c r="AD87" s="24">
        <f>ROW()</f>
        <v>87</v>
      </c>
      <c r="BB87" s="24" t="s">
        <v>1117</v>
      </c>
      <c r="BC87" s="24" t="s">
        <v>847</v>
      </c>
      <c r="BD87" s="24" t="b">
        <v>0</v>
      </c>
      <c r="BE87" s="24">
        <f>C251</f>
        <v>0</v>
      </c>
      <c r="BF87" s="24" t="str">
        <f>""&amp;C251</f>
        <v/>
      </c>
      <c r="BG87" s="24" t="b">
        <v>1</v>
      </c>
      <c r="BH87" s="24" t="b">
        <v>0</v>
      </c>
      <c r="BK87" s="24" t="str">
        <f ca="1">_xlfn.FORMULATEXT(BE87)</f>
        <v>=C251</v>
      </c>
      <c r="BL87" s="24" t="str">
        <f ca="1">_xlfn.FORMULATEXT(BE87)</f>
        <v>=C251</v>
      </c>
    </row>
    <row r="88" spans="1:30 54:64" ht="33" customHeight="1">
      <c r="A88" s="24"/>
      <c r="B88" s="147"/>
      <c r="C88" s="146"/>
      <c r="D88" s="146"/>
      <c r="E88" s="146"/>
      <c r="F88" s="146"/>
      <c r="G88" s="146"/>
      <c r="H88" s="146"/>
      <c r="I88" s="146"/>
      <c r="J88" s="146"/>
      <c r="K88" s="146"/>
      <c r="L88" s="146"/>
      <c r="M88" s="146"/>
      <c r="N88" s="148"/>
      <c r="AD88" s="24">
        <f>ROW()</f>
        <v>88</v>
      </c>
      <c r="BB88" s="24" t="s">
        <v>1118</v>
      </c>
      <c r="BC88" s="24" t="s">
        <v>847</v>
      </c>
      <c r="BD88" s="24" t="b">
        <v>0</v>
      </c>
      <c r="BE88" s="24" t="str">
        <f>J262</f>
        <v>DSC BOX</v>
      </c>
      <c r="BF88" s="24" t="str">
        <f>""&amp;J262</f>
        <v>DSC BOX</v>
      </c>
      <c r="BG88" s="24" t="b">
        <v>0</v>
      </c>
      <c r="BH88" s="24" t="b">
        <v>0</v>
      </c>
      <c r="BK88" s="24" t="str">
        <f ca="1">_xlfn.FORMULATEXT(BE88)</f>
        <v>=J262</v>
      </c>
      <c r="BL88" s="24" t="str">
        <f ca="1">_xlfn.FORMULATEXT(BE88)</f>
        <v>=J262</v>
      </c>
    </row>
    <row r="89" spans="1:30 54:64" ht="17.15" customHeight="1">
      <c r="A89" s="24"/>
      <c r="B89" s="37"/>
      <c r="M89" s="151"/>
      <c r="N89" s="151"/>
      <c r="AD89" s="24">
        <f>ROW()</f>
        <v>89</v>
      </c>
      <c r="BB89" s="24" t="s">
        <v>1119</v>
      </c>
      <c r="BC89" s="24" t="s">
        <v>981</v>
      </c>
      <c r="BD89" s="24" t="b">
        <v>0</v>
      </c>
      <c r="BE89" s="24" t="str">
        <f>IF(AA264=1,"Director","IRP/RP/Liquidator")</f>
        <v>IRP/RP/Liquidator</v>
      </c>
      <c r="BF89" s="24" t="str">
        <f>""&amp;BE89</f>
        <v>IRP/RP/Liquidator</v>
      </c>
      <c r="BG89" s="24" t="b">
        <v>1</v>
      </c>
      <c r="BH89" s="24" t="b">
        <v>0</v>
      </c>
      <c r="BJ89" s="24">
        <f>AA264</f>
        <v>0</v>
      </c>
      <c r="BK89" s="24" t="str">
        <f ca="1">_xlfn.FORMULATEXT(BJ89)</f>
        <v>=AA264</v>
      </c>
      <c r="BL89" s="24" t="s">
        <v>1120</v>
      </c>
    </row>
    <row r="90" spans="1:30 54:64" ht="14.5">
      <c r="A90" s="24"/>
      <c r="B90" s="37" t="s">
        <v>1121</v>
      </c>
      <c r="M90" s="153"/>
      <c r="N90" s="154"/>
      <c r="AD90" s="24">
        <f>ROW()</f>
        <v>90</v>
      </c>
      <c r="BB90" s="24" t="s">
        <v>1122</v>
      </c>
      <c r="BC90" s="24" t="s">
        <v>847</v>
      </c>
      <c r="BD90" s="24" t="b">
        <v>0</v>
      </c>
      <c r="BE90" s="24">
        <f>J267</f>
        <v>0</v>
      </c>
      <c r="BF90" s="24" t="str">
        <f>UPPER(""&amp;J267)</f>
        <v/>
      </c>
      <c r="BG90" s="24" t="b">
        <v>1</v>
      </c>
      <c r="BH90" s="24" t="b">
        <v>0</v>
      </c>
      <c r="BK90" s="24" t="str">
        <f ca="1">_xlfn.FORMULATEXT(BE90)</f>
        <v>=J267</v>
      </c>
      <c r="BL90" s="24" t="str">
        <f ca="1">_xlfn.FORMULATEXT(BE90)</f>
        <v>=J267</v>
      </c>
    </row>
    <row r="91" spans="1:30" ht="26.15" customHeight="1">
      <c r="A91" s="24"/>
      <c r="B91" s="37" t="s">
        <v>1123</v>
      </c>
      <c r="AD91" s="24">
        <f>ROW()</f>
        <v>91</v>
      </c>
    </row>
    <row r="92" spans="1:30" ht="24.65" customHeight="1">
      <c r="A92" s="24"/>
      <c r="B92" s="133" t="s">
        <v>1116</v>
      </c>
      <c r="AD92" s="24">
        <f>ROW()</f>
        <v>92</v>
      </c>
    </row>
    <row r="93" spans="1:30" ht="34" customHeight="1">
      <c r="A93" s="24"/>
      <c r="B93" s="135"/>
      <c r="C93" s="134"/>
      <c r="D93" s="134"/>
      <c r="E93" s="134"/>
      <c r="F93" s="134"/>
      <c r="G93" s="134"/>
      <c r="H93" s="134"/>
      <c r="I93" s="134"/>
      <c r="J93" s="134"/>
      <c r="K93" s="134"/>
      <c r="L93" s="134"/>
      <c r="M93" s="134"/>
      <c r="N93" s="136"/>
      <c r="AD93" s="24">
        <f>ROW()</f>
        <v>93</v>
      </c>
    </row>
    <row r="94" spans="1:30" ht="14.5">
      <c r="A94" s="24"/>
      <c r="B94" s="86"/>
      <c r="AD94" s="24">
        <f>ROW()</f>
        <v>94</v>
      </c>
    </row>
    <row r="95" spans="1:30" ht="14.5">
      <c r="A95" s="24"/>
      <c r="B95" s="56" t="s">
        <v>1121</v>
      </c>
      <c r="M95" s="158"/>
      <c r="N95" s="159"/>
      <c r="AD95" s="24">
        <f>ROW()</f>
        <v>95</v>
      </c>
    </row>
    <row r="96" spans="1:30" ht="14.5">
      <c r="A96" s="24"/>
      <c r="AD96" s="24">
        <f>ROW()</f>
        <v>96</v>
      </c>
    </row>
    <row r="97" spans="1:30" ht="15.65" customHeight="1">
      <c r="A97" s="24"/>
      <c r="B97" s="31" t="s">
        <v>1124</v>
      </c>
      <c r="C97" s="31"/>
      <c r="D97" s="31"/>
      <c r="E97" s="31"/>
      <c r="F97" s="31"/>
      <c r="G97" s="31"/>
      <c r="H97" s="31"/>
      <c r="I97" s="31"/>
      <c r="J97" s="31"/>
      <c r="K97" s="31"/>
      <c r="M97" s="88"/>
      <c r="N97" s="88"/>
      <c r="AD97" s="24">
        <f>ROW()</f>
        <v>97</v>
      </c>
    </row>
    <row r="98" spans="1:30" ht="15.65" customHeight="1">
      <c r="A98" s="24"/>
      <c r="B98" s="160"/>
      <c r="C98" s="160"/>
      <c r="D98" s="160"/>
      <c r="E98" s="160"/>
      <c r="F98" s="160"/>
      <c r="G98" s="160"/>
      <c r="H98" s="160"/>
      <c r="I98" s="160"/>
      <c r="J98" s="160"/>
      <c r="K98" s="160"/>
      <c r="M98" s="140"/>
      <c r="N98" s="140"/>
      <c r="AD98" s="24">
        <f>ROW()</f>
        <v>98</v>
      </c>
    </row>
    <row r="99" spans="1:30" ht="33" customHeight="1">
      <c r="A99" s="24"/>
      <c r="B99" s="135"/>
      <c r="C99" s="134"/>
      <c r="D99" s="134"/>
      <c r="E99" s="134"/>
      <c r="F99" s="134"/>
      <c r="G99" s="134"/>
      <c r="H99" s="134"/>
      <c r="I99" s="134"/>
      <c r="J99" s="134"/>
      <c r="K99" s="134"/>
      <c r="L99" s="134"/>
      <c r="M99" s="134"/>
      <c r="N99" s="136"/>
      <c r="AD99" s="24">
        <f>ROW()</f>
        <v>99</v>
      </c>
    </row>
    <row r="100" spans="1:30" ht="26.15" customHeight="1">
      <c r="A100" s="24"/>
      <c r="B100" s="133" t="s">
        <v>1125</v>
      </c>
      <c r="M100" s="161"/>
      <c r="N100" s="161"/>
      <c r="AD100" s="24">
        <f>ROW()</f>
        <v>100</v>
      </c>
    </row>
    <row r="101" spans="1:30" ht="33.65" customHeight="1">
      <c r="A101" s="24"/>
      <c r="B101" s="135"/>
      <c r="C101" s="134"/>
      <c r="D101" s="134"/>
      <c r="E101" s="134"/>
      <c r="F101" s="134"/>
      <c r="G101" s="134"/>
      <c r="H101" s="134"/>
      <c r="I101" s="134"/>
      <c r="J101" s="134"/>
      <c r="K101" s="134"/>
      <c r="L101" s="134"/>
      <c r="M101" s="134"/>
      <c r="N101" s="136"/>
      <c r="AD101" s="24">
        <f>ROW()</f>
        <v>101</v>
      </c>
    </row>
    <row r="102" spans="1:157" s="24" customFormat="1" ht="14.5" hidden="1">
      <c r="A102" s="24" t="s">
        <v>1000</v>
      </c>
      <c r="B102" s="26" t="s">
        <v>1126</v>
      </c>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f>ROW()</f>
        <v>102</v>
      </c>
      <c r="AE102" s="24"/>
      <c r="AF102" s="24"/>
      <c r="AG102" s="24"/>
      <c r="AH102" s="24"/>
      <c r="AI102" s="24"/>
      <c r="AJ102" s="24"/>
      <c r="AK102" s="24"/>
      <c r="AL102" s="24"/>
      <c r="AM102" s="24"/>
      <c r="AN102" s="24"/>
      <c r="AO102" s="24"/>
      <c r="AP102" s="24"/>
      <c r="AQ102" s="24"/>
      <c r="AR102" s="24"/>
      <c r="AS102" s="24"/>
      <c r="AT102" s="24"/>
      <c r="AU102" s="24"/>
      <c r="AV102" s="24"/>
      <c r="AW102" s="24"/>
      <c r="AX102" s="24"/>
      <c r="AY102" s="24"/>
      <c r="AZ102" s="24"/>
      <c r="BA102" s="24"/>
      <c r="BB102" s="24"/>
      <c r="BC102" s="24"/>
      <c r="BD102" s="24"/>
      <c r="BE102" s="24"/>
      <c r="BF102" s="24"/>
      <c r="BG102" s="24"/>
      <c r="BH102" s="24"/>
      <c r="BI102" s="24"/>
      <c r="BJ102" s="24"/>
      <c r="BK102" s="24"/>
      <c r="BL102" s="24"/>
      <c r="BM102" s="24"/>
      <c r="BN102" s="24"/>
      <c r="BO102" s="24"/>
      <c r="BP102" s="24"/>
      <c r="BQ102" s="24"/>
      <c r="BR102" s="24"/>
      <c r="BS102" s="24"/>
      <c r="BT102" s="24"/>
      <c r="BU102" s="24"/>
      <c r="BV102" s="24"/>
      <c r="BW102" s="24"/>
      <c r="BX102" s="24"/>
      <c r="BY102" s="24"/>
      <c r="BZ102" s="24"/>
      <c r="CA102" s="24"/>
      <c r="CB102" s="24"/>
      <c r="CC102" s="24"/>
      <c r="CD102" s="24"/>
      <c r="CE102" s="24"/>
      <c r="CF102" s="24"/>
      <c r="CG102" s="24"/>
      <c r="CH102" s="24"/>
      <c r="CI102" s="24"/>
      <c r="CJ102" s="24"/>
      <c r="CK102" s="24"/>
      <c r="CL102" s="24"/>
      <c r="CM102" s="24"/>
      <c r="CN102" s="24"/>
      <c r="CO102" s="24"/>
      <c r="CP102" s="24"/>
      <c r="CQ102" s="24"/>
      <c r="CR102" s="24"/>
      <c r="CS102" s="24"/>
      <c r="CT102" s="24"/>
      <c r="CU102" s="24"/>
      <c r="CV102" s="24"/>
      <c r="CW102" s="24"/>
      <c r="CX102" s="24"/>
      <c r="CY102" s="24"/>
      <c r="CZ102" s="24"/>
      <c r="DA102" s="24"/>
      <c r="DB102" s="24"/>
      <c r="DC102" s="24"/>
      <c r="DD102" s="24"/>
      <c r="DE102" s="24"/>
      <c r="DF102" s="24"/>
      <c r="DG102" s="24"/>
      <c r="DH102" s="24"/>
      <c r="DI102" s="24"/>
      <c r="DJ102" s="24"/>
      <c r="DK102" s="24"/>
      <c r="DL102" s="24"/>
      <c r="DM102" s="24"/>
      <c r="DN102" s="24"/>
      <c r="DO102" s="24"/>
      <c r="DP102" s="24"/>
      <c r="DQ102" s="24"/>
      <c r="DR102" s="24"/>
      <c r="DS102" s="24"/>
      <c r="DT102" s="24"/>
      <c r="DU102" s="24"/>
      <c r="DV102" s="24"/>
      <c r="DW102" s="24"/>
      <c r="DX102" s="24"/>
      <c r="DY102" s="24"/>
      <c r="DZ102" s="24"/>
      <c r="EA102" s="24"/>
      <c r="EB102" s="24"/>
      <c r="EC102" s="24"/>
      <c r="ED102" s="24"/>
      <c r="EE102" s="24"/>
      <c r="EF102" s="24"/>
      <c r="EG102" s="24"/>
      <c r="EH102" s="24"/>
      <c r="EI102" s="24"/>
      <c r="EJ102" s="24"/>
      <c r="EK102" s="24"/>
      <c r="EL102" s="24"/>
      <c r="EM102" s="24"/>
      <c r="EN102" s="24"/>
      <c r="EO102" s="24"/>
      <c r="EP102" s="24"/>
      <c r="EQ102" s="24"/>
      <c r="ER102" s="24"/>
      <c r="ES102" s="24"/>
      <c r="ET102" s="24"/>
      <c r="EU102" s="24"/>
      <c r="EV102" s="24"/>
      <c r="EW102" s="24"/>
      <c r="EX102" s="24"/>
      <c r="EY102" s="24"/>
      <c r="EZ102" s="24"/>
      <c r="FA102" s="24"/>
    </row>
    <row r="103" spans="1:157" s="24" customFormat="1" ht="14.5" hidden="1">
      <c r="A103" s="24" t="s">
        <v>1000</v>
      </c>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f>ROW()</f>
        <v>103</v>
      </c>
      <c r="AE103" s="24"/>
      <c r="AF103" s="24"/>
      <c r="AG103" s="24"/>
      <c r="AH103" s="24"/>
      <c r="AI103" s="24"/>
      <c r="AJ103" s="24"/>
      <c r="AK103" s="24"/>
      <c r="AL103" s="24"/>
      <c r="AM103" s="24"/>
      <c r="AN103" s="24"/>
      <c r="AO103" s="24"/>
      <c r="AP103" s="24"/>
      <c r="AQ103" s="24"/>
      <c r="AR103" s="24"/>
      <c r="AS103" s="24"/>
      <c r="AT103" s="24"/>
      <c r="AU103" s="24"/>
      <c r="AV103" s="24"/>
      <c r="AW103" s="24"/>
      <c r="AX103" s="24"/>
      <c r="AY103" s="24"/>
      <c r="AZ103" s="24"/>
      <c r="BA103" s="24"/>
      <c r="BB103" s="24"/>
      <c r="BC103" s="24"/>
      <c r="BD103" s="24"/>
      <c r="BE103" s="24"/>
      <c r="BF103" s="24"/>
      <c r="BG103" s="24"/>
      <c r="BH103" s="24"/>
      <c r="BI103" s="24"/>
      <c r="BJ103" s="24"/>
      <c r="BK103" s="24"/>
      <c r="BL103" s="24"/>
      <c r="BM103" s="24"/>
      <c r="BN103" s="24"/>
      <c r="BO103" s="24"/>
      <c r="BP103" s="24"/>
      <c r="BQ103" s="24"/>
      <c r="BR103" s="24"/>
      <c r="BS103" s="24"/>
      <c r="BT103" s="24"/>
      <c r="BU103" s="24"/>
      <c r="BV103" s="24"/>
      <c r="BW103" s="24"/>
      <c r="BX103" s="24"/>
      <c r="BY103" s="24"/>
      <c r="BZ103" s="24"/>
      <c r="CA103" s="24"/>
      <c r="CB103" s="24"/>
      <c r="CC103" s="24"/>
      <c r="CD103" s="24"/>
      <c r="CE103" s="24"/>
      <c r="CF103" s="24"/>
      <c r="CG103" s="24"/>
      <c r="CH103" s="24"/>
      <c r="CI103" s="24"/>
      <c r="CJ103" s="24"/>
      <c r="CK103" s="24"/>
      <c r="CL103" s="24"/>
      <c r="CM103" s="24"/>
      <c r="CN103" s="24"/>
      <c r="CO103" s="24"/>
      <c r="CP103" s="24"/>
      <c r="CQ103" s="24"/>
      <c r="CR103" s="24"/>
      <c r="CS103" s="24"/>
      <c r="CT103" s="24"/>
      <c r="CU103" s="24"/>
      <c r="CV103" s="24"/>
      <c r="CW103" s="24"/>
      <c r="CX103" s="24"/>
      <c r="CY103" s="24"/>
      <c r="CZ103" s="24"/>
      <c r="DA103" s="24"/>
      <c r="DB103" s="24"/>
      <c r="DC103" s="24"/>
      <c r="DD103" s="24"/>
      <c r="DE103" s="24"/>
      <c r="DF103" s="24"/>
      <c r="DG103" s="24"/>
      <c r="DH103" s="24"/>
      <c r="DI103" s="24"/>
      <c r="DJ103" s="24"/>
      <c r="DK103" s="24"/>
      <c r="DL103" s="24"/>
      <c r="DM103" s="24"/>
      <c r="DN103" s="24"/>
      <c r="DO103" s="24"/>
      <c r="DP103" s="24"/>
      <c r="DQ103" s="24"/>
      <c r="DR103" s="24"/>
      <c r="DS103" s="24"/>
      <c r="DT103" s="24"/>
      <c r="DU103" s="24"/>
      <c r="DV103" s="24"/>
      <c r="DW103" s="24"/>
      <c r="DX103" s="24"/>
      <c r="DY103" s="24"/>
      <c r="DZ103" s="24"/>
      <c r="EA103" s="24"/>
      <c r="EB103" s="24"/>
      <c r="EC103" s="24"/>
      <c r="ED103" s="24"/>
      <c r="EE103" s="24"/>
      <c r="EF103" s="24"/>
      <c r="EG103" s="24"/>
      <c r="EH103" s="24"/>
      <c r="EI103" s="24"/>
      <c r="EJ103" s="24"/>
      <c r="EK103" s="24"/>
      <c r="EL103" s="24"/>
      <c r="EM103" s="24"/>
      <c r="EN103" s="24"/>
      <c r="EO103" s="24"/>
      <c r="EP103" s="24"/>
      <c r="EQ103" s="24"/>
      <c r="ER103" s="24"/>
      <c r="ES103" s="24"/>
      <c r="ET103" s="24"/>
      <c r="EU103" s="24"/>
      <c r="EV103" s="24"/>
      <c r="EW103" s="24"/>
      <c r="EX103" s="24"/>
      <c r="EY103" s="24"/>
      <c r="EZ103" s="24"/>
      <c r="FA103" s="24"/>
    </row>
    <row r="104" spans="1:157" s="24" customFormat="1" ht="14.5" hidden="1">
      <c r="A104" s="24" t="s">
        <v>1000</v>
      </c>
      <c r="B104" s="56" t="s">
        <v>1127</v>
      </c>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f>ROW()</f>
        <v>104</v>
      </c>
      <c r="AE104" s="24"/>
      <c r="AF104" s="24"/>
      <c r="AG104" s="24"/>
      <c r="AH104" s="24"/>
      <c r="AI104" s="24"/>
      <c r="AJ104" s="24"/>
      <c r="AK104" s="24"/>
      <c r="AL104" s="24"/>
      <c r="AM104" s="24"/>
      <c r="AN104" s="24"/>
      <c r="AO104" s="24"/>
      <c r="AP104" s="24"/>
      <c r="AQ104" s="24"/>
      <c r="AR104" s="24"/>
      <c r="AS104" s="24"/>
      <c r="AT104" s="24"/>
      <c r="AU104" s="24"/>
      <c r="AV104" s="24"/>
      <c r="AW104" s="24"/>
      <c r="AX104" s="24"/>
      <c r="AY104" s="24"/>
      <c r="AZ104" s="24"/>
      <c r="BA104" s="24"/>
      <c r="BB104" s="24"/>
      <c r="BC104" s="24"/>
      <c r="BD104" s="24"/>
      <c r="BE104" s="24"/>
      <c r="BF104" s="24"/>
      <c r="BG104" s="24"/>
      <c r="BH104" s="24"/>
      <c r="BI104" s="24"/>
      <c r="BJ104" s="24"/>
      <c r="BK104" s="24"/>
      <c r="BL104" s="24"/>
      <c r="BM104" s="24"/>
      <c r="BN104" s="24"/>
      <c r="BO104" s="24"/>
      <c r="BP104" s="24"/>
      <c r="BQ104" s="24"/>
      <c r="BR104" s="24"/>
      <c r="BS104" s="24"/>
      <c r="BT104" s="24"/>
      <c r="BU104" s="24"/>
      <c r="BV104" s="24"/>
      <c r="BW104" s="24"/>
      <c r="BX104" s="24"/>
      <c r="BY104" s="24"/>
      <c r="BZ104" s="24"/>
      <c r="CA104" s="24"/>
      <c r="CB104" s="24"/>
      <c r="CC104" s="24"/>
      <c r="CD104" s="24"/>
      <c r="CE104" s="24"/>
      <c r="CF104" s="24"/>
      <c r="CG104" s="24"/>
      <c r="CH104" s="24"/>
      <c r="CI104" s="24"/>
      <c r="CJ104" s="24"/>
      <c r="CK104" s="24"/>
      <c r="CL104" s="24"/>
      <c r="CM104" s="24"/>
      <c r="CN104" s="24"/>
      <c r="CO104" s="24"/>
      <c r="CP104" s="24"/>
      <c r="CQ104" s="24"/>
      <c r="CR104" s="24"/>
      <c r="CS104" s="24"/>
      <c r="CT104" s="24"/>
      <c r="CU104" s="24"/>
      <c r="CV104" s="24"/>
      <c r="CW104" s="24"/>
      <c r="CX104" s="24"/>
      <c r="CY104" s="24"/>
      <c r="CZ104" s="24"/>
      <c r="DA104" s="24"/>
      <c r="DB104" s="24"/>
      <c r="DC104" s="24"/>
      <c r="DD104" s="24"/>
      <c r="DE104" s="24"/>
      <c r="DF104" s="24"/>
      <c r="DG104" s="24"/>
      <c r="DH104" s="24"/>
      <c r="DI104" s="24"/>
      <c r="DJ104" s="24"/>
      <c r="DK104" s="24"/>
      <c r="DL104" s="24"/>
      <c r="DM104" s="24"/>
      <c r="DN104" s="24"/>
      <c r="DO104" s="24"/>
      <c r="DP104" s="24"/>
      <c r="DQ104" s="24"/>
      <c r="DR104" s="24"/>
      <c r="DS104" s="24"/>
      <c r="DT104" s="24"/>
      <c r="DU104" s="24"/>
      <c r="DV104" s="24"/>
      <c r="DW104" s="24"/>
      <c r="DX104" s="24"/>
      <c r="DY104" s="24"/>
      <c r="DZ104" s="24"/>
      <c r="EA104" s="24"/>
      <c r="EB104" s="24"/>
      <c r="EC104" s="24"/>
      <c r="ED104" s="24"/>
      <c r="EE104" s="24"/>
      <c r="EF104" s="24"/>
      <c r="EG104" s="24"/>
      <c r="EH104" s="24"/>
      <c r="EI104" s="24"/>
      <c r="EJ104" s="24"/>
      <c r="EK104" s="24"/>
      <c r="EL104" s="24"/>
      <c r="EM104" s="24"/>
      <c r="EN104" s="24"/>
      <c r="EO104" s="24"/>
      <c r="EP104" s="24"/>
      <c r="EQ104" s="24"/>
      <c r="ER104" s="24"/>
      <c r="ES104" s="24"/>
      <c r="ET104" s="24"/>
      <c r="EU104" s="24"/>
      <c r="EV104" s="24"/>
      <c r="EW104" s="24"/>
      <c r="EX104" s="24"/>
      <c r="EY104" s="24"/>
      <c r="EZ104" s="24"/>
      <c r="FA104" s="24"/>
    </row>
    <row r="105" spans="1:157" s="24" customFormat="1" ht="14.5" hidden="1">
      <c r="A105" s="24" t="s">
        <v>1000</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f>ROW()</f>
        <v>105</v>
      </c>
      <c r="AE105" s="24"/>
      <c r="AF105" s="24"/>
      <c r="AG105" s="24"/>
      <c r="AH105" s="24"/>
      <c r="AI105" s="24"/>
      <c r="AJ105" s="24"/>
      <c r="AK105" s="24"/>
      <c r="AL105" s="24"/>
      <c r="AM105" s="24"/>
      <c r="AN105" s="24"/>
      <c r="AO105" s="24"/>
      <c r="AP105" s="24"/>
      <c r="AQ105" s="24"/>
      <c r="AR105" s="24"/>
      <c r="AS105" s="24"/>
      <c r="AT105" s="24"/>
      <c r="AU105" s="24"/>
      <c r="AV105" s="24"/>
      <c r="AW105" s="24"/>
      <c r="AX105" s="24"/>
      <c r="AY105" s="24"/>
      <c r="AZ105" s="24"/>
      <c r="BA105" s="24"/>
      <c r="BB105" s="24"/>
      <c r="BC105" s="24"/>
      <c r="BD105" s="24"/>
      <c r="BE105" s="24"/>
      <c r="BF105" s="24"/>
      <c r="BG105" s="24"/>
      <c r="BH105" s="24"/>
      <c r="BI105" s="24"/>
      <c r="BJ105" s="24"/>
      <c r="BK105" s="24"/>
      <c r="BL105" s="24"/>
      <c r="BM105" s="24"/>
      <c r="BN105" s="24"/>
      <c r="BO105" s="24"/>
      <c r="BP105" s="24"/>
      <c r="BQ105" s="24"/>
      <c r="BR105" s="24"/>
      <c r="BS105" s="24"/>
      <c r="BT105" s="24"/>
      <c r="BU105" s="24"/>
      <c r="BV105" s="24"/>
      <c r="BW105" s="24"/>
      <c r="BX105" s="24"/>
      <c r="BY105" s="24"/>
      <c r="BZ105" s="24"/>
      <c r="CA105" s="24"/>
      <c r="CB105" s="24"/>
      <c r="CC105" s="24"/>
      <c r="CD105" s="24"/>
      <c r="CE105" s="24"/>
      <c r="CF105" s="24"/>
      <c r="CG105" s="24"/>
      <c r="CH105" s="24"/>
      <c r="CI105" s="24"/>
      <c r="CJ105" s="24"/>
      <c r="CK105" s="24"/>
      <c r="CL105" s="24"/>
      <c r="CM105" s="24"/>
      <c r="CN105" s="24"/>
      <c r="CO105" s="24"/>
      <c r="CP105" s="24"/>
      <c r="CQ105" s="24"/>
      <c r="CR105" s="24"/>
      <c r="CS105" s="24"/>
      <c r="CT105" s="24"/>
      <c r="CU105" s="24"/>
      <c r="CV105" s="24"/>
      <c r="CW105" s="24"/>
      <c r="CX105" s="24"/>
      <c r="CY105" s="24"/>
      <c r="CZ105" s="24"/>
      <c r="DA105" s="24"/>
      <c r="DB105" s="24"/>
      <c r="DC105" s="24"/>
      <c r="DD105" s="24"/>
      <c r="DE105" s="24"/>
      <c r="DF105" s="24"/>
      <c r="DG105" s="24"/>
      <c r="DH105" s="24"/>
      <c r="DI105" s="24"/>
      <c r="DJ105" s="24"/>
      <c r="DK105" s="24"/>
      <c r="DL105" s="24"/>
      <c r="DM105" s="24"/>
      <c r="DN105" s="24"/>
      <c r="DO105" s="24"/>
      <c r="DP105" s="24"/>
      <c r="DQ105" s="24"/>
      <c r="DR105" s="24"/>
      <c r="DS105" s="24"/>
      <c r="DT105" s="24"/>
      <c r="DU105" s="24"/>
      <c r="DV105" s="24"/>
      <c r="DW105" s="24"/>
      <c r="DX105" s="24"/>
      <c r="DY105" s="24"/>
      <c r="DZ105" s="24"/>
      <c r="EA105" s="24"/>
      <c r="EB105" s="24"/>
      <c r="EC105" s="24"/>
      <c r="ED105" s="24"/>
      <c r="EE105" s="24"/>
      <c r="EF105" s="24"/>
      <c r="EG105" s="24"/>
      <c r="EH105" s="24"/>
      <c r="EI105" s="24"/>
      <c r="EJ105" s="24"/>
      <c r="EK105" s="24"/>
      <c r="EL105" s="24"/>
      <c r="EM105" s="24"/>
      <c r="EN105" s="24"/>
      <c r="EO105" s="24"/>
      <c r="EP105" s="24"/>
      <c r="EQ105" s="24"/>
      <c r="ER105" s="24"/>
      <c r="ES105" s="24"/>
      <c r="ET105" s="24"/>
      <c r="EU105" s="24"/>
      <c r="EV105" s="24"/>
      <c r="EW105" s="24"/>
      <c r="EX105" s="24"/>
      <c r="EY105" s="24"/>
      <c r="EZ105" s="24"/>
      <c r="FA105" s="24"/>
    </row>
    <row r="106" spans="1:157" s="24" customFormat="1" ht="14.5" hidden="1">
      <c r="A106" s="24" t="s">
        <v>1000</v>
      </c>
      <c r="B106" s="56" t="s">
        <v>982</v>
      </c>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84"/>
      <c r="AB106" s="24"/>
      <c r="AC106" s="24"/>
      <c r="AD106" s="24">
        <f>ROW()</f>
        <v>106</v>
      </c>
      <c r="AE106" s="24"/>
      <c r="AF106" s="24"/>
      <c r="AG106" s="24"/>
      <c r="AH106" s="24"/>
      <c r="AI106" s="24"/>
      <c r="AJ106" s="24"/>
      <c r="AK106" s="24"/>
      <c r="AL106" s="24"/>
      <c r="AM106" s="24"/>
      <c r="AN106" s="24"/>
      <c r="AO106" s="24"/>
      <c r="AP106" s="24"/>
      <c r="AQ106" s="24"/>
      <c r="AR106" s="24"/>
      <c r="AS106" s="24"/>
      <c r="AT106" s="24"/>
      <c r="AU106" s="24"/>
      <c r="AV106" s="24"/>
      <c r="AW106" s="24"/>
      <c r="AX106" s="24"/>
      <c r="AY106" s="24"/>
      <c r="AZ106" s="24"/>
      <c r="BA106" s="24"/>
      <c r="BB106" s="24"/>
      <c r="BC106" s="24"/>
      <c r="BD106" s="24"/>
      <c r="BE106" s="24"/>
      <c r="BF106" s="24"/>
      <c r="BG106" s="24"/>
      <c r="BH106" s="24"/>
      <c r="BI106" s="24"/>
      <c r="BJ106" s="24"/>
      <c r="BK106" s="24"/>
      <c r="BL106" s="24"/>
      <c r="BM106" s="24"/>
      <c r="BN106" s="24"/>
      <c r="BO106" s="24"/>
      <c r="BP106" s="24"/>
      <c r="BQ106" s="24"/>
      <c r="BR106" s="24"/>
      <c r="BS106" s="24"/>
      <c r="BT106" s="24"/>
      <c r="BU106" s="24"/>
      <c r="BV106" s="24"/>
      <c r="BW106" s="24"/>
      <c r="BX106" s="24"/>
      <c r="BY106" s="24"/>
      <c r="BZ106" s="24"/>
      <c r="CA106" s="24"/>
      <c r="CB106" s="24"/>
      <c r="CC106" s="24"/>
      <c r="CD106" s="24"/>
      <c r="CE106" s="24"/>
      <c r="CF106" s="24"/>
      <c r="CG106" s="24"/>
      <c r="CH106" s="24"/>
      <c r="CI106" s="24"/>
      <c r="CJ106" s="24"/>
      <c r="CK106" s="24"/>
      <c r="CL106" s="24"/>
      <c r="CM106" s="24"/>
      <c r="CN106" s="24"/>
      <c r="CO106" s="24"/>
      <c r="CP106" s="24"/>
      <c r="CQ106" s="24"/>
      <c r="CR106" s="24"/>
      <c r="CS106" s="24"/>
      <c r="CT106" s="24"/>
      <c r="CU106" s="24"/>
      <c r="CV106" s="24"/>
      <c r="CW106" s="24"/>
      <c r="CX106" s="24"/>
      <c r="CY106" s="24"/>
      <c r="CZ106" s="24"/>
      <c r="DA106" s="24"/>
      <c r="DB106" s="24"/>
      <c r="DC106" s="24"/>
      <c r="DD106" s="24"/>
      <c r="DE106" s="24"/>
      <c r="DF106" s="24"/>
      <c r="DG106" s="24"/>
      <c r="DH106" s="24"/>
      <c r="DI106" s="24"/>
      <c r="DJ106" s="24"/>
      <c r="DK106" s="24"/>
      <c r="DL106" s="24"/>
      <c r="DM106" s="24"/>
      <c r="DN106" s="24"/>
      <c r="DO106" s="24"/>
      <c r="DP106" s="24"/>
      <c r="DQ106" s="24"/>
      <c r="DR106" s="24"/>
      <c r="DS106" s="24"/>
      <c r="DT106" s="24"/>
      <c r="DU106" s="24"/>
      <c r="DV106" s="24"/>
      <c r="DW106" s="24"/>
      <c r="DX106" s="24"/>
      <c r="DY106" s="24"/>
      <c r="DZ106" s="24"/>
      <c r="EA106" s="24"/>
      <c r="EB106" s="24"/>
      <c r="EC106" s="24"/>
      <c r="ED106" s="24"/>
      <c r="EE106" s="24"/>
      <c r="EF106" s="24"/>
      <c r="EG106" s="24"/>
      <c r="EH106" s="24"/>
      <c r="EI106" s="24"/>
      <c r="EJ106" s="24"/>
      <c r="EK106" s="24"/>
      <c r="EL106" s="24"/>
      <c r="EM106" s="24"/>
      <c r="EN106" s="24"/>
      <c r="EO106" s="24"/>
      <c r="EP106" s="24"/>
      <c r="EQ106" s="24"/>
      <c r="ER106" s="24"/>
      <c r="ES106" s="24"/>
      <c r="ET106" s="24"/>
      <c r="EU106" s="24"/>
      <c r="EV106" s="24"/>
      <c r="EW106" s="24"/>
      <c r="EX106" s="24"/>
      <c r="EY106" s="24"/>
      <c r="EZ106" s="24"/>
      <c r="FA106" s="24"/>
    </row>
    <row r="107" spans="1:157" s="24" customFormat="1" ht="14.5" hidden="1">
      <c r="A107" s="24" t="s">
        <v>1000</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f>ROW()</f>
        <v>107</v>
      </c>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c r="BM107" s="24"/>
      <c r="BN107" s="24"/>
      <c r="BO107" s="24"/>
      <c r="BP107" s="24"/>
      <c r="BQ107" s="24"/>
      <c r="BR107" s="24"/>
      <c r="BS107" s="24"/>
      <c r="BT107" s="24"/>
      <c r="BU107" s="24"/>
      <c r="BV107" s="24"/>
      <c r="BW107" s="24"/>
      <c r="BX107" s="24"/>
      <c r="BY107" s="24"/>
      <c r="BZ107" s="24"/>
      <c r="CA107" s="24"/>
      <c r="CB107" s="24"/>
      <c r="CC107" s="24"/>
      <c r="CD107" s="24"/>
      <c r="CE107" s="24"/>
      <c r="CF107" s="24"/>
      <c r="CG107" s="24"/>
      <c r="CH107" s="24"/>
      <c r="CI107" s="24"/>
      <c r="CJ107" s="24"/>
      <c r="CK107" s="24"/>
      <c r="CL107" s="24"/>
      <c r="CM107" s="24"/>
      <c r="CN107" s="24"/>
      <c r="CO107" s="24"/>
      <c r="CP107" s="24"/>
      <c r="CQ107" s="24"/>
      <c r="CR107" s="24"/>
      <c r="CS107" s="24"/>
      <c r="CT107" s="24"/>
      <c r="CU107" s="24"/>
      <c r="CV107" s="24"/>
      <c r="CW107" s="24"/>
      <c r="CX107" s="24"/>
      <c r="CY107" s="24"/>
      <c r="CZ107" s="24"/>
      <c r="DA107" s="24"/>
      <c r="DB107" s="24"/>
      <c r="DC107" s="24"/>
      <c r="DD107" s="24"/>
      <c r="DE107" s="24"/>
      <c r="DF107" s="24"/>
      <c r="DG107" s="24"/>
      <c r="DH107" s="24"/>
      <c r="DI107" s="24"/>
      <c r="DJ107" s="24"/>
      <c r="DK107" s="24"/>
      <c r="DL107" s="24"/>
      <c r="DM107" s="24"/>
      <c r="DN107" s="24"/>
      <c r="DO107" s="24"/>
      <c r="DP107" s="24"/>
      <c r="DQ107" s="24"/>
      <c r="DR107" s="24"/>
      <c r="DS107" s="24"/>
      <c r="DT107" s="24"/>
      <c r="DU107" s="24"/>
      <c r="DV107" s="24"/>
      <c r="DW107" s="24"/>
      <c r="DX107" s="24"/>
      <c r="DY107" s="24"/>
      <c r="DZ107" s="24"/>
      <c r="EA107" s="24"/>
      <c r="EB107" s="24"/>
      <c r="EC107" s="24"/>
      <c r="ED107" s="24"/>
      <c r="EE107" s="24"/>
      <c r="EF107" s="24"/>
      <c r="EG107" s="24"/>
      <c r="EH107" s="24"/>
      <c r="EI107" s="24"/>
      <c r="EJ107" s="24"/>
      <c r="EK107" s="24"/>
      <c r="EL107" s="24"/>
      <c r="EM107" s="24"/>
      <c r="EN107" s="24"/>
      <c r="EO107" s="24"/>
      <c r="EP107" s="24"/>
      <c r="EQ107" s="24"/>
      <c r="ER107" s="24"/>
      <c r="ES107" s="24"/>
      <c r="ET107" s="24"/>
      <c r="EU107" s="24"/>
      <c r="EV107" s="24"/>
      <c r="EW107" s="24"/>
      <c r="EX107" s="24"/>
      <c r="EY107" s="24"/>
      <c r="EZ107" s="24"/>
      <c r="FA107" s="24"/>
    </row>
    <row r="108" spans="1:157" s="24" customFormat="1" ht="14.5" hidden="1">
      <c r="A108" s="24" t="s">
        <v>1000</v>
      </c>
      <c r="B108" s="56" t="s">
        <v>1128</v>
      </c>
      <c r="C108" s="24"/>
      <c r="D108" s="24"/>
      <c r="E108" s="24"/>
      <c r="F108" s="24"/>
      <c r="G108" s="24"/>
      <c r="H108" s="24"/>
      <c r="I108" s="24"/>
      <c r="J108" s="24"/>
      <c r="K108" s="24"/>
      <c r="L108" s="24"/>
      <c r="M108" s="279"/>
      <c r="N108" s="281"/>
      <c r="O108" s="24"/>
      <c r="P108" s="24"/>
      <c r="Q108" s="24"/>
      <c r="R108" s="24"/>
      <c r="S108" s="24"/>
      <c r="T108" s="24"/>
      <c r="U108" s="24"/>
      <c r="V108" s="24"/>
      <c r="W108" s="24"/>
      <c r="X108" s="24"/>
      <c r="Y108" s="24"/>
      <c r="Z108" s="24"/>
      <c r="AA108" s="24"/>
      <c r="AB108" s="24"/>
      <c r="AC108" s="24"/>
      <c r="AD108" s="24">
        <f>ROW()</f>
        <v>108</v>
      </c>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c r="BM108" s="24"/>
      <c r="BN108" s="24"/>
      <c r="BO108" s="24"/>
      <c r="BP108" s="24"/>
      <c r="BQ108" s="24"/>
      <c r="BR108" s="24"/>
      <c r="BS108" s="24"/>
      <c r="BT108" s="24"/>
      <c r="BU108" s="24"/>
      <c r="BV108" s="24"/>
      <c r="BW108" s="24"/>
      <c r="BX108" s="24"/>
      <c r="BY108" s="24"/>
      <c r="BZ108" s="24"/>
      <c r="CA108" s="24"/>
      <c r="CB108" s="24"/>
      <c r="CC108" s="24"/>
      <c r="CD108" s="24"/>
      <c r="CE108" s="24"/>
      <c r="CF108" s="24"/>
      <c r="CG108" s="24"/>
      <c r="CH108" s="24"/>
      <c r="CI108" s="24"/>
      <c r="CJ108" s="24"/>
      <c r="CK108" s="24"/>
      <c r="CL108" s="24"/>
      <c r="CM108" s="24"/>
      <c r="CN108" s="24"/>
      <c r="CO108" s="24"/>
      <c r="CP108" s="24"/>
      <c r="CQ108" s="24"/>
      <c r="CR108" s="24"/>
      <c r="CS108" s="24"/>
      <c r="CT108" s="24"/>
      <c r="CU108" s="24"/>
      <c r="CV108" s="24"/>
      <c r="CW108" s="24"/>
      <c r="CX108" s="24"/>
      <c r="CY108" s="24"/>
      <c r="CZ108" s="24"/>
      <c r="DA108" s="24"/>
      <c r="DB108" s="24"/>
      <c r="DC108" s="24"/>
      <c r="DD108" s="24"/>
      <c r="DE108" s="24"/>
      <c r="DF108" s="24"/>
      <c r="DG108" s="24"/>
      <c r="DH108" s="24"/>
      <c r="DI108" s="24"/>
      <c r="DJ108" s="24"/>
      <c r="DK108" s="24"/>
      <c r="DL108" s="24"/>
      <c r="DM108" s="24"/>
      <c r="DN108" s="24"/>
      <c r="DO108" s="24"/>
      <c r="DP108" s="24"/>
      <c r="DQ108" s="24"/>
      <c r="DR108" s="24"/>
      <c r="DS108" s="24"/>
      <c r="DT108" s="24"/>
      <c r="DU108" s="24"/>
      <c r="DV108" s="24"/>
      <c r="DW108" s="24"/>
      <c r="DX108" s="24"/>
      <c r="DY108" s="24"/>
      <c r="DZ108" s="24"/>
      <c r="EA108" s="24"/>
      <c r="EB108" s="24"/>
      <c r="EC108" s="24"/>
      <c r="ED108" s="24"/>
      <c r="EE108" s="24"/>
      <c r="EF108" s="24"/>
      <c r="EG108" s="24"/>
      <c r="EH108" s="24"/>
      <c r="EI108" s="24"/>
      <c r="EJ108" s="24"/>
      <c r="EK108" s="24"/>
      <c r="EL108" s="24"/>
      <c r="EM108" s="24"/>
      <c r="EN108" s="24"/>
      <c r="EO108" s="24"/>
      <c r="EP108" s="24"/>
      <c r="EQ108" s="24"/>
      <c r="ER108" s="24"/>
      <c r="ES108" s="24"/>
      <c r="ET108" s="24"/>
      <c r="EU108" s="24"/>
      <c r="EV108" s="24"/>
      <c r="EW108" s="24"/>
      <c r="EX108" s="24"/>
      <c r="EY108" s="24"/>
      <c r="EZ108" s="24"/>
      <c r="FA108" s="24"/>
    </row>
    <row r="109" spans="1:157" s="24" customFormat="1" ht="14.5" hidden="1">
      <c r="A109" s="24" t="s">
        <v>1000</v>
      </c>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f>ROW()</f>
        <v>109</v>
      </c>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c r="BM109" s="24"/>
      <c r="BN109" s="24"/>
      <c r="BO109" s="24"/>
      <c r="BP109" s="24"/>
      <c r="BQ109" s="24"/>
      <c r="BR109" s="24"/>
      <c r="BS109" s="24"/>
      <c r="BT109" s="24"/>
      <c r="BU109" s="24"/>
      <c r="BV109" s="24"/>
      <c r="BW109" s="24"/>
      <c r="BX109" s="24"/>
      <c r="BY109" s="24"/>
      <c r="BZ109" s="24"/>
      <c r="CA109" s="24"/>
      <c r="CB109" s="24"/>
      <c r="CC109" s="24"/>
      <c r="CD109" s="24"/>
      <c r="CE109" s="24"/>
      <c r="CF109" s="24"/>
      <c r="CG109" s="24"/>
      <c r="CH109" s="24"/>
      <c r="CI109" s="24"/>
      <c r="CJ109" s="24"/>
      <c r="CK109" s="24"/>
      <c r="CL109" s="24"/>
      <c r="CM109" s="24"/>
      <c r="CN109" s="24"/>
      <c r="CO109" s="24"/>
      <c r="CP109" s="24"/>
      <c r="CQ109" s="24"/>
      <c r="CR109" s="24"/>
      <c r="CS109" s="24"/>
      <c r="CT109" s="24"/>
      <c r="CU109" s="24"/>
      <c r="CV109" s="24"/>
      <c r="CW109" s="24"/>
      <c r="CX109" s="24"/>
      <c r="CY109" s="24"/>
      <c r="CZ109" s="24"/>
      <c r="DA109" s="24"/>
      <c r="DB109" s="24"/>
      <c r="DC109" s="24"/>
      <c r="DD109" s="24"/>
      <c r="DE109" s="24"/>
      <c r="DF109" s="24"/>
      <c r="DG109" s="24"/>
      <c r="DH109" s="24"/>
      <c r="DI109" s="24"/>
      <c r="DJ109" s="24"/>
      <c r="DK109" s="24"/>
      <c r="DL109" s="24"/>
      <c r="DM109" s="24"/>
      <c r="DN109" s="24"/>
      <c r="DO109" s="24"/>
      <c r="DP109" s="24"/>
      <c r="DQ109" s="24"/>
      <c r="DR109" s="24"/>
      <c r="DS109" s="24"/>
      <c r="DT109" s="24"/>
      <c r="DU109" s="24"/>
      <c r="DV109" s="24"/>
      <c r="DW109" s="24"/>
      <c r="DX109" s="24"/>
      <c r="DY109" s="24"/>
      <c r="DZ109" s="24"/>
      <c r="EA109" s="24"/>
      <c r="EB109" s="24"/>
      <c r="EC109" s="24"/>
      <c r="ED109" s="24"/>
      <c r="EE109" s="24"/>
      <c r="EF109" s="24"/>
      <c r="EG109" s="24"/>
      <c r="EH109" s="24"/>
      <c r="EI109" s="24"/>
      <c r="EJ109" s="24"/>
      <c r="EK109" s="24"/>
      <c r="EL109" s="24"/>
      <c r="EM109" s="24"/>
      <c r="EN109" s="24"/>
      <c r="EO109" s="24"/>
      <c r="EP109" s="24"/>
      <c r="EQ109" s="24"/>
      <c r="ER109" s="24"/>
      <c r="ES109" s="24"/>
      <c r="ET109" s="24"/>
      <c r="EU109" s="24"/>
      <c r="EV109" s="24"/>
      <c r="EW109" s="24"/>
      <c r="EX109" s="24"/>
      <c r="EY109" s="24"/>
      <c r="EZ109" s="24"/>
      <c r="FA109" s="24"/>
    </row>
    <row r="110" spans="1:157" s="24" customFormat="1" ht="14.5" hidden="1">
      <c r="A110" s="24" t="s">
        <v>1000</v>
      </c>
      <c r="B110" s="56" t="s">
        <v>1129</v>
      </c>
      <c r="C110" s="24"/>
      <c r="D110" s="24"/>
      <c r="E110" s="24"/>
      <c r="F110" s="24"/>
      <c r="G110" s="24"/>
      <c r="H110" s="24"/>
      <c r="I110" s="24"/>
      <c r="J110" s="24"/>
      <c r="K110" s="24"/>
      <c r="L110" s="24"/>
      <c r="M110" s="279"/>
      <c r="N110" s="281"/>
      <c r="O110" s="24"/>
      <c r="P110" s="24"/>
      <c r="Q110" s="24"/>
      <c r="R110" s="24"/>
      <c r="S110" s="24"/>
      <c r="T110" s="24"/>
      <c r="U110" s="24"/>
      <c r="V110" s="24"/>
      <c r="W110" s="24"/>
      <c r="X110" s="24"/>
      <c r="Y110" s="24"/>
      <c r="Z110" s="24"/>
      <c r="AA110" s="24"/>
      <c r="AB110" s="24"/>
      <c r="AC110" s="24"/>
      <c r="AD110" s="24">
        <f>ROW()</f>
        <v>110</v>
      </c>
      <c r="AE110" s="24"/>
      <c r="AF110" s="24"/>
      <c r="AG110" s="24"/>
      <c r="AH110" s="24"/>
      <c r="AI110" s="24"/>
      <c r="AJ110" s="24"/>
      <c r="AK110" s="24"/>
      <c r="AL110" s="24"/>
      <c r="AM110" s="24"/>
      <c r="AN110" s="24"/>
      <c r="AO110" s="24"/>
      <c r="AP110" s="24"/>
      <c r="AQ110" s="24"/>
      <c r="AR110" s="24"/>
      <c r="AS110" s="24"/>
      <c r="AT110" s="24"/>
      <c r="AU110" s="24"/>
      <c r="AV110" s="24"/>
      <c r="AW110" s="24"/>
      <c r="AX110" s="24"/>
      <c r="AY110" s="24"/>
      <c r="AZ110" s="24"/>
      <c r="BA110" s="24"/>
      <c r="BB110" s="24"/>
      <c r="BC110" s="24"/>
      <c r="BD110" s="24"/>
      <c r="BE110" s="24"/>
      <c r="BF110" s="24"/>
      <c r="BG110" s="24"/>
      <c r="BH110" s="24"/>
      <c r="BI110" s="24"/>
      <c r="BJ110" s="24"/>
      <c r="BK110" s="24"/>
      <c r="BL110" s="24"/>
      <c r="BM110" s="24"/>
      <c r="BN110" s="24"/>
      <c r="BO110" s="24"/>
      <c r="BP110" s="24"/>
      <c r="BQ110" s="24"/>
      <c r="BR110" s="24"/>
      <c r="BS110" s="24"/>
      <c r="BT110" s="24"/>
      <c r="BU110" s="24"/>
      <c r="BV110" s="24"/>
      <c r="BW110" s="24"/>
      <c r="BX110" s="24"/>
      <c r="BY110" s="24"/>
      <c r="BZ110" s="24"/>
      <c r="CA110" s="24"/>
      <c r="CB110" s="24"/>
      <c r="CC110" s="24"/>
      <c r="CD110" s="24"/>
      <c r="CE110" s="24"/>
      <c r="CF110" s="24"/>
      <c r="CG110" s="24"/>
      <c r="CH110" s="24"/>
      <c r="CI110" s="24"/>
      <c r="CJ110" s="24"/>
      <c r="CK110" s="24"/>
      <c r="CL110" s="24"/>
      <c r="CM110" s="24"/>
      <c r="CN110" s="24"/>
      <c r="CO110" s="24"/>
      <c r="CP110" s="24"/>
      <c r="CQ110" s="24"/>
      <c r="CR110" s="24"/>
      <c r="CS110" s="24"/>
      <c r="CT110" s="24"/>
      <c r="CU110" s="24"/>
      <c r="CV110" s="24"/>
      <c r="CW110" s="24"/>
      <c r="CX110" s="24"/>
      <c r="CY110" s="24"/>
      <c r="CZ110" s="24"/>
      <c r="DA110" s="24"/>
      <c r="DB110" s="24"/>
      <c r="DC110" s="24"/>
      <c r="DD110" s="24"/>
      <c r="DE110" s="24"/>
      <c r="DF110" s="24"/>
      <c r="DG110" s="24"/>
      <c r="DH110" s="24"/>
      <c r="DI110" s="24"/>
      <c r="DJ110" s="24"/>
      <c r="DK110" s="24"/>
      <c r="DL110" s="24"/>
      <c r="DM110" s="24"/>
      <c r="DN110" s="24"/>
      <c r="DO110" s="24"/>
      <c r="DP110" s="24"/>
      <c r="DQ110" s="24"/>
      <c r="DR110" s="24"/>
      <c r="DS110" s="24"/>
      <c r="DT110" s="24"/>
      <c r="DU110" s="24"/>
      <c r="DV110" s="24"/>
      <c r="DW110" s="24"/>
      <c r="DX110" s="24"/>
      <c r="DY110" s="24"/>
      <c r="DZ110" s="24"/>
      <c r="EA110" s="24"/>
      <c r="EB110" s="24"/>
      <c r="EC110" s="24"/>
      <c r="ED110" s="24"/>
      <c r="EE110" s="24"/>
      <c r="EF110" s="24"/>
      <c r="EG110" s="24"/>
      <c r="EH110" s="24"/>
      <c r="EI110" s="24"/>
      <c r="EJ110" s="24"/>
      <c r="EK110" s="24"/>
      <c r="EL110" s="24"/>
      <c r="EM110" s="24"/>
      <c r="EN110" s="24"/>
      <c r="EO110" s="24"/>
      <c r="EP110" s="24"/>
      <c r="EQ110" s="24"/>
      <c r="ER110" s="24"/>
      <c r="ES110" s="24"/>
      <c r="ET110" s="24"/>
      <c r="EU110" s="24"/>
      <c r="EV110" s="24"/>
      <c r="EW110" s="24"/>
      <c r="EX110" s="24"/>
      <c r="EY110" s="24"/>
      <c r="EZ110" s="24"/>
      <c r="FA110" s="24"/>
    </row>
    <row r="111" spans="1:157" s="24" customFormat="1" ht="14.5" hidden="1">
      <c r="A111" s="24" t="s">
        <v>1000</v>
      </c>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f>ROW()</f>
        <v>111</v>
      </c>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c r="BM111" s="24"/>
      <c r="BN111" s="24"/>
      <c r="BO111" s="24"/>
      <c r="BP111" s="24"/>
      <c r="BQ111" s="24"/>
      <c r="BR111" s="24"/>
      <c r="BS111" s="24"/>
      <c r="BT111" s="24"/>
      <c r="BU111" s="24"/>
      <c r="BV111" s="24"/>
      <c r="BW111" s="24"/>
      <c r="BX111" s="24"/>
      <c r="BY111" s="24"/>
      <c r="BZ111" s="24"/>
      <c r="CA111" s="24"/>
      <c r="CB111" s="24"/>
      <c r="CC111" s="24"/>
      <c r="CD111" s="24"/>
      <c r="CE111" s="24"/>
      <c r="CF111" s="24"/>
      <c r="CG111" s="24"/>
      <c r="CH111" s="24"/>
      <c r="CI111" s="24"/>
      <c r="CJ111" s="24"/>
      <c r="CK111" s="24"/>
      <c r="CL111" s="24"/>
      <c r="CM111" s="24"/>
      <c r="CN111" s="24"/>
      <c r="CO111" s="24"/>
      <c r="CP111" s="24"/>
      <c r="CQ111" s="24"/>
      <c r="CR111" s="24"/>
      <c r="CS111" s="24"/>
      <c r="CT111" s="24"/>
      <c r="CU111" s="24"/>
      <c r="CV111" s="24"/>
      <c r="CW111" s="24"/>
      <c r="CX111" s="24"/>
      <c r="CY111" s="24"/>
      <c r="CZ111" s="24"/>
      <c r="DA111" s="24"/>
      <c r="DB111" s="24"/>
      <c r="DC111" s="24"/>
      <c r="DD111" s="24"/>
      <c r="DE111" s="24"/>
      <c r="DF111" s="24"/>
      <c r="DG111" s="24"/>
      <c r="DH111" s="24"/>
      <c r="DI111" s="24"/>
      <c r="DJ111" s="24"/>
      <c r="DK111" s="24"/>
      <c r="DL111" s="24"/>
      <c r="DM111" s="24"/>
      <c r="DN111" s="24"/>
      <c r="DO111" s="24"/>
      <c r="DP111" s="24"/>
      <c r="DQ111" s="24"/>
      <c r="DR111" s="24"/>
      <c r="DS111" s="24"/>
      <c r="DT111" s="24"/>
      <c r="DU111" s="24"/>
      <c r="DV111" s="24"/>
      <c r="DW111" s="24"/>
      <c r="DX111" s="24"/>
      <c r="DY111" s="24"/>
      <c r="DZ111" s="24"/>
      <c r="EA111" s="24"/>
      <c r="EB111" s="24"/>
      <c r="EC111" s="24"/>
      <c r="ED111" s="24"/>
      <c r="EE111" s="24"/>
      <c r="EF111" s="24"/>
      <c r="EG111" s="24"/>
      <c r="EH111" s="24"/>
      <c r="EI111" s="24"/>
      <c r="EJ111" s="24"/>
      <c r="EK111" s="24"/>
      <c r="EL111" s="24"/>
      <c r="EM111" s="24"/>
      <c r="EN111" s="24"/>
      <c r="EO111" s="24"/>
      <c r="EP111" s="24"/>
      <c r="EQ111" s="24"/>
      <c r="ER111" s="24"/>
      <c r="ES111" s="24"/>
      <c r="ET111" s="24"/>
      <c r="EU111" s="24"/>
      <c r="EV111" s="24"/>
      <c r="EW111" s="24"/>
      <c r="EX111" s="24"/>
      <c r="EY111" s="24"/>
      <c r="EZ111" s="24"/>
      <c r="FA111" s="24"/>
    </row>
    <row r="112" spans="1:157" s="24" customFormat="1" ht="14.5" hidden="1">
      <c r="A112" s="24" t="s">
        <v>1000</v>
      </c>
      <c r="B112" s="56" t="s">
        <v>1130</v>
      </c>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f>ROW()</f>
        <v>112</v>
      </c>
      <c r="AE112" s="24"/>
      <c r="AF112" s="24"/>
      <c r="AG112" s="24"/>
      <c r="AH112" s="24"/>
      <c r="AI112" s="24"/>
      <c r="AJ112" s="24"/>
      <c r="AK112" s="24"/>
      <c r="AL112" s="24"/>
      <c r="AM112" s="24"/>
      <c r="AN112" s="24"/>
      <c r="AO112" s="24"/>
      <c r="AP112" s="24"/>
      <c r="AQ112" s="24"/>
      <c r="AR112" s="24"/>
      <c r="AS112" s="24"/>
      <c r="AT112" s="24"/>
      <c r="AU112" s="24"/>
      <c r="AV112" s="24"/>
      <c r="AW112" s="24"/>
      <c r="AX112" s="24"/>
      <c r="AY112" s="24"/>
      <c r="AZ112" s="24"/>
      <c r="BA112" s="24"/>
      <c r="BB112" s="24"/>
      <c r="BC112" s="24"/>
      <c r="BD112" s="24"/>
      <c r="BE112" s="24"/>
      <c r="BF112" s="24"/>
      <c r="BG112" s="24"/>
      <c r="BH112" s="24"/>
      <c r="BI112" s="24"/>
      <c r="BJ112" s="24"/>
      <c r="BK112" s="24"/>
      <c r="BL112" s="24"/>
      <c r="BM112" s="24"/>
      <c r="BN112" s="24"/>
      <c r="BO112" s="24"/>
      <c r="BP112" s="24"/>
      <c r="BQ112" s="24"/>
      <c r="BR112" s="24"/>
      <c r="BS112" s="24"/>
      <c r="BT112" s="24"/>
      <c r="BU112" s="24"/>
      <c r="BV112" s="24"/>
      <c r="BW112" s="24"/>
      <c r="BX112" s="24"/>
      <c r="BY112" s="24"/>
      <c r="BZ112" s="24"/>
      <c r="CA112" s="24"/>
      <c r="CB112" s="24"/>
      <c r="CC112" s="24"/>
      <c r="CD112" s="24"/>
      <c r="CE112" s="24"/>
      <c r="CF112" s="24"/>
      <c r="CG112" s="24"/>
      <c r="CH112" s="24"/>
      <c r="CI112" s="24"/>
      <c r="CJ112" s="24"/>
      <c r="CK112" s="24"/>
      <c r="CL112" s="24"/>
      <c r="CM112" s="24"/>
      <c r="CN112" s="24"/>
      <c r="CO112" s="24"/>
      <c r="CP112" s="24"/>
      <c r="CQ112" s="24"/>
      <c r="CR112" s="24"/>
      <c r="CS112" s="24"/>
      <c r="CT112" s="24"/>
      <c r="CU112" s="24"/>
      <c r="CV112" s="24"/>
      <c r="CW112" s="24"/>
      <c r="CX112" s="24"/>
      <c r="CY112" s="24"/>
      <c r="CZ112" s="24"/>
      <c r="DA112" s="24"/>
      <c r="DB112" s="24"/>
      <c r="DC112" s="24"/>
      <c r="DD112" s="24"/>
      <c r="DE112" s="24"/>
      <c r="DF112" s="24"/>
      <c r="DG112" s="24"/>
      <c r="DH112" s="24"/>
      <c r="DI112" s="24"/>
      <c r="DJ112" s="24"/>
      <c r="DK112" s="24"/>
      <c r="DL112" s="24"/>
      <c r="DM112" s="24"/>
      <c r="DN112" s="24"/>
      <c r="DO112" s="24"/>
      <c r="DP112" s="24"/>
      <c r="DQ112" s="24"/>
      <c r="DR112" s="24"/>
      <c r="DS112" s="24"/>
      <c r="DT112" s="24"/>
      <c r="DU112" s="24"/>
      <c r="DV112" s="24"/>
      <c r="DW112" s="24"/>
      <c r="DX112" s="24"/>
      <c r="DY112" s="24"/>
      <c r="DZ112" s="24"/>
      <c r="EA112" s="24"/>
      <c r="EB112" s="24"/>
      <c r="EC112" s="24"/>
      <c r="ED112" s="24"/>
      <c r="EE112" s="24"/>
      <c r="EF112" s="24"/>
      <c r="EG112" s="24"/>
      <c r="EH112" s="24"/>
      <c r="EI112" s="24"/>
      <c r="EJ112" s="24"/>
      <c r="EK112" s="24"/>
      <c r="EL112" s="24"/>
      <c r="EM112" s="24"/>
      <c r="EN112" s="24"/>
      <c r="EO112" s="24"/>
      <c r="EP112" s="24"/>
      <c r="EQ112" s="24"/>
      <c r="ER112" s="24"/>
      <c r="ES112" s="24"/>
      <c r="ET112" s="24"/>
      <c r="EU112" s="24"/>
      <c r="EV112" s="24"/>
      <c r="EW112" s="24"/>
      <c r="EX112" s="24"/>
      <c r="EY112" s="24"/>
      <c r="EZ112" s="24"/>
      <c r="FA112" s="24"/>
    </row>
    <row r="113" spans="1:157" s="24" customFormat="1" ht="11.15" customHeight="1" hidden="1">
      <c r="A113" s="24" t="s">
        <v>1000</v>
      </c>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f>ROW()</f>
        <v>113</v>
      </c>
      <c r="AE113" s="24"/>
      <c r="AF113" s="24"/>
      <c r="AG113" s="24"/>
      <c r="AH113" s="24"/>
      <c r="AI113" s="24"/>
      <c r="AJ113" s="24"/>
      <c r="AK113" s="24"/>
      <c r="AL113" s="24"/>
      <c r="AM113" s="24"/>
      <c r="AN113" s="24"/>
      <c r="AO113" s="24"/>
      <c r="AP113" s="24"/>
      <c r="AQ113" s="24"/>
      <c r="AR113" s="24"/>
      <c r="AS113" s="24"/>
      <c r="AT113" s="24"/>
      <c r="AU113" s="24"/>
      <c r="AV113" s="24"/>
      <c r="AW113" s="24"/>
      <c r="AX113" s="24"/>
      <c r="AY113" s="24"/>
      <c r="AZ113" s="24"/>
      <c r="BA113" s="24"/>
      <c r="BB113" s="24"/>
      <c r="BC113" s="24"/>
      <c r="BD113" s="24"/>
      <c r="BE113" s="24"/>
      <c r="BF113" s="24"/>
      <c r="BG113" s="24"/>
      <c r="BH113" s="24"/>
      <c r="BI113" s="24"/>
      <c r="BJ113" s="24"/>
      <c r="BK113" s="24"/>
      <c r="BL113" s="24"/>
      <c r="BM113" s="24"/>
      <c r="BN113" s="24"/>
      <c r="BO113" s="24"/>
      <c r="BP113" s="24"/>
      <c r="BQ113" s="24"/>
      <c r="BR113" s="24"/>
      <c r="BS113" s="24"/>
      <c r="BT113" s="24"/>
      <c r="BU113" s="24"/>
      <c r="BV113" s="24"/>
      <c r="BW113" s="24"/>
      <c r="BX113" s="24"/>
      <c r="BY113" s="24"/>
      <c r="BZ113" s="24"/>
      <c r="CA113" s="24"/>
      <c r="CB113" s="24"/>
      <c r="CC113" s="24"/>
      <c r="CD113" s="24"/>
      <c r="CE113" s="24"/>
      <c r="CF113" s="24"/>
      <c r="CG113" s="24"/>
      <c r="CH113" s="24"/>
      <c r="CI113" s="24"/>
      <c r="CJ113" s="24"/>
      <c r="CK113" s="24"/>
      <c r="CL113" s="24"/>
      <c r="CM113" s="24"/>
      <c r="CN113" s="24"/>
      <c r="CO113" s="24"/>
      <c r="CP113" s="24"/>
      <c r="CQ113" s="24"/>
      <c r="CR113" s="24"/>
      <c r="CS113" s="24"/>
      <c r="CT113" s="24"/>
      <c r="CU113" s="24"/>
      <c r="CV113" s="24"/>
      <c r="CW113" s="24"/>
      <c r="CX113" s="24"/>
      <c r="CY113" s="24"/>
      <c r="CZ113" s="24"/>
      <c r="DA113" s="24"/>
      <c r="DB113" s="24"/>
      <c r="DC113" s="24"/>
      <c r="DD113" s="24"/>
      <c r="DE113" s="24"/>
      <c r="DF113" s="24"/>
      <c r="DG113" s="24"/>
      <c r="DH113" s="24"/>
      <c r="DI113" s="24"/>
      <c r="DJ113" s="24"/>
      <c r="DK113" s="24"/>
      <c r="DL113" s="24"/>
      <c r="DM113" s="24"/>
      <c r="DN113" s="24"/>
      <c r="DO113" s="24"/>
      <c r="DP113" s="24"/>
      <c r="DQ113" s="24"/>
      <c r="DR113" s="24"/>
      <c r="DS113" s="24"/>
      <c r="DT113" s="24"/>
      <c r="DU113" s="24"/>
      <c r="DV113" s="24"/>
      <c r="DW113" s="24"/>
      <c r="DX113" s="24"/>
      <c r="DY113" s="24"/>
      <c r="DZ113" s="24"/>
      <c r="EA113" s="24"/>
      <c r="EB113" s="24"/>
      <c r="EC113" s="24"/>
      <c r="ED113" s="24"/>
      <c r="EE113" s="24"/>
      <c r="EF113" s="24"/>
      <c r="EG113" s="24"/>
      <c r="EH113" s="24"/>
      <c r="EI113" s="24"/>
      <c r="EJ113" s="24"/>
      <c r="EK113" s="24"/>
      <c r="EL113" s="24"/>
      <c r="EM113" s="24"/>
      <c r="EN113" s="24"/>
      <c r="EO113" s="24"/>
      <c r="EP113" s="24"/>
      <c r="EQ113" s="24"/>
      <c r="ER113" s="24"/>
      <c r="ES113" s="24"/>
      <c r="ET113" s="24"/>
      <c r="EU113" s="24"/>
      <c r="EV113" s="24"/>
      <c r="EW113" s="24"/>
      <c r="EX113" s="24"/>
      <c r="EY113" s="24"/>
      <c r="EZ113" s="24"/>
      <c r="FA113" s="24"/>
    </row>
    <row r="114" spans="1:157" s="24" customFormat="1" ht="26.5" customHeight="1" hidden="1">
      <c r="A114" s="24" t="s">
        <v>1000</v>
      </c>
      <c r="B114" s="184" t="s">
        <v>1131</v>
      </c>
      <c r="C114" s="184"/>
      <c r="D114" s="184"/>
      <c r="E114" s="185" t="s">
        <v>1132</v>
      </c>
      <c r="F114" s="185"/>
      <c r="G114" s="185"/>
      <c r="H114" s="185"/>
      <c r="I114" s="184" t="s">
        <v>1133</v>
      </c>
      <c r="J114" s="184"/>
      <c r="K114" s="184"/>
      <c r="L114" s="184"/>
      <c r="M114" s="184"/>
      <c r="N114" s="184"/>
      <c r="O114" s="24"/>
      <c r="P114" s="24"/>
      <c r="Q114" s="24"/>
      <c r="R114" s="24"/>
      <c r="S114" s="24"/>
      <c r="T114" s="24"/>
      <c r="U114" s="24"/>
      <c r="V114" s="24"/>
      <c r="W114" s="24"/>
      <c r="X114" s="24"/>
      <c r="Y114" s="24"/>
      <c r="Z114" s="24"/>
      <c r="AA114" s="24"/>
      <c r="AB114" s="24"/>
      <c r="AC114" s="24"/>
      <c r="AD114" s="24">
        <f>ROW()</f>
        <v>114</v>
      </c>
      <c r="AE114" s="24"/>
      <c r="AF114" s="24"/>
      <c r="AG114" s="24"/>
      <c r="AH114" s="24"/>
      <c r="AI114" s="24"/>
      <c r="AJ114" s="24"/>
      <c r="AK114" s="24"/>
      <c r="AL114" s="24"/>
      <c r="AM114" s="24"/>
      <c r="AN114" s="24"/>
      <c r="AO114" s="24"/>
      <c r="AP114" s="24"/>
      <c r="AQ114" s="24"/>
      <c r="AR114" s="24"/>
      <c r="AS114" s="24"/>
      <c r="AT114" s="24"/>
      <c r="AU114" s="24"/>
      <c r="AV114" s="24"/>
      <c r="AW114" s="24"/>
      <c r="AX114" s="24"/>
      <c r="AY114" s="24"/>
      <c r="AZ114" s="24"/>
      <c r="BA114" s="24"/>
      <c r="BB114" s="24"/>
      <c r="BC114" s="24"/>
      <c r="BD114" s="24"/>
      <c r="BE114" s="24"/>
      <c r="BF114" s="24"/>
      <c r="BG114" s="24"/>
      <c r="BH114" s="24"/>
      <c r="BI114" s="24"/>
      <c r="BJ114" s="24"/>
      <c r="BK114" s="24"/>
      <c r="BL114" s="24"/>
      <c r="BM114" s="24"/>
      <c r="BN114" s="24"/>
      <c r="BO114" s="24"/>
      <c r="BP114" s="24"/>
      <c r="BQ114" s="24"/>
      <c r="BR114" s="24"/>
      <c r="BS114" s="24"/>
      <c r="BT114" s="24"/>
      <c r="BU114" s="24"/>
      <c r="BV114" s="24"/>
      <c r="BW114" s="24"/>
      <c r="BX114" s="24"/>
      <c r="BY114" s="24"/>
      <c r="BZ114" s="24"/>
      <c r="CA114" s="24"/>
      <c r="CB114" s="24"/>
      <c r="CC114" s="24"/>
      <c r="CD114" s="24"/>
      <c r="CE114" s="24"/>
      <c r="CF114" s="24"/>
      <c r="CG114" s="24"/>
      <c r="CH114" s="24"/>
      <c r="CI114" s="24"/>
      <c r="CJ114" s="24"/>
      <c r="CK114" s="24"/>
      <c r="CL114" s="24"/>
      <c r="CM114" s="24"/>
      <c r="CN114" s="24"/>
      <c r="CO114" s="24"/>
      <c r="CP114" s="24"/>
      <c r="CQ114" s="24"/>
      <c r="CR114" s="24"/>
      <c r="CS114" s="24"/>
      <c r="CT114" s="24"/>
      <c r="CU114" s="24"/>
      <c r="CV114" s="24"/>
      <c r="CW114" s="24"/>
      <c r="CX114" s="24"/>
      <c r="CY114" s="24"/>
      <c r="CZ114" s="24"/>
      <c r="DA114" s="24"/>
      <c r="DB114" s="24"/>
      <c r="DC114" s="24"/>
      <c r="DD114" s="24"/>
      <c r="DE114" s="24"/>
      <c r="DF114" s="24"/>
      <c r="DG114" s="24"/>
      <c r="DH114" s="24"/>
      <c r="DI114" s="24"/>
      <c r="DJ114" s="24"/>
      <c r="DK114" s="24"/>
      <c r="DL114" s="24"/>
      <c r="DM114" s="24"/>
      <c r="DN114" s="24"/>
      <c r="DO114" s="24"/>
      <c r="DP114" s="24"/>
      <c r="DQ114" s="24"/>
      <c r="DR114" s="24"/>
      <c r="DS114" s="24"/>
      <c r="DT114" s="24"/>
      <c r="DU114" s="24"/>
      <c r="DV114" s="24"/>
      <c r="DW114" s="24"/>
      <c r="DX114" s="24"/>
      <c r="DY114" s="24"/>
      <c r="DZ114" s="24"/>
      <c r="EA114" s="24"/>
      <c r="EB114" s="24"/>
      <c r="EC114" s="24"/>
      <c r="ED114" s="24"/>
      <c r="EE114" s="24"/>
      <c r="EF114" s="24"/>
      <c r="EG114" s="24"/>
      <c r="EH114" s="24"/>
      <c r="EI114" s="24"/>
      <c r="EJ114" s="24"/>
      <c r="EK114" s="24"/>
      <c r="EL114" s="24"/>
      <c r="EM114" s="24"/>
      <c r="EN114" s="24"/>
      <c r="EO114" s="24"/>
      <c r="EP114" s="24"/>
      <c r="EQ114" s="24"/>
      <c r="ER114" s="24"/>
      <c r="ES114" s="24"/>
      <c r="ET114" s="24"/>
      <c r="EU114" s="24"/>
      <c r="EV114" s="24"/>
      <c r="EW114" s="24"/>
      <c r="EX114" s="24"/>
      <c r="EY114" s="24"/>
      <c r="EZ114" s="24"/>
      <c r="FA114" s="24"/>
    </row>
    <row r="115" spans="1:157" s="24" customFormat="1" ht="16.5" customHeight="1" hidden="1">
      <c r="A115" s="24" t="s">
        <v>1000</v>
      </c>
      <c r="B115" s="296"/>
      <c r="C115" s="297"/>
      <c r="D115" s="281"/>
      <c r="E115" s="296"/>
      <c r="F115" s="297"/>
      <c r="G115" s="297"/>
      <c r="H115" s="281"/>
      <c r="I115" s="292"/>
      <c r="J115" s="298"/>
      <c r="K115" s="298"/>
      <c r="L115" s="298"/>
      <c r="M115" s="298"/>
      <c r="N115" s="293"/>
      <c r="O115" s="24"/>
      <c r="P115" s="24"/>
      <c r="Q115" s="24"/>
      <c r="R115" s="24"/>
      <c r="S115" s="24"/>
      <c r="T115" s="24"/>
      <c r="U115" s="24"/>
      <c r="V115" s="24"/>
      <c r="W115" s="24"/>
      <c r="X115" s="24"/>
      <c r="Y115" s="24"/>
      <c r="Z115" s="24"/>
      <c r="AA115" s="24"/>
      <c r="AB115" s="24"/>
      <c r="AC115" s="24"/>
      <c r="AD115" s="24">
        <f>ROW()</f>
        <v>115</v>
      </c>
      <c r="AE115" s="24"/>
      <c r="AF115" s="24"/>
      <c r="AG115" s="24"/>
      <c r="AH115" s="24"/>
      <c r="AI115" s="24"/>
      <c r="AJ115" s="24"/>
      <c r="AK115" s="24"/>
      <c r="AL115" s="24"/>
      <c r="AM115" s="24"/>
      <c r="AN115" s="24"/>
      <c r="AO115" s="24"/>
      <c r="AP115" s="24"/>
      <c r="AQ115" s="24"/>
      <c r="AR115" s="24"/>
      <c r="AS115" s="24"/>
      <c r="AT115" s="24"/>
      <c r="AU115" s="24"/>
      <c r="AV115" s="24"/>
      <c r="AW115" s="24"/>
      <c r="AX115" s="24"/>
      <c r="AY115" s="24"/>
      <c r="AZ115" s="24"/>
      <c r="BA115" s="24"/>
      <c r="BB115" s="24"/>
      <c r="BC115" s="24"/>
      <c r="BD115" s="24"/>
      <c r="BE115" s="24"/>
      <c r="BF115" s="24"/>
      <c r="BG115" s="24"/>
      <c r="BH115" s="24"/>
      <c r="BI115" s="24"/>
      <c r="BJ115" s="24"/>
      <c r="BK115" s="24"/>
      <c r="BL115" s="24"/>
      <c r="BM115" s="24"/>
      <c r="BN115" s="24"/>
      <c r="BO115" s="24"/>
      <c r="BP115" s="24"/>
      <c r="BQ115" s="24"/>
      <c r="BR115" s="24"/>
      <c r="BS115" s="24"/>
      <c r="BT115" s="24"/>
      <c r="BU115" s="24"/>
      <c r="BV115" s="24"/>
      <c r="BW115" s="24"/>
      <c r="BX115" s="24"/>
      <c r="BY115" s="24"/>
      <c r="BZ115" s="24"/>
      <c r="CA115" s="24"/>
      <c r="CB115" s="24"/>
      <c r="CC115" s="24"/>
      <c r="CD115" s="24"/>
      <c r="CE115" s="24"/>
      <c r="CF115" s="24"/>
      <c r="CG115" s="24"/>
      <c r="CH115" s="24"/>
      <c r="CI115" s="24"/>
      <c r="CJ115" s="24"/>
      <c r="CK115" s="24"/>
      <c r="CL115" s="24"/>
      <c r="CM115" s="24"/>
      <c r="CN115" s="24"/>
      <c r="CO115" s="24"/>
      <c r="CP115" s="24"/>
      <c r="CQ115" s="24"/>
      <c r="CR115" s="24"/>
      <c r="CS115" s="24"/>
      <c r="CT115" s="24"/>
      <c r="CU115" s="24"/>
      <c r="CV115" s="24"/>
      <c r="CW115" s="24"/>
      <c r="CX115" s="24"/>
      <c r="CY115" s="24"/>
      <c r="CZ115" s="24"/>
      <c r="DA115" s="24"/>
      <c r="DB115" s="24"/>
      <c r="DC115" s="24"/>
      <c r="DD115" s="24"/>
      <c r="DE115" s="24"/>
      <c r="DF115" s="24"/>
      <c r="DG115" s="24"/>
      <c r="DH115" s="24"/>
      <c r="DI115" s="24"/>
      <c r="DJ115" s="24"/>
      <c r="DK115" s="24"/>
      <c r="DL115" s="24"/>
      <c r="DM115" s="24"/>
      <c r="DN115" s="24"/>
      <c r="DO115" s="24"/>
      <c r="DP115" s="24"/>
      <c r="DQ115" s="24"/>
      <c r="DR115" s="24"/>
      <c r="DS115" s="24"/>
      <c r="DT115" s="24"/>
      <c r="DU115" s="24"/>
      <c r="DV115" s="24"/>
      <c r="DW115" s="24"/>
      <c r="DX115" s="24"/>
      <c r="DY115" s="24"/>
      <c r="DZ115" s="24"/>
      <c r="EA115" s="24"/>
      <c r="EB115" s="24"/>
      <c r="EC115" s="24"/>
      <c r="ED115" s="24"/>
      <c r="EE115" s="24"/>
      <c r="EF115" s="24"/>
      <c r="EG115" s="24"/>
      <c r="EH115" s="24"/>
      <c r="EI115" s="24"/>
      <c r="EJ115" s="24"/>
      <c r="EK115" s="24"/>
      <c r="EL115" s="24"/>
      <c r="EM115" s="24"/>
      <c r="EN115" s="24"/>
      <c r="EO115" s="24"/>
      <c r="EP115" s="24"/>
      <c r="EQ115" s="24"/>
      <c r="ER115" s="24"/>
      <c r="ES115" s="24"/>
      <c r="ET115" s="24"/>
      <c r="EU115" s="24"/>
      <c r="EV115" s="24"/>
      <c r="EW115" s="24"/>
      <c r="EX115" s="24"/>
      <c r="EY115" s="24"/>
      <c r="EZ115" s="24"/>
      <c r="FA115" s="24"/>
    </row>
    <row r="116" spans="1:157" s="24" customFormat="1" ht="14.5" hidden="1">
      <c r="A116" s="24" t="s">
        <v>1000</v>
      </c>
      <c r="B116" s="296"/>
      <c r="C116" s="297"/>
      <c r="D116" s="281"/>
      <c r="E116" s="296"/>
      <c r="F116" s="297"/>
      <c r="G116" s="297"/>
      <c r="H116" s="281"/>
      <c r="I116" s="292"/>
      <c r="J116" s="298"/>
      <c r="K116" s="298"/>
      <c r="L116" s="298"/>
      <c r="M116" s="298"/>
      <c r="N116" s="293"/>
      <c r="O116" s="24"/>
      <c r="P116" s="24"/>
      <c r="Q116" s="24"/>
      <c r="R116" s="24"/>
      <c r="S116" s="24"/>
      <c r="T116" s="24"/>
      <c r="U116" s="24"/>
      <c r="V116" s="24"/>
      <c r="W116" s="24"/>
      <c r="X116" s="24"/>
      <c r="Y116" s="24"/>
      <c r="Z116" s="24"/>
      <c r="AA116" s="24"/>
      <c r="AB116" s="24"/>
      <c r="AC116" s="24"/>
      <c r="AD116" s="24">
        <f>ROW()</f>
        <v>116</v>
      </c>
      <c r="AE116" s="24"/>
      <c r="AF116" s="24"/>
      <c r="AG116" s="24"/>
      <c r="AH116" s="24"/>
      <c r="AI116" s="24"/>
      <c r="AJ116" s="24"/>
      <c r="AK116" s="24"/>
      <c r="AL116" s="24"/>
      <c r="AM116" s="24"/>
      <c r="AN116" s="24"/>
      <c r="AO116" s="24"/>
      <c r="AP116" s="24"/>
      <c r="AQ116" s="24"/>
      <c r="AR116" s="24"/>
      <c r="AS116" s="24"/>
      <c r="AT116" s="24"/>
      <c r="AU116" s="24"/>
      <c r="AV116" s="24"/>
      <c r="AW116" s="24"/>
      <c r="AX116" s="24"/>
      <c r="AY116" s="24"/>
      <c r="AZ116" s="24"/>
      <c r="BA116" s="24"/>
      <c r="BB116" s="24"/>
      <c r="BC116" s="24"/>
      <c r="BD116" s="24"/>
      <c r="BE116" s="24"/>
      <c r="BF116" s="24"/>
      <c r="BG116" s="24"/>
      <c r="BH116" s="24"/>
      <c r="BI116" s="24"/>
      <c r="BJ116" s="24"/>
      <c r="BK116" s="24"/>
      <c r="BL116" s="24"/>
      <c r="BM116" s="24"/>
      <c r="BN116" s="24"/>
      <c r="BO116" s="24"/>
      <c r="BP116" s="24"/>
      <c r="BQ116" s="24"/>
      <c r="BR116" s="24"/>
      <c r="BS116" s="24"/>
      <c r="BT116" s="24"/>
      <c r="BU116" s="24"/>
      <c r="BV116" s="24"/>
      <c r="BW116" s="24"/>
      <c r="BX116" s="24"/>
      <c r="BY116" s="24"/>
      <c r="BZ116" s="24"/>
      <c r="CA116" s="24"/>
      <c r="CB116" s="24"/>
      <c r="CC116" s="24"/>
      <c r="CD116" s="24"/>
      <c r="CE116" s="24"/>
      <c r="CF116" s="24"/>
      <c r="CG116" s="24"/>
      <c r="CH116" s="24"/>
      <c r="CI116" s="24"/>
      <c r="CJ116" s="24"/>
      <c r="CK116" s="24"/>
      <c r="CL116" s="24"/>
      <c r="CM116" s="24"/>
      <c r="CN116" s="24"/>
      <c r="CO116" s="24"/>
      <c r="CP116" s="24"/>
      <c r="CQ116" s="24"/>
      <c r="CR116" s="24"/>
      <c r="CS116" s="24"/>
      <c r="CT116" s="24"/>
      <c r="CU116" s="24"/>
      <c r="CV116" s="24"/>
      <c r="CW116" s="24"/>
      <c r="CX116" s="24"/>
      <c r="CY116" s="24"/>
      <c r="CZ116" s="24"/>
      <c r="DA116" s="24"/>
      <c r="DB116" s="24"/>
      <c r="DC116" s="24"/>
      <c r="DD116" s="24"/>
      <c r="DE116" s="24"/>
      <c r="DF116" s="24"/>
      <c r="DG116" s="24"/>
      <c r="DH116" s="24"/>
      <c r="DI116" s="24"/>
      <c r="DJ116" s="24"/>
      <c r="DK116" s="24"/>
      <c r="DL116" s="24"/>
      <c r="DM116" s="24"/>
      <c r="DN116" s="24"/>
      <c r="DO116" s="24"/>
      <c r="DP116" s="24"/>
      <c r="DQ116" s="24"/>
      <c r="DR116" s="24"/>
      <c r="DS116" s="24"/>
      <c r="DT116" s="24"/>
      <c r="DU116" s="24"/>
      <c r="DV116" s="24"/>
      <c r="DW116" s="24"/>
      <c r="DX116" s="24"/>
      <c r="DY116" s="24"/>
      <c r="DZ116" s="24"/>
      <c r="EA116" s="24"/>
      <c r="EB116" s="24"/>
      <c r="EC116" s="24"/>
      <c r="ED116" s="24"/>
      <c r="EE116" s="24"/>
      <c r="EF116" s="24"/>
      <c r="EG116" s="24"/>
      <c r="EH116" s="24"/>
      <c r="EI116" s="24"/>
      <c r="EJ116" s="24"/>
      <c r="EK116" s="24"/>
      <c r="EL116" s="24"/>
      <c r="EM116" s="24"/>
      <c r="EN116" s="24"/>
      <c r="EO116" s="24"/>
      <c r="EP116" s="24"/>
      <c r="EQ116" s="24"/>
      <c r="ER116" s="24"/>
      <c r="ES116" s="24"/>
      <c r="ET116" s="24"/>
      <c r="EU116" s="24"/>
      <c r="EV116" s="24"/>
      <c r="EW116" s="24"/>
      <c r="EX116" s="24"/>
      <c r="EY116" s="24"/>
      <c r="EZ116" s="24"/>
      <c r="FA116" s="24"/>
    </row>
    <row r="117" spans="1:157" s="24" customFormat="1" ht="14.5" hidden="1">
      <c r="A117" s="24" t="s">
        <v>1000</v>
      </c>
      <c r="B117" s="296"/>
      <c r="C117" s="297"/>
      <c r="D117" s="281"/>
      <c r="E117" s="296"/>
      <c r="F117" s="297"/>
      <c r="G117" s="297"/>
      <c r="H117" s="281"/>
      <c r="I117" s="292"/>
      <c r="J117" s="298"/>
      <c r="K117" s="298"/>
      <c r="L117" s="298"/>
      <c r="M117" s="298"/>
      <c r="N117" s="293"/>
      <c r="O117" s="24"/>
      <c r="P117" s="24"/>
      <c r="Q117" s="24"/>
      <c r="R117" s="24"/>
      <c r="S117" s="24"/>
      <c r="T117" s="24"/>
      <c r="U117" s="24"/>
      <c r="V117" s="24"/>
      <c r="W117" s="24"/>
      <c r="X117" s="24"/>
      <c r="Y117" s="24"/>
      <c r="Z117" s="24"/>
      <c r="AA117" s="24"/>
      <c r="AB117" s="24"/>
      <c r="AC117" s="24"/>
      <c r="AD117" s="24">
        <f>ROW()</f>
        <v>117</v>
      </c>
      <c r="AE117" s="24"/>
      <c r="AF117" s="24"/>
      <c r="AG117" s="24"/>
      <c r="AH117" s="24"/>
      <c r="AI117" s="24"/>
      <c r="AJ117" s="24"/>
      <c r="AK117" s="24"/>
      <c r="AL117" s="24"/>
      <c r="AM117" s="24"/>
      <c r="AN117" s="24"/>
      <c r="AO117" s="24"/>
      <c r="AP117" s="24"/>
      <c r="AQ117" s="24"/>
      <c r="AR117" s="24"/>
      <c r="AS117" s="24"/>
      <c r="AT117" s="24"/>
      <c r="AU117" s="24"/>
      <c r="AV117" s="24"/>
      <c r="AW117" s="24"/>
      <c r="AX117" s="24"/>
      <c r="AY117" s="24"/>
      <c r="AZ117" s="24"/>
      <c r="BA117" s="24"/>
      <c r="BB117" s="24"/>
      <c r="BC117" s="24"/>
      <c r="BD117" s="24"/>
      <c r="BE117" s="24"/>
      <c r="BF117" s="24"/>
      <c r="BG117" s="24"/>
      <c r="BH117" s="24"/>
      <c r="BI117" s="24"/>
      <c r="BJ117" s="24"/>
      <c r="BK117" s="24"/>
      <c r="BL117" s="24"/>
      <c r="BM117" s="24"/>
      <c r="BN117" s="24"/>
      <c r="BO117" s="24"/>
      <c r="BP117" s="24"/>
      <c r="BQ117" s="24"/>
      <c r="BR117" s="24"/>
      <c r="BS117" s="24"/>
      <c r="BT117" s="24"/>
      <c r="BU117" s="24"/>
      <c r="BV117" s="24"/>
      <c r="BW117" s="24"/>
      <c r="BX117" s="24"/>
      <c r="BY117" s="24"/>
      <c r="BZ117" s="24"/>
      <c r="CA117" s="24"/>
      <c r="CB117" s="24"/>
      <c r="CC117" s="24"/>
      <c r="CD117" s="24"/>
      <c r="CE117" s="24"/>
      <c r="CF117" s="24"/>
      <c r="CG117" s="24"/>
      <c r="CH117" s="24"/>
      <c r="CI117" s="24"/>
      <c r="CJ117" s="24"/>
      <c r="CK117" s="24"/>
      <c r="CL117" s="24"/>
      <c r="CM117" s="24"/>
      <c r="CN117" s="24"/>
      <c r="CO117" s="24"/>
      <c r="CP117" s="24"/>
      <c r="CQ117" s="24"/>
      <c r="CR117" s="24"/>
      <c r="CS117" s="24"/>
      <c r="CT117" s="24"/>
      <c r="CU117" s="24"/>
      <c r="CV117" s="24"/>
      <c r="CW117" s="24"/>
      <c r="CX117" s="24"/>
      <c r="CY117" s="24"/>
      <c r="CZ117" s="24"/>
      <c r="DA117" s="24"/>
      <c r="DB117" s="24"/>
      <c r="DC117" s="24"/>
      <c r="DD117" s="24"/>
      <c r="DE117" s="24"/>
      <c r="DF117" s="24"/>
      <c r="DG117" s="24"/>
      <c r="DH117" s="24"/>
      <c r="DI117" s="24"/>
      <c r="DJ117" s="24"/>
      <c r="DK117" s="24"/>
      <c r="DL117" s="24"/>
      <c r="DM117" s="24"/>
      <c r="DN117" s="24"/>
      <c r="DO117" s="24"/>
      <c r="DP117" s="24"/>
      <c r="DQ117" s="24"/>
      <c r="DR117" s="24"/>
      <c r="DS117" s="24"/>
      <c r="DT117" s="24"/>
      <c r="DU117" s="24"/>
      <c r="DV117" s="24"/>
      <c r="DW117" s="24"/>
      <c r="DX117" s="24"/>
      <c r="DY117" s="24"/>
      <c r="DZ117" s="24"/>
      <c r="EA117" s="24"/>
      <c r="EB117" s="24"/>
      <c r="EC117" s="24"/>
      <c r="ED117" s="24"/>
      <c r="EE117" s="24"/>
      <c r="EF117" s="24"/>
      <c r="EG117" s="24"/>
      <c r="EH117" s="24"/>
      <c r="EI117" s="24"/>
      <c r="EJ117" s="24"/>
      <c r="EK117" s="24"/>
      <c r="EL117" s="24"/>
      <c r="EM117" s="24"/>
      <c r="EN117" s="24"/>
      <c r="EO117" s="24"/>
      <c r="EP117" s="24"/>
      <c r="EQ117" s="24"/>
      <c r="ER117" s="24"/>
      <c r="ES117" s="24"/>
      <c r="ET117" s="24"/>
      <c r="EU117" s="24"/>
      <c r="EV117" s="24"/>
      <c r="EW117" s="24"/>
      <c r="EX117" s="24"/>
      <c r="EY117" s="24"/>
      <c r="EZ117" s="24"/>
      <c r="FA117" s="24"/>
    </row>
    <row r="118" spans="1:157" s="24" customFormat="1" ht="14.5" hidden="1">
      <c r="A118" s="24" t="s">
        <v>1000</v>
      </c>
      <c r="B118" s="64"/>
      <c r="C118" s="64"/>
      <c r="D118" s="64"/>
      <c r="E118" s="64"/>
      <c r="F118" s="64"/>
      <c r="G118" s="64"/>
      <c r="H118" s="64"/>
      <c r="I118" s="24"/>
      <c r="J118" s="24"/>
      <c r="K118" s="24"/>
      <c r="L118" s="24"/>
      <c r="M118" s="24"/>
      <c r="N118" s="24"/>
      <c r="O118" s="24"/>
      <c r="P118" s="24"/>
      <c r="Q118" s="24"/>
      <c r="R118" s="24"/>
      <c r="S118" s="24"/>
      <c r="T118" s="24"/>
      <c r="U118" s="24"/>
      <c r="V118" s="24"/>
      <c r="W118" s="24"/>
      <c r="X118" s="24"/>
      <c r="Y118" s="24"/>
      <c r="Z118" s="24"/>
      <c r="AA118" s="24"/>
      <c r="AB118" s="24"/>
      <c r="AC118" s="24"/>
      <c r="AD118" s="24">
        <f>ROW()</f>
        <v>118</v>
      </c>
      <c r="AE118" s="24"/>
      <c r="AF118" s="24"/>
      <c r="AG118" s="24"/>
      <c r="AH118" s="24"/>
      <c r="AI118" s="24"/>
      <c r="AJ118" s="24"/>
      <c r="AK118" s="24"/>
      <c r="AL118" s="24"/>
      <c r="AM118" s="24"/>
      <c r="AN118" s="24"/>
      <c r="AO118" s="24"/>
      <c r="AP118" s="24"/>
      <c r="AQ118" s="24"/>
      <c r="AR118" s="24"/>
      <c r="AS118" s="24"/>
      <c r="AT118" s="24"/>
      <c r="AU118" s="24"/>
      <c r="AV118" s="24"/>
      <c r="AW118" s="24"/>
      <c r="AX118" s="24"/>
      <c r="AY118" s="24"/>
      <c r="AZ118" s="24"/>
      <c r="BA118" s="24"/>
      <c r="BB118" s="24"/>
      <c r="BC118" s="24"/>
      <c r="BD118" s="24"/>
      <c r="BE118" s="24"/>
      <c r="BF118" s="24"/>
      <c r="BG118" s="24"/>
      <c r="BH118" s="24"/>
      <c r="BI118" s="24"/>
      <c r="BJ118" s="24"/>
      <c r="BK118" s="24"/>
      <c r="BL118" s="24"/>
      <c r="BM118" s="24"/>
      <c r="BN118" s="24"/>
      <c r="BO118" s="24"/>
      <c r="BP118" s="24"/>
      <c r="BQ118" s="24"/>
      <c r="BR118" s="24"/>
      <c r="BS118" s="24"/>
      <c r="BT118" s="24"/>
      <c r="BU118" s="24"/>
      <c r="BV118" s="24"/>
      <c r="BW118" s="24"/>
      <c r="BX118" s="24"/>
      <c r="BY118" s="24"/>
      <c r="BZ118" s="24"/>
      <c r="CA118" s="24"/>
      <c r="CB118" s="24"/>
      <c r="CC118" s="24"/>
      <c r="CD118" s="24"/>
      <c r="CE118" s="24"/>
      <c r="CF118" s="24"/>
      <c r="CG118" s="24"/>
      <c r="CH118" s="24"/>
      <c r="CI118" s="24"/>
      <c r="CJ118" s="24"/>
      <c r="CK118" s="24"/>
      <c r="CL118" s="24"/>
      <c r="CM118" s="24"/>
      <c r="CN118" s="24"/>
      <c r="CO118" s="24"/>
      <c r="CP118" s="24"/>
      <c r="CQ118" s="24"/>
      <c r="CR118" s="24"/>
      <c r="CS118" s="24"/>
      <c r="CT118" s="24"/>
      <c r="CU118" s="24"/>
      <c r="CV118" s="24"/>
      <c r="CW118" s="24"/>
      <c r="CX118" s="24"/>
      <c r="CY118" s="24"/>
      <c r="CZ118" s="24"/>
      <c r="DA118" s="24"/>
      <c r="DB118" s="24"/>
      <c r="DC118" s="24"/>
      <c r="DD118" s="24"/>
      <c r="DE118" s="24"/>
      <c r="DF118" s="24"/>
      <c r="DG118" s="24"/>
      <c r="DH118" s="24"/>
      <c r="DI118" s="24"/>
      <c r="DJ118" s="24"/>
      <c r="DK118" s="24"/>
      <c r="DL118" s="24"/>
      <c r="DM118" s="24"/>
      <c r="DN118" s="24"/>
      <c r="DO118" s="24"/>
      <c r="DP118" s="24"/>
      <c r="DQ118" s="24"/>
      <c r="DR118" s="24"/>
      <c r="DS118" s="24"/>
      <c r="DT118" s="24"/>
      <c r="DU118" s="24"/>
      <c r="DV118" s="24"/>
      <c r="DW118" s="24"/>
      <c r="DX118" s="24"/>
      <c r="DY118" s="24"/>
      <c r="DZ118" s="24"/>
      <c r="EA118" s="24"/>
      <c r="EB118" s="24"/>
      <c r="EC118" s="24"/>
      <c r="ED118" s="24"/>
      <c r="EE118" s="24"/>
      <c r="EF118" s="24"/>
      <c r="EG118" s="24"/>
      <c r="EH118" s="24"/>
      <c r="EI118" s="24"/>
      <c r="EJ118" s="24"/>
      <c r="EK118" s="24"/>
      <c r="EL118" s="24"/>
      <c r="EM118" s="24"/>
      <c r="EN118" s="24"/>
      <c r="EO118" s="24"/>
      <c r="EP118" s="24"/>
      <c r="EQ118" s="24"/>
      <c r="ER118" s="24"/>
      <c r="ES118" s="24"/>
      <c r="ET118" s="24"/>
      <c r="EU118" s="24"/>
      <c r="EV118" s="24"/>
      <c r="EW118" s="24"/>
      <c r="EX118" s="24"/>
      <c r="EY118" s="24"/>
      <c r="EZ118" s="24"/>
      <c r="FA118" s="24"/>
    </row>
    <row r="119" spans="1:157" s="24" customFormat="1" ht="14.5" hidden="1">
      <c r="A119" s="24" t="s">
        <v>1000</v>
      </c>
      <c r="B119" s="31" t="s">
        <v>1134</v>
      </c>
      <c r="C119" s="31"/>
      <c r="D119" s="31"/>
      <c r="E119" s="31"/>
      <c r="F119" s="31"/>
      <c r="G119" s="31"/>
      <c r="H119" s="31"/>
      <c r="I119" s="31"/>
      <c r="J119" s="31"/>
      <c r="K119" s="24"/>
      <c r="L119" s="24"/>
      <c r="M119" s="225" t="str">
        <f>TEXT(SUM(_xlfn.NUMBERVALUE(I115)+_xlfn.NUMBERVALUE(I116)+_xlfn.NUMBERVALUE(I117)),"0.00")</f>
        <v>0.00</v>
      </c>
      <c r="N119" s="226"/>
      <c r="O119" s="24"/>
      <c r="P119" s="24"/>
      <c r="Q119" s="24"/>
      <c r="R119" s="24"/>
      <c r="S119" s="24"/>
      <c r="T119" s="24"/>
      <c r="U119" s="24"/>
      <c r="V119" s="24"/>
      <c r="W119" s="24"/>
      <c r="X119" s="24"/>
      <c r="Y119" s="24"/>
      <c r="Z119" s="24"/>
      <c r="AA119" s="24"/>
      <c r="AB119" s="24"/>
      <c r="AC119" s="24"/>
      <c r="AD119" s="24">
        <f>ROW()</f>
        <v>119</v>
      </c>
      <c r="AE119" s="24"/>
      <c r="AF119" s="24"/>
      <c r="AG119" s="24"/>
      <c r="AH119" s="24"/>
      <c r="AI119" s="24"/>
      <c r="AJ119" s="24"/>
      <c r="AK119" s="24"/>
      <c r="AL119" s="24"/>
      <c r="AM119" s="24"/>
      <c r="AN119" s="24"/>
      <c r="AO119" s="24"/>
      <c r="AP119" s="24"/>
      <c r="AQ119" s="24"/>
      <c r="AR119" s="24"/>
      <c r="AS119" s="24"/>
      <c r="AT119" s="24"/>
      <c r="AU119" s="24"/>
      <c r="AV119" s="24"/>
      <c r="AW119" s="24"/>
      <c r="AX119" s="24"/>
      <c r="AY119" s="24"/>
      <c r="AZ119" s="24"/>
      <c r="BA119" s="24"/>
      <c r="BB119" s="24"/>
      <c r="BC119" s="24"/>
      <c r="BD119" s="24"/>
      <c r="BE119" s="24"/>
      <c r="BF119" s="24"/>
      <c r="BG119" s="24"/>
      <c r="BH119" s="24"/>
      <c r="BI119" s="24"/>
      <c r="BJ119" s="24"/>
      <c r="BK119" s="24"/>
      <c r="BL119" s="24"/>
      <c r="BM119" s="24"/>
      <c r="BN119" s="24"/>
      <c r="BO119" s="24"/>
      <c r="BP119" s="24"/>
      <c r="BQ119" s="24"/>
      <c r="BR119" s="24"/>
      <c r="BS119" s="24"/>
      <c r="BT119" s="24"/>
      <c r="BU119" s="24"/>
      <c r="BV119" s="24"/>
      <c r="BW119" s="24"/>
      <c r="BX119" s="24"/>
      <c r="BY119" s="24"/>
      <c r="BZ119" s="24"/>
      <c r="CA119" s="24"/>
      <c r="CB119" s="24"/>
      <c r="CC119" s="24"/>
      <c r="CD119" s="24"/>
      <c r="CE119" s="24"/>
      <c r="CF119" s="24"/>
      <c r="CG119" s="24"/>
      <c r="CH119" s="24"/>
      <c r="CI119" s="24"/>
      <c r="CJ119" s="24"/>
      <c r="CK119" s="24"/>
      <c r="CL119" s="24"/>
      <c r="CM119" s="24"/>
      <c r="CN119" s="24"/>
      <c r="CO119" s="24"/>
      <c r="CP119" s="24"/>
      <c r="CQ119" s="24"/>
      <c r="CR119" s="24"/>
      <c r="CS119" s="24"/>
      <c r="CT119" s="24"/>
      <c r="CU119" s="24"/>
      <c r="CV119" s="24"/>
      <c r="CW119" s="24"/>
      <c r="CX119" s="24"/>
      <c r="CY119" s="24"/>
      <c r="CZ119" s="24"/>
      <c r="DA119" s="24"/>
      <c r="DB119" s="24"/>
      <c r="DC119" s="24"/>
      <c r="DD119" s="24"/>
      <c r="DE119" s="24"/>
      <c r="DF119" s="24"/>
      <c r="DG119" s="24"/>
      <c r="DH119" s="24"/>
      <c r="DI119" s="24"/>
      <c r="DJ119" s="24"/>
      <c r="DK119" s="24"/>
      <c r="DL119" s="24"/>
      <c r="DM119" s="24"/>
      <c r="DN119" s="24"/>
      <c r="DO119" s="24"/>
      <c r="DP119" s="24"/>
      <c r="DQ119" s="24"/>
      <c r="DR119" s="24"/>
      <c r="DS119" s="24"/>
      <c r="DT119" s="24"/>
      <c r="DU119" s="24"/>
      <c r="DV119" s="24"/>
      <c r="DW119" s="24"/>
      <c r="DX119" s="24"/>
      <c r="DY119" s="24"/>
      <c r="DZ119" s="24"/>
      <c r="EA119" s="24"/>
      <c r="EB119" s="24"/>
      <c r="EC119" s="24"/>
      <c r="ED119" s="24"/>
      <c r="EE119" s="24"/>
      <c r="EF119" s="24"/>
      <c r="EG119" s="24"/>
      <c r="EH119" s="24"/>
      <c r="EI119" s="24"/>
      <c r="EJ119" s="24"/>
      <c r="EK119" s="24"/>
      <c r="EL119" s="24"/>
      <c r="EM119" s="24"/>
      <c r="EN119" s="24"/>
      <c r="EO119" s="24"/>
      <c r="EP119" s="24"/>
      <c r="EQ119" s="24"/>
      <c r="ER119" s="24"/>
      <c r="ES119" s="24"/>
      <c r="ET119" s="24"/>
      <c r="EU119" s="24"/>
      <c r="EV119" s="24"/>
      <c r="EW119" s="24"/>
      <c r="EX119" s="24"/>
      <c r="EY119" s="24"/>
      <c r="EZ119" s="24"/>
      <c r="FA119" s="24"/>
    </row>
    <row r="120" spans="1:157" s="24" customFormat="1" ht="14.5" hidden="1">
      <c r="A120" s="24" t="s">
        <v>1000</v>
      </c>
      <c r="B120" s="31"/>
      <c r="C120" s="31"/>
      <c r="D120" s="31"/>
      <c r="E120" s="31"/>
      <c r="F120" s="31"/>
      <c r="G120" s="31"/>
      <c r="H120" s="31"/>
      <c r="I120" s="31"/>
      <c r="J120" s="31"/>
      <c r="K120" s="24"/>
      <c r="L120" s="24"/>
      <c r="M120" s="24"/>
      <c r="N120" s="24"/>
      <c r="O120" s="24"/>
      <c r="P120" s="24"/>
      <c r="Q120" s="24"/>
      <c r="R120" s="24"/>
      <c r="S120" s="24"/>
      <c r="T120" s="24"/>
      <c r="U120" s="24"/>
      <c r="V120" s="24"/>
      <c r="W120" s="24"/>
      <c r="X120" s="24"/>
      <c r="Y120" s="24"/>
      <c r="Z120" s="24"/>
      <c r="AA120" s="24"/>
      <c r="AB120" s="24"/>
      <c r="AC120" s="24"/>
      <c r="AD120" s="24">
        <f>ROW()</f>
        <v>120</v>
      </c>
      <c r="AE120" s="24"/>
      <c r="AF120" s="24"/>
      <c r="AG120" s="24"/>
      <c r="AH120" s="24"/>
      <c r="AI120" s="24"/>
      <c r="AJ120" s="24"/>
      <c r="AK120" s="24"/>
      <c r="AL120" s="24"/>
      <c r="AM120" s="24"/>
      <c r="AN120" s="24"/>
      <c r="AO120" s="24"/>
      <c r="AP120" s="24"/>
      <c r="AQ120" s="24"/>
      <c r="AR120" s="24"/>
      <c r="AS120" s="24"/>
      <c r="AT120" s="24"/>
      <c r="AU120" s="24"/>
      <c r="AV120" s="24"/>
      <c r="AW120" s="24"/>
      <c r="AX120" s="24"/>
      <c r="AY120" s="24"/>
      <c r="AZ120" s="24"/>
      <c r="BA120" s="24"/>
      <c r="BB120" s="24"/>
      <c r="BC120" s="24"/>
      <c r="BD120" s="24"/>
      <c r="BE120" s="24"/>
      <c r="BF120" s="24"/>
      <c r="BG120" s="24"/>
      <c r="BH120" s="24"/>
      <c r="BI120" s="24"/>
      <c r="BJ120" s="24"/>
      <c r="BK120" s="24"/>
      <c r="BL120" s="24"/>
      <c r="BM120" s="24"/>
      <c r="BN120" s="24"/>
      <c r="BO120" s="24"/>
      <c r="BP120" s="24"/>
      <c r="BQ120" s="24"/>
      <c r="BR120" s="24"/>
      <c r="BS120" s="24"/>
      <c r="BT120" s="24"/>
      <c r="BU120" s="24"/>
      <c r="BV120" s="24"/>
      <c r="BW120" s="24"/>
      <c r="BX120" s="24"/>
      <c r="BY120" s="24"/>
      <c r="BZ120" s="24"/>
      <c r="CA120" s="24"/>
      <c r="CB120" s="24"/>
      <c r="CC120" s="24"/>
      <c r="CD120" s="24"/>
      <c r="CE120" s="24"/>
      <c r="CF120" s="24"/>
      <c r="CG120" s="24"/>
      <c r="CH120" s="24"/>
      <c r="CI120" s="24"/>
      <c r="CJ120" s="24"/>
      <c r="CK120" s="24"/>
      <c r="CL120" s="24"/>
      <c r="CM120" s="24"/>
      <c r="CN120" s="24"/>
      <c r="CO120" s="24"/>
      <c r="CP120" s="24"/>
      <c r="CQ120" s="24"/>
      <c r="CR120" s="24"/>
      <c r="CS120" s="24"/>
      <c r="CT120" s="24"/>
      <c r="CU120" s="24"/>
      <c r="CV120" s="24"/>
      <c r="CW120" s="24"/>
      <c r="CX120" s="24"/>
      <c r="CY120" s="24"/>
      <c r="CZ120" s="24"/>
      <c r="DA120" s="24"/>
      <c r="DB120" s="24"/>
      <c r="DC120" s="24"/>
      <c r="DD120" s="24"/>
      <c r="DE120" s="24"/>
      <c r="DF120" s="24"/>
      <c r="DG120" s="24"/>
      <c r="DH120" s="24"/>
      <c r="DI120" s="24"/>
      <c r="DJ120" s="24"/>
      <c r="DK120" s="24"/>
      <c r="DL120" s="24"/>
      <c r="DM120" s="24"/>
      <c r="DN120" s="24"/>
      <c r="DO120" s="24"/>
      <c r="DP120" s="24"/>
      <c r="DQ120" s="24"/>
      <c r="DR120" s="24"/>
      <c r="DS120" s="24"/>
      <c r="DT120" s="24"/>
      <c r="DU120" s="24"/>
      <c r="DV120" s="24"/>
      <c r="DW120" s="24"/>
      <c r="DX120" s="24"/>
      <c r="DY120" s="24"/>
      <c r="DZ120" s="24"/>
      <c r="EA120" s="24"/>
      <c r="EB120" s="24"/>
      <c r="EC120" s="24"/>
      <c r="ED120" s="24"/>
      <c r="EE120" s="24"/>
      <c r="EF120" s="24"/>
      <c r="EG120" s="24"/>
      <c r="EH120" s="24"/>
      <c r="EI120" s="24"/>
      <c r="EJ120" s="24"/>
      <c r="EK120" s="24"/>
      <c r="EL120" s="24"/>
      <c r="EM120" s="24"/>
      <c r="EN120" s="24"/>
      <c r="EO120" s="24"/>
      <c r="EP120" s="24"/>
      <c r="EQ120" s="24"/>
      <c r="ER120" s="24"/>
      <c r="ES120" s="24"/>
      <c r="ET120" s="24"/>
      <c r="EU120" s="24"/>
      <c r="EV120" s="24"/>
      <c r="EW120" s="24"/>
      <c r="EX120" s="24"/>
      <c r="EY120" s="24"/>
      <c r="EZ120" s="24"/>
      <c r="FA120" s="24"/>
    </row>
    <row r="121" spans="1:157" s="24" customFormat="1" ht="14.5" hidden="1">
      <c r="A121" s="24" t="s">
        <v>1000</v>
      </c>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f>ROW()</f>
        <v>121</v>
      </c>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c r="BM121" s="24"/>
      <c r="BN121" s="24"/>
      <c r="BO121" s="24"/>
      <c r="BP121" s="24"/>
      <c r="BQ121" s="24"/>
      <c r="BR121" s="24"/>
      <c r="BS121" s="24"/>
      <c r="BT121" s="24"/>
      <c r="BU121" s="24"/>
      <c r="BV121" s="24"/>
      <c r="BW121" s="24"/>
      <c r="BX121" s="24"/>
      <c r="BY121" s="24"/>
      <c r="BZ121" s="24"/>
      <c r="CA121" s="24"/>
      <c r="CB121" s="24"/>
      <c r="CC121" s="24"/>
      <c r="CD121" s="24"/>
      <c r="CE121" s="24"/>
      <c r="CF121" s="24"/>
      <c r="CG121" s="24"/>
      <c r="CH121" s="24"/>
      <c r="CI121" s="24"/>
      <c r="CJ121" s="24"/>
      <c r="CK121" s="24"/>
      <c r="CL121" s="24"/>
      <c r="CM121" s="24"/>
      <c r="CN121" s="24"/>
      <c r="CO121" s="24"/>
      <c r="CP121" s="24"/>
      <c r="CQ121" s="24"/>
      <c r="CR121" s="24"/>
      <c r="CS121" s="24"/>
      <c r="CT121" s="24"/>
      <c r="CU121" s="24"/>
      <c r="CV121" s="24"/>
      <c r="CW121" s="24"/>
      <c r="CX121" s="24"/>
      <c r="CY121" s="24"/>
      <c r="CZ121" s="24"/>
      <c r="DA121" s="24"/>
      <c r="DB121" s="24"/>
      <c r="DC121" s="24"/>
      <c r="DD121" s="24"/>
      <c r="DE121" s="24"/>
      <c r="DF121" s="24"/>
      <c r="DG121" s="24"/>
      <c r="DH121" s="24"/>
      <c r="DI121" s="24"/>
      <c r="DJ121" s="24"/>
      <c r="DK121" s="24"/>
      <c r="DL121" s="24"/>
      <c r="DM121" s="24"/>
      <c r="DN121" s="24"/>
      <c r="DO121" s="24"/>
      <c r="DP121" s="24"/>
      <c r="DQ121" s="24"/>
      <c r="DR121" s="24"/>
      <c r="DS121" s="24"/>
      <c r="DT121" s="24"/>
      <c r="DU121" s="24"/>
      <c r="DV121" s="24"/>
      <c r="DW121" s="24"/>
      <c r="DX121" s="24"/>
      <c r="DY121" s="24"/>
      <c r="DZ121" s="24"/>
      <c r="EA121" s="24"/>
      <c r="EB121" s="24"/>
      <c r="EC121" s="24"/>
      <c r="ED121" s="24"/>
      <c r="EE121" s="24"/>
      <c r="EF121" s="24"/>
      <c r="EG121" s="24"/>
      <c r="EH121" s="24"/>
      <c r="EI121" s="24"/>
      <c r="EJ121" s="24"/>
      <c r="EK121" s="24"/>
      <c r="EL121" s="24"/>
      <c r="EM121" s="24"/>
      <c r="EN121" s="24"/>
      <c r="EO121" s="24"/>
      <c r="EP121" s="24"/>
      <c r="EQ121" s="24"/>
      <c r="ER121" s="24"/>
      <c r="ES121" s="24"/>
      <c r="ET121" s="24"/>
      <c r="EU121" s="24"/>
      <c r="EV121" s="24"/>
      <c r="EW121" s="24"/>
      <c r="EX121" s="24"/>
      <c r="EY121" s="24"/>
      <c r="EZ121" s="24"/>
      <c r="FA121" s="24"/>
    </row>
    <row r="122" spans="1:157" s="24" customFormat="1" ht="14.5" hidden="1">
      <c r="A122" s="24" t="s">
        <v>1000</v>
      </c>
      <c r="B122" s="56" t="s">
        <v>1135</v>
      </c>
      <c r="C122" s="24"/>
      <c r="D122" s="24"/>
      <c r="E122" s="24"/>
      <c r="F122" s="24"/>
      <c r="G122" s="24"/>
      <c r="H122" s="24"/>
      <c r="I122" s="24"/>
      <c r="J122" s="24"/>
      <c r="K122" s="24"/>
      <c r="L122" s="24"/>
      <c r="M122" s="225" t="str">
        <f>TEXT(_xlfn.NUMBERVALUE(M119)*0.02,"0.00")</f>
        <v>0.00</v>
      </c>
      <c r="N122" s="226"/>
      <c r="O122" s="24"/>
      <c r="P122" s="24"/>
      <c r="Q122" s="24"/>
      <c r="R122" s="24"/>
      <c r="S122" s="24"/>
      <c r="T122" s="24"/>
      <c r="U122" s="24"/>
      <c r="V122" s="24"/>
      <c r="W122" s="24"/>
      <c r="X122" s="24"/>
      <c r="Y122" s="24"/>
      <c r="Z122" s="24"/>
      <c r="AA122" s="24"/>
      <c r="AB122" s="24"/>
      <c r="AC122" s="24"/>
      <c r="AD122" s="24">
        <f>ROW()</f>
        <v>122</v>
      </c>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c r="BM122" s="24"/>
      <c r="BN122" s="24"/>
      <c r="BO122" s="24"/>
      <c r="BP122" s="24"/>
      <c r="BQ122" s="24"/>
      <c r="BR122" s="24"/>
      <c r="BS122" s="24"/>
      <c r="BT122" s="24"/>
      <c r="BU122" s="24"/>
      <c r="BV122" s="24"/>
      <c r="BW122" s="24"/>
      <c r="BX122" s="24"/>
      <c r="BY122" s="24"/>
      <c r="BZ122" s="24"/>
      <c r="CA122" s="24"/>
      <c r="CB122" s="24"/>
      <c r="CC122" s="24"/>
      <c r="CD122" s="24"/>
      <c r="CE122" s="24"/>
      <c r="CF122" s="24"/>
      <c r="CG122" s="24"/>
      <c r="CH122" s="24"/>
      <c r="CI122" s="24"/>
      <c r="CJ122" s="24"/>
      <c r="CK122" s="24"/>
      <c r="CL122" s="24"/>
      <c r="CM122" s="24"/>
      <c r="CN122" s="24"/>
      <c r="CO122" s="24"/>
      <c r="CP122" s="24"/>
      <c r="CQ122" s="24"/>
      <c r="CR122" s="24"/>
      <c r="CS122" s="24"/>
      <c r="CT122" s="24"/>
      <c r="CU122" s="24"/>
      <c r="CV122" s="24"/>
      <c r="CW122" s="24"/>
      <c r="CX122" s="24"/>
      <c r="CY122" s="24"/>
      <c r="CZ122" s="24"/>
      <c r="DA122" s="24"/>
      <c r="DB122" s="24"/>
      <c r="DC122" s="24"/>
      <c r="DD122" s="24"/>
      <c r="DE122" s="24"/>
      <c r="DF122" s="24"/>
      <c r="DG122" s="24"/>
      <c r="DH122" s="24"/>
      <c r="DI122" s="24"/>
      <c r="DJ122" s="24"/>
      <c r="DK122" s="24"/>
      <c r="DL122" s="24"/>
      <c r="DM122" s="24"/>
      <c r="DN122" s="24"/>
      <c r="DO122" s="24"/>
      <c r="DP122" s="24"/>
      <c r="DQ122" s="24"/>
      <c r="DR122" s="24"/>
      <c r="DS122" s="24"/>
      <c r="DT122" s="24"/>
      <c r="DU122" s="24"/>
      <c r="DV122" s="24"/>
      <c r="DW122" s="24"/>
      <c r="DX122" s="24"/>
      <c r="DY122" s="24"/>
      <c r="DZ122" s="24"/>
      <c r="EA122" s="24"/>
      <c r="EB122" s="24"/>
      <c r="EC122" s="24"/>
      <c r="ED122" s="24"/>
      <c r="EE122" s="24"/>
      <c r="EF122" s="24"/>
      <c r="EG122" s="24"/>
      <c r="EH122" s="24"/>
      <c r="EI122" s="24"/>
      <c r="EJ122" s="24"/>
      <c r="EK122" s="24"/>
      <c r="EL122" s="24"/>
      <c r="EM122" s="24"/>
      <c r="EN122" s="24"/>
      <c r="EO122" s="24"/>
      <c r="EP122" s="24"/>
      <c r="EQ122" s="24"/>
      <c r="ER122" s="24"/>
      <c r="ES122" s="24"/>
      <c r="ET122" s="24"/>
      <c r="EU122" s="24"/>
      <c r="EV122" s="24"/>
      <c r="EW122" s="24"/>
      <c r="EX122" s="24"/>
      <c r="EY122" s="24"/>
      <c r="EZ122" s="24"/>
      <c r="FA122" s="24"/>
    </row>
    <row r="123" spans="1:157" s="24" customFormat="1" ht="14.5" hidden="1">
      <c r="A123" s="24" t="s">
        <v>1000</v>
      </c>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f>ROW()</f>
        <v>123</v>
      </c>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c r="BM123" s="24"/>
      <c r="BN123" s="24"/>
      <c r="BO123" s="24"/>
      <c r="BP123" s="24"/>
      <c r="BQ123" s="24"/>
      <c r="BR123" s="24"/>
      <c r="BS123" s="24"/>
      <c r="BT123" s="24"/>
      <c r="BU123" s="24"/>
      <c r="BV123" s="24"/>
      <c r="BW123" s="24"/>
      <c r="BX123" s="24"/>
      <c r="BY123" s="24"/>
      <c r="BZ123" s="24"/>
      <c r="CA123" s="24"/>
      <c r="CB123" s="24"/>
      <c r="CC123" s="24"/>
      <c r="CD123" s="24"/>
      <c r="CE123" s="24"/>
      <c r="CF123" s="24"/>
      <c r="CG123" s="24"/>
      <c r="CH123" s="24"/>
      <c r="CI123" s="24"/>
      <c r="CJ123" s="24"/>
      <c r="CK123" s="24"/>
      <c r="CL123" s="24"/>
      <c r="CM123" s="24"/>
      <c r="CN123" s="24"/>
      <c r="CO123" s="24"/>
      <c r="CP123" s="24"/>
      <c r="CQ123" s="24"/>
      <c r="CR123" s="24"/>
      <c r="CS123" s="24"/>
      <c r="CT123" s="24"/>
      <c r="CU123" s="24"/>
      <c r="CV123" s="24"/>
      <c r="CW123" s="24"/>
      <c r="CX123" s="24"/>
      <c r="CY123" s="24"/>
      <c r="CZ123" s="24"/>
      <c r="DA123" s="24"/>
      <c r="DB123" s="24"/>
      <c r="DC123" s="24"/>
      <c r="DD123" s="24"/>
      <c r="DE123" s="24"/>
      <c r="DF123" s="24"/>
      <c r="DG123" s="24"/>
      <c r="DH123" s="24"/>
      <c r="DI123" s="24"/>
      <c r="DJ123" s="24"/>
      <c r="DK123" s="24"/>
      <c r="DL123" s="24"/>
      <c r="DM123" s="24"/>
      <c r="DN123" s="24"/>
      <c r="DO123" s="24"/>
      <c r="DP123" s="24"/>
      <c r="DQ123" s="24"/>
      <c r="DR123" s="24"/>
      <c r="DS123" s="24"/>
      <c r="DT123" s="24"/>
      <c r="DU123" s="24"/>
      <c r="DV123" s="24"/>
      <c r="DW123" s="24"/>
      <c r="DX123" s="24"/>
      <c r="DY123" s="24"/>
      <c r="DZ123" s="24"/>
      <c r="EA123" s="24"/>
      <c r="EB123" s="24"/>
      <c r="EC123" s="24"/>
      <c r="ED123" s="24"/>
      <c r="EE123" s="24"/>
      <c r="EF123" s="24"/>
      <c r="EG123" s="24"/>
      <c r="EH123" s="24"/>
      <c r="EI123" s="24"/>
      <c r="EJ123" s="24"/>
      <c r="EK123" s="24"/>
      <c r="EL123" s="24"/>
      <c r="EM123" s="24"/>
      <c r="EN123" s="24"/>
      <c r="EO123" s="24"/>
      <c r="EP123" s="24"/>
      <c r="EQ123" s="24"/>
      <c r="ER123" s="24"/>
      <c r="ES123" s="24"/>
      <c r="ET123" s="24"/>
      <c r="EU123" s="24"/>
      <c r="EV123" s="24"/>
      <c r="EW123" s="24"/>
      <c r="EX123" s="24"/>
      <c r="EY123" s="24"/>
      <c r="EZ123" s="24"/>
      <c r="FA123" s="24"/>
    </row>
    <row r="124" spans="1:157" s="24" customFormat="1" ht="14.5" hidden="1">
      <c r="A124" s="24" t="s">
        <v>1000</v>
      </c>
      <c r="B124" s="56" t="s">
        <v>1136</v>
      </c>
      <c r="C124" s="24"/>
      <c r="D124" s="24"/>
      <c r="E124" s="24"/>
      <c r="F124" s="24"/>
      <c r="G124" s="24"/>
      <c r="H124" s="24"/>
      <c r="I124" s="24"/>
      <c r="J124" s="24"/>
      <c r="K124" s="24"/>
      <c r="L124" s="24"/>
      <c r="M124" s="299"/>
      <c r="N124" s="293"/>
      <c r="O124" s="24"/>
      <c r="P124" s="24"/>
      <c r="Q124" s="97"/>
      <c r="R124" s="97"/>
      <c r="S124" s="24"/>
      <c r="T124" s="24"/>
      <c r="U124" s="24"/>
      <c r="V124" s="24"/>
      <c r="W124" s="24"/>
      <c r="X124" s="24"/>
      <c r="Y124" s="24"/>
      <c r="Z124" s="24"/>
      <c r="AA124" s="24"/>
      <c r="AB124" s="24"/>
      <c r="AC124" s="24"/>
      <c r="AD124" s="24">
        <f>ROW()</f>
        <v>124</v>
      </c>
      <c r="AE124" s="24"/>
      <c r="AF124" s="24"/>
      <c r="AG124" s="24"/>
      <c r="AH124" s="24"/>
      <c r="AI124" s="24"/>
      <c r="AJ124" s="24"/>
      <c r="AK124" s="24"/>
      <c r="AL124" s="24"/>
      <c r="AM124" s="24"/>
      <c r="AN124" s="24"/>
      <c r="AO124" s="24"/>
      <c r="AP124" s="24"/>
      <c r="AQ124" s="24"/>
      <c r="AR124" s="24"/>
      <c r="AS124" s="24"/>
      <c r="AT124" s="24"/>
      <c r="AU124" s="24"/>
      <c r="AV124" s="24"/>
      <c r="AW124" s="24"/>
      <c r="AX124" s="24"/>
      <c r="AY124" s="24"/>
      <c r="AZ124" s="24"/>
      <c r="BA124" s="24"/>
      <c r="BB124" s="24"/>
      <c r="BC124" s="24"/>
      <c r="BD124" s="24"/>
      <c r="BE124" s="24"/>
      <c r="BF124" s="24"/>
      <c r="BG124" s="24"/>
      <c r="BH124" s="24"/>
      <c r="BI124" s="24"/>
      <c r="BJ124" s="24"/>
      <c r="BK124" s="24"/>
      <c r="BL124" s="24"/>
      <c r="BM124" s="24"/>
      <c r="BN124" s="24"/>
      <c r="BO124" s="24"/>
      <c r="BP124" s="24"/>
      <c r="BQ124" s="24"/>
      <c r="BR124" s="24"/>
      <c r="BS124" s="24"/>
      <c r="BT124" s="24"/>
      <c r="BU124" s="24"/>
      <c r="BV124" s="24"/>
      <c r="BW124" s="24"/>
      <c r="BX124" s="24"/>
      <c r="BY124" s="24"/>
      <c r="BZ124" s="24"/>
      <c r="CA124" s="24"/>
      <c r="CB124" s="24"/>
      <c r="CC124" s="24"/>
      <c r="CD124" s="24"/>
      <c r="CE124" s="24"/>
      <c r="CF124" s="24"/>
      <c r="CG124" s="24"/>
      <c r="CH124" s="24"/>
      <c r="CI124" s="24"/>
      <c r="CJ124" s="24"/>
      <c r="CK124" s="24"/>
      <c r="CL124" s="24"/>
      <c r="CM124" s="24"/>
      <c r="CN124" s="24"/>
      <c r="CO124" s="24"/>
      <c r="CP124" s="24"/>
      <c r="CQ124" s="24"/>
      <c r="CR124" s="24"/>
      <c r="CS124" s="24"/>
      <c r="CT124" s="24"/>
      <c r="CU124" s="24"/>
      <c r="CV124" s="24"/>
      <c r="CW124" s="24"/>
      <c r="CX124" s="24"/>
      <c r="CY124" s="24"/>
      <c r="CZ124" s="24"/>
      <c r="DA124" s="24"/>
      <c r="DB124" s="24"/>
      <c r="DC124" s="24"/>
      <c r="DD124" s="24"/>
      <c r="DE124" s="24"/>
      <c r="DF124" s="24"/>
      <c r="DG124" s="24"/>
      <c r="DH124" s="24"/>
      <c r="DI124" s="24"/>
      <c r="DJ124" s="24"/>
      <c r="DK124" s="24"/>
      <c r="DL124" s="24"/>
      <c r="DM124" s="24"/>
      <c r="DN124" s="24"/>
      <c r="DO124" s="24"/>
      <c r="DP124" s="24"/>
      <c r="DQ124" s="24"/>
      <c r="DR124" s="24"/>
      <c r="DS124" s="24"/>
      <c r="DT124" s="24"/>
      <c r="DU124" s="24"/>
      <c r="DV124" s="24"/>
      <c r="DW124" s="24"/>
      <c r="DX124" s="24"/>
      <c r="DY124" s="24"/>
      <c r="DZ124" s="24"/>
      <c r="EA124" s="24"/>
      <c r="EB124" s="24"/>
      <c r="EC124" s="24"/>
      <c r="ED124" s="24"/>
      <c r="EE124" s="24"/>
      <c r="EF124" s="24"/>
      <c r="EG124" s="24"/>
      <c r="EH124" s="24"/>
      <c r="EI124" s="24"/>
      <c r="EJ124" s="24"/>
      <c r="EK124" s="24"/>
      <c r="EL124" s="24"/>
      <c r="EM124" s="24"/>
      <c r="EN124" s="24"/>
      <c r="EO124" s="24"/>
      <c r="EP124" s="24"/>
      <c r="EQ124" s="24"/>
      <c r="ER124" s="24"/>
      <c r="ES124" s="24"/>
      <c r="ET124" s="24"/>
      <c r="EU124" s="24"/>
      <c r="EV124" s="24"/>
      <c r="EW124" s="24"/>
      <c r="EX124" s="24"/>
      <c r="EY124" s="24"/>
      <c r="EZ124" s="24"/>
      <c r="FA124" s="24"/>
    </row>
    <row r="125" spans="1:157" s="24" customFormat="1" ht="14.5" hidden="1">
      <c r="A125" s="24" t="s">
        <v>1000</v>
      </c>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f>ROW()</f>
        <v>125</v>
      </c>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c r="BM125" s="24"/>
      <c r="BN125" s="24"/>
      <c r="BO125" s="24"/>
      <c r="BP125" s="24"/>
      <c r="BQ125" s="24"/>
      <c r="BR125" s="24"/>
      <c r="BS125" s="24"/>
      <c r="BT125" s="24"/>
      <c r="BU125" s="24"/>
      <c r="BV125" s="24"/>
      <c r="BW125" s="24"/>
      <c r="BX125" s="24"/>
      <c r="BY125" s="24"/>
      <c r="BZ125" s="24"/>
      <c r="CA125" s="24"/>
      <c r="CB125" s="24"/>
      <c r="CC125" s="24"/>
      <c r="CD125" s="24"/>
      <c r="CE125" s="24"/>
      <c r="CF125" s="24"/>
      <c r="CG125" s="24"/>
      <c r="CH125" s="24"/>
      <c r="CI125" s="24"/>
      <c r="CJ125" s="24"/>
      <c r="CK125" s="24"/>
      <c r="CL125" s="24"/>
      <c r="CM125" s="24"/>
      <c r="CN125" s="24"/>
      <c r="CO125" s="24"/>
      <c r="CP125" s="24"/>
      <c r="CQ125" s="24"/>
      <c r="CR125" s="24"/>
      <c r="CS125" s="24"/>
      <c r="CT125" s="24"/>
      <c r="CU125" s="24"/>
      <c r="CV125" s="24"/>
      <c r="CW125" s="24"/>
      <c r="CX125" s="24"/>
      <c r="CY125" s="24"/>
      <c r="CZ125" s="24"/>
      <c r="DA125" s="24"/>
      <c r="DB125" s="24"/>
      <c r="DC125" s="24"/>
      <c r="DD125" s="24"/>
      <c r="DE125" s="24"/>
      <c r="DF125" s="24"/>
      <c r="DG125" s="24"/>
      <c r="DH125" s="24"/>
      <c r="DI125" s="24"/>
      <c r="DJ125" s="24"/>
      <c r="DK125" s="24"/>
      <c r="DL125" s="24"/>
      <c r="DM125" s="24"/>
      <c r="DN125" s="24"/>
      <c r="DO125" s="24"/>
      <c r="DP125" s="24"/>
      <c r="DQ125" s="24"/>
      <c r="DR125" s="24"/>
      <c r="DS125" s="24"/>
      <c r="DT125" s="24"/>
      <c r="DU125" s="24"/>
      <c r="DV125" s="24"/>
      <c r="DW125" s="24"/>
      <c r="DX125" s="24"/>
      <c r="DY125" s="24"/>
      <c r="DZ125" s="24"/>
      <c r="EA125" s="24"/>
      <c r="EB125" s="24"/>
      <c r="EC125" s="24"/>
      <c r="ED125" s="24"/>
      <c r="EE125" s="24"/>
      <c r="EF125" s="24"/>
      <c r="EG125" s="24"/>
      <c r="EH125" s="24"/>
      <c r="EI125" s="24"/>
      <c r="EJ125" s="24"/>
      <c r="EK125" s="24"/>
      <c r="EL125" s="24"/>
      <c r="EM125" s="24"/>
      <c r="EN125" s="24"/>
      <c r="EO125" s="24"/>
      <c r="EP125" s="24"/>
      <c r="EQ125" s="24"/>
      <c r="ER125" s="24"/>
      <c r="ES125" s="24"/>
      <c r="ET125" s="24"/>
      <c r="EU125" s="24"/>
      <c r="EV125" s="24"/>
      <c r="EW125" s="24"/>
      <c r="EX125" s="24"/>
      <c r="EY125" s="24"/>
      <c r="EZ125" s="24"/>
      <c r="FA125" s="24"/>
    </row>
    <row r="126" spans="1:157" s="24" customFormat="1" ht="14.5" hidden="1">
      <c r="A126" s="24" t="s">
        <v>1000</v>
      </c>
      <c r="B126" s="56" t="s">
        <v>1137</v>
      </c>
      <c r="C126" s="24"/>
      <c r="D126" s="24"/>
      <c r="E126" s="24"/>
      <c r="F126" s="24"/>
      <c r="G126" s="24"/>
      <c r="H126" s="24"/>
      <c r="I126" s="24"/>
      <c r="J126" s="24"/>
      <c r="K126" s="24"/>
      <c r="L126" s="24"/>
      <c r="M126" s="296"/>
      <c r="N126" s="281"/>
      <c r="O126" s="24"/>
      <c r="P126" s="24"/>
      <c r="Q126" s="24"/>
      <c r="R126" s="24"/>
      <c r="S126" s="24"/>
      <c r="T126" s="24"/>
      <c r="U126" s="24"/>
      <c r="V126" s="24"/>
      <c r="W126" s="24"/>
      <c r="X126" s="24"/>
      <c r="Y126" s="24"/>
      <c r="Z126" s="24"/>
      <c r="AA126" s="24"/>
      <c r="AB126" s="24"/>
      <c r="AC126" s="24"/>
      <c r="AD126" s="24">
        <f>ROW()</f>
        <v>126</v>
      </c>
      <c r="AE126" s="24"/>
      <c r="AF126" s="24"/>
      <c r="AG126" s="24"/>
      <c r="AH126" s="24"/>
      <c r="AI126" s="24"/>
      <c r="AJ126" s="24"/>
      <c r="AK126" s="24"/>
      <c r="AL126" s="24"/>
      <c r="AM126" s="24"/>
      <c r="AN126" s="24"/>
      <c r="AO126" s="24"/>
      <c r="AP126" s="24"/>
      <c r="AQ126" s="24"/>
      <c r="AR126" s="24"/>
      <c r="AS126" s="24"/>
      <c r="AT126" s="24"/>
      <c r="AU126" s="24"/>
      <c r="AV126" s="24"/>
      <c r="AW126" s="24"/>
      <c r="AX126" s="24"/>
      <c r="AY126" s="24"/>
      <c r="AZ126" s="24"/>
      <c r="BA126" s="24"/>
      <c r="BB126" s="24"/>
      <c r="BC126" s="24"/>
      <c r="BD126" s="24"/>
      <c r="BE126" s="24"/>
      <c r="BF126" s="24"/>
      <c r="BG126" s="24"/>
      <c r="BH126" s="24"/>
      <c r="BI126" s="24"/>
      <c r="BJ126" s="24"/>
      <c r="BK126" s="24"/>
      <c r="BL126" s="24"/>
      <c r="BM126" s="24"/>
      <c r="BN126" s="24"/>
      <c r="BO126" s="24"/>
      <c r="BP126" s="24"/>
      <c r="BQ126" s="24"/>
      <c r="BR126" s="24"/>
      <c r="BS126" s="24"/>
      <c r="BT126" s="24"/>
      <c r="BU126" s="24"/>
      <c r="BV126" s="24"/>
      <c r="BW126" s="24"/>
      <c r="BX126" s="24"/>
      <c r="BY126" s="24"/>
      <c r="BZ126" s="24"/>
      <c r="CA126" s="24"/>
      <c r="CB126" s="24"/>
      <c r="CC126" s="24"/>
      <c r="CD126" s="24"/>
      <c r="CE126" s="24"/>
      <c r="CF126" s="24"/>
      <c r="CG126" s="24"/>
      <c r="CH126" s="24"/>
      <c r="CI126" s="24"/>
      <c r="CJ126" s="24"/>
      <c r="CK126" s="24"/>
      <c r="CL126" s="24"/>
      <c r="CM126" s="24"/>
      <c r="CN126" s="24"/>
      <c r="CO126" s="24"/>
      <c r="CP126" s="24"/>
      <c r="CQ126" s="24"/>
      <c r="CR126" s="24"/>
      <c r="CS126" s="24"/>
      <c r="CT126" s="24"/>
      <c r="CU126" s="24"/>
      <c r="CV126" s="24"/>
      <c r="CW126" s="24"/>
      <c r="CX126" s="24"/>
      <c r="CY126" s="24"/>
      <c r="CZ126" s="24"/>
      <c r="DA126" s="24"/>
      <c r="DB126" s="24"/>
      <c r="DC126" s="24"/>
      <c r="DD126" s="24"/>
      <c r="DE126" s="24"/>
      <c r="DF126" s="24"/>
      <c r="DG126" s="24"/>
      <c r="DH126" s="24"/>
      <c r="DI126" s="24"/>
      <c r="DJ126" s="24"/>
      <c r="DK126" s="24"/>
      <c r="DL126" s="24"/>
      <c r="DM126" s="24"/>
      <c r="DN126" s="24"/>
      <c r="DO126" s="24"/>
      <c r="DP126" s="24"/>
      <c r="DQ126" s="24"/>
      <c r="DR126" s="24"/>
      <c r="DS126" s="24"/>
      <c r="DT126" s="24"/>
      <c r="DU126" s="24"/>
      <c r="DV126" s="24"/>
      <c r="DW126" s="24"/>
      <c r="DX126" s="24"/>
      <c r="DY126" s="24"/>
      <c r="DZ126" s="24"/>
      <c r="EA126" s="24"/>
      <c r="EB126" s="24"/>
      <c r="EC126" s="24"/>
      <c r="ED126" s="24"/>
      <c r="EE126" s="24"/>
      <c r="EF126" s="24"/>
      <c r="EG126" s="24"/>
      <c r="EH126" s="24"/>
      <c r="EI126" s="24"/>
      <c r="EJ126" s="24"/>
      <c r="EK126" s="24"/>
      <c r="EL126" s="24"/>
      <c r="EM126" s="24"/>
      <c r="EN126" s="24"/>
      <c r="EO126" s="24"/>
      <c r="EP126" s="24"/>
      <c r="EQ126" s="24"/>
      <c r="ER126" s="24"/>
      <c r="ES126" s="24"/>
      <c r="ET126" s="24"/>
      <c r="EU126" s="24"/>
      <c r="EV126" s="24"/>
      <c r="EW126" s="24"/>
      <c r="EX126" s="24"/>
      <c r="EY126" s="24"/>
      <c r="EZ126" s="24"/>
      <c r="FA126" s="24"/>
    </row>
    <row r="127" spans="1:157" s="24" customFormat="1" ht="14.5" hidden="1">
      <c r="A127" s="24" t="s">
        <v>1000</v>
      </c>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f>ROW()</f>
        <v>127</v>
      </c>
      <c r="AE127" s="24"/>
      <c r="AF127" s="24"/>
      <c r="AG127" s="24"/>
      <c r="AH127" s="24"/>
      <c r="AI127" s="24"/>
      <c r="AJ127" s="24"/>
      <c r="AK127" s="24"/>
      <c r="AL127" s="24"/>
      <c r="AM127" s="24"/>
      <c r="AN127" s="24"/>
      <c r="AO127" s="24"/>
      <c r="AP127" s="24"/>
      <c r="AQ127" s="24"/>
      <c r="AR127" s="24"/>
      <c r="AS127" s="24"/>
      <c r="AT127" s="24"/>
      <c r="AU127" s="24"/>
      <c r="AV127" s="24"/>
      <c r="AW127" s="24"/>
      <c r="AX127" s="24"/>
      <c r="AY127" s="24"/>
      <c r="AZ127" s="24"/>
      <c r="BA127" s="24"/>
      <c r="BB127" s="24"/>
      <c r="BC127" s="24"/>
      <c r="BD127" s="24"/>
      <c r="BE127" s="24"/>
      <c r="BF127" s="24"/>
      <c r="BG127" s="24"/>
      <c r="BH127" s="24"/>
      <c r="BI127" s="24"/>
      <c r="BJ127" s="24"/>
      <c r="BK127" s="24"/>
      <c r="BL127" s="24"/>
      <c r="BM127" s="24"/>
      <c r="BN127" s="24"/>
      <c r="BO127" s="24"/>
      <c r="BP127" s="24"/>
      <c r="BQ127" s="24"/>
      <c r="BR127" s="24"/>
      <c r="BS127" s="24"/>
      <c r="BT127" s="24"/>
      <c r="BU127" s="24"/>
      <c r="BV127" s="24"/>
      <c r="BW127" s="24"/>
      <c r="BX127" s="24"/>
      <c r="BY127" s="24"/>
      <c r="BZ127" s="24"/>
      <c r="CA127" s="24"/>
      <c r="CB127" s="24"/>
      <c r="CC127" s="24"/>
      <c r="CD127" s="24"/>
      <c r="CE127" s="24"/>
      <c r="CF127" s="24"/>
      <c r="CG127" s="24"/>
      <c r="CH127" s="24"/>
      <c r="CI127" s="24"/>
      <c r="CJ127" s="24"/>
      <c r="CK127" s="24"/>
      <c r="CL127" s="24"/>
      <c r="CM127" s="24"/>
      <c r="CN127" s="24"/>
      <c r="CO127" s="24"/>
      <c r="CP127" s="24"/>
      <c r="CQ127" s="24"/>
      <c r="CR127" s="24"/>
      <c r="CS127" s="24"/>
      <c r="CT127" s="24"/>
      <c r="CU127" s="24"/>
      <c r="CV127" s="24"/>
      <c r="CW127" s="24"/>
      <c r="CX127" s="24"/>
      <c r="CY127" s="24"/>
      <c r="CZ127" s="24"/>
      <c r="DA127" s="24"/>
      <c r="DB127" s="24"/>
      <c r="DC127" s="24"/>
      <c r="DD127" s="24"/>
      <c r="DE127" s="24"/>
      <c r="DF127" s="24"/>
      <c r="DG127" s="24"/>
      <c r="DH127" s="24"/>
      <c r="DI127" s="24"/>
      <c r="DJ127" s="24"/>
      <c r="DK127" s="24"/>
      <c r="DL127" s="24"/>
      <c r="DM127" s="24"/>
      <c r="DN127" s="24"/>
      <c r="DO127" s="24"/>
      <c r="DP127" s="24"/>
      <c r="DQ127" s="24"/>
      <c r="DR127" s="24"/>
      <c r="DS127" s="24"/>
      <c r="DT127" s="24"/>
      <c r="DU127" s="24"/>
      <c r="DV127" s="24"/>
      <c r="DW127" s="24"/>
      <c r="DX127" s="24"/>
      <c r="DY127" s="24"/>
      <c r="DZ127" s="24"/>
      <c r="EA127" s="24"/>
      <c r="EB127" s="24"/>
      <c r="EC127" s="24"/>
      <c r="ED127" s="24"/>
      <c r="EE127" s="24"/>
      <c r="EF127" s="24"/>
      <c r="EG127" s="24"/>
      <c r="EH127" s="24"/>
      <c r="EI127" s="24"/>
      <c r="EJ127" s="24"/>
      <c r="EK127" s="24"/>
      <c r="EL127" s="24"/>
      <c r="EM127" s="24"/>
      <c r="EN127" s="24"/>
      <c r="EO127" s="24"/>
      <c r="EP127" s="24"/>
      <c r="EQ127" s="24"/>
      <c r="ER127" s="24"/>
      <c r="ES127" s="24"/>
      <c r="ET127" s="24"/>
      <c r="EU127" s="24"/>
      <c r="EV127" s="24"/>
      <c r="EW127" s="24"/>
      <c r="EX127" s="24"/>
      <c r="EY127" s="24"/>
      <c r="EZ127" s="24"/>
      <c r="FA127" s="24"/>
    </row>
    <row r="128" spans="1:157" s="24" customFormat="1" ht="15" customHeight="1" hidden="1">
      <c r="A128" s="24" t="s">
        <v>1000</v>
      </c>
      <c r="B128" s="56" t="s">
        <v>1138</v>
      </c>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f>ROW()</f>
        <v>128</v>
      </c>
      <c r="AE128" s="24"/>
      <c r="AF128" s="24"/>
      <c r="AG128" s="24"/>
      <c r="AH128" s="24"/>
      <c r="AI128" s="24"/>
      <c r="AJ128" s="24"/>
      <c r="AK128" s="24"/>
      <c r="AL128" s="24"/>
      <c r="AM128" s="24"/>
      <c r="AN128" s="24"/>
      <c r="AO128" s="24"/>
      <c r="AP128" s="24"/>
      <c r="AQ128" s="24"/>
      <c r="AR128" s="24"/>
      <c r="AS128" s="24"/>
      <c r="AT128" s="24"/>
      <c r="AU128" s="24"/>
      <c r="AV128" s="24"/>
      <c r="AW128" s="24"/>
      <c r="AX128" s="24"/>
      <c r="AY128" s="24"/>
      <c r="AZ128" s="24"/>
      <c r="BA128" s="24"/>
      <c r="BB128" s="24"/>
      <c r="BC128" s="24"/>
      <c r="BD128" s="24"/>
      <c r="BE128" s="24"/>
      <c r="BF128" s="24"/>
      <c r="BG128" s="24"/>
      <c r="BH128" s="24"/>
      <c r="BI128" s="24"/>
      <c r="BJ128" s="24"/>
      <c r="BK128" s="24"/>
      <c r="BL128" s="24"/>
      <c r="BM128" s="24"/>
      <c r="BN128" s="24"/>
      <c r="BO128" s="24"/>
      <c r="BP128" s="24"/>
      <c r="BQ128" s="24"/>
      <c r="BR128" s="24"/>
      <c r="BS128" s="24"/>
      <c r="BT128" s="24"/>
      <c r="BU128" s="24"/>
      <c r="BV128" s="24"/>
      <c r="BW128" s="24"/>
      <c r="BX128" s="24"/>
      <c r="BY128" s="24"/>
      <c r="BZ128" s="24"/>
      <c r="CA128" s="24"/>
      <c r="CB128" s="24"/>
      <c r="CC128" s="24"/>
      <c r="CD128" s="24"/>
      <c r="CE128" s="24"/>
      <c r="CF128" s="24"/>
      <c r="CG128" s="24"/>
      <c r="CH128" s="24"/>
      <c r="CI128" s="24"/>
      <c r="CJ128" s="24"/>
      <c r="CK128" s="24"/>
      <c r="CL128" s="24"/>
      <c r="CM128" s="24"/>
      <c r="CN128" s="24"/>
      <c r="CO128" s="24"/>
      <c r="CP128" s="24"/>
      <c r="CQ128" s="24"/>
      <c r="CR128" s="24"/>
      <c r="CS128" s="24"/>
      <c r="CT128" s="24"/>
      <c r="CU128" s="24"/>
      <c r="CV128" s="24"/>
      <c r="CW128" s="24"/>
      <c r="CX128" s="24"/>
      <c r="CY128" s="24"/>
      <c r="CZ128" s="24"/>
      <c r="DA128" s="24"/>
      <c r="DB128" s="24"/>
      <c r="DC128" s="24"/>
      <c r="DD128" s="24"/>
      <c r="DE128" s="24"/>
      <c r="DF128" s="24"/>
      <c r="DG128" s="24"/>
      <c r="DH128" s="24"/>
      <c r="DI128" s="24"/>
      <c r="DJ128" s="24"/>
      <c r="DK128" s="24"/>
      <c r="DL128" s="24"/>
      <c r="DM128" s="24"/>
      <c r="DN128" s="24"/>
      <c r="DO128" s="24"/>
      <c r="DP128" s="24"/>
      <c r="DQ128" s="24"/>
      <c r="DR128" s="24"/>
      <c r="DS128" s="24"/>
      <c r="DT128" s="24"/>
      <c r="DU128" s="24"/>
      <c r="DV128" s="24"/>
      <c r="DW128" s="24"/>
      <c r="DX128" s="24"/>
      <c r="DY128" s="24"/>
      <c r="DZ128" s="24"/>
      <c r="EA128" s="24"/>
      <c r="EB128" s="24"/>
      <c r="EC128" s="24"/>
      <c r="ED128" s="24"/>
      <c r="EE128" s="24"/>
      <c r="EF128" s="24"/>
      <c r="EG128" s="24"/>
      <c r="EH128" s="24"/>
      <c r="EI128" s="24"/>
      <c r="EJ128" s="24"/>
      <c r="EK128" s="24"/>
      <c r="EL128" s="24"/>
      <c r="EM128" s="24"/>
      <c r="EN128" s="24"/>
      <c r="EO128" s="24"/>
      <c r="EP128" s="24"/>
      <c r="EQ128" s="24"/>
      <c r="ER128" s="24"/>
      <c r="ES128" s="24"/>
      <c r="ET128" s="24"/>
      <c r="EU128" s="24"/>
      <c r="EV128" s="24"/>
      <c r="EW128" s="24"/>
      <c r="EX128" s="24"/>
      <c r="EY128" s="24"/>
      <c r="EZ128" s="24"/>
      <c r="FA128" s="24"/>
    </row>
    <row r="129" spans="1:157" s="24" customFormat="1" ht="14.5" hidden="1">
      <c r="A129" s="24" t="s">
        <v>1000</v>
      </c>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f>ROW()</f>
        <v>129</v>
      </c>
      <c r="AE129" s="24"/>
      <c r="AF129" s="24"/>
      <c r="AG129" s="24"/>
      <c r="AH129" s="24"/>
      <c r="AI129" s="24"/>
      <c r="AJ129" s="24"/>
      <c r="AK129" s="24"/>
      <c r="AL129" s="24"/>
      <c r="AM129" s="24"/>
      <c r="AN129" s="24"/>
      <c r="AO129" s="24"/>
      <c r="AP129" s="24"/>
      <c r="AQ129" s="24"/>
      <c r="AR129" s="24"/>
      <c r="AS129" s="24"/>
      <c r="AT129" s="24"/>
      <c r="AU129" s="24"/>
      <c r="AV129" s="24"/>
      <c r="AW129" s="24"/>
      <c r="AX129" s="24"/>
      <c r="AY129" s="24"/>
      <c r="AZ129" s="24"/>
      <c r="BA129" s="24"/>
      <c r="BB129" s="24"/>
      <c r="BC129" s="24"/>
      <c r="BD129" s="24"/>
      <c r="BE129" s="24"/>
      <c r="BF129" s="24"/>
      <c r="BG129" s="24"/>
      <c r="BH129" s="24"/>
      <c r="BI129" s="24"/>
      <c r="BJ129" s="24"/>
      <c r="BK129" s="24"/>
      <c r="BL129" s="24"/>
      <c r="BM129" s="24"/>
      <c r="BN129" s="24"/>
      <c r="BO129" s="24"/>
      <c r="BP129" s="24"/>
      <c r="BQ129" s="24"/>
      <c r="BR129" s="24"/>
      <c r="BS129" s="24"/>
      <c r="BT129" s="24"/>
      <c r="BU129" s="24"/>
      <c r="BV129" s="24"/>
      <c r="BW129" s="24"/>
      <c r="BX129" s="24"/>
      <c r="BY129" s="24"/>
      <c r="BZ129" s="24"/>
      <c r="CA129" s="24"/>
      <c r="CB129" s="24"/>
      <c r="CC129" s="24"/>
      <c r="CD129" s="24"/>
      <c r="CE129" s="24"/>
      <c r="CF129" s="24"/>
      <c r="CG129" s="24"/>
      <c r="CH129" s="24"/>
      <c r="CI129" s="24"/>
      <c r="CJ129" s="24"/>
      <c r="CK129" s="24"/>
      <c r="CL129" s="24"/>
      <c r="CM129" s="24"/>
      <c r="CN129" s="24"/>
      <c r="CO129" s="24"/>
      <c r="CP129" s="24"/>
      <c r="CQ129" s="24"/>
      <c r="CR129" s="24"/>
      <c r="CS129" s="24"/>
      <c r="CT129" s="24"/>
      <c r="CU129" s="24"/>
      <c r="CV129" s="24"/>
      <c r="CW129" s="24"/>
      <c r="CX129" s="24"/>
      <c r="CY129" s="24"/>
      <c r="CZ129" s="24"/>
      <c r="DA129" s="24"/>
      <c r="DB129" s="24"/>
      <c r="DC129" s="24"/>
      <c r="DD129" s="24"/>
      <c r="DE129" s="24"/>
      <c r="DF129" s="24"/>
      <c r="DG129" s="24"/>
      <c r="DH129" s="24"/>
      <c r="DI129" s="24"/>
      <c r="DJ129" s="24"/>
      <c r="DK129" s="24"/>
      <c r="DL129" s="24"/>
      <c r="DM129" s="24"/>
      <c r="DN129" s="24"/>
      <c r="DO129" s="24"/>
      <c r="DP129" s="24"/>
      <c r="DQ129" s="24"/>
      <c r="DR129" s="24"/>
      <c r="DS129" s="24"/>
      <c r="DT129" s="24"/>
      <c r="DU129" s="24"/>
      <c r="DV129" s="24"/>
      <c r="DW129" s="24"/>
      <c r="DX129" s="24"/>
      <c r="DY129" s="24"/>
      <c r="DZ129" s="24"/>
      <c r="EA129" s="24"/>
      <c r="EB129" s="24"/>
      <c r="EC129" s="24"/>
      <c r="ED129" s="24"/>
      <c r="EE129" s="24"/>
      <c r="EF129" s="24"/>
      <c r="EG129" s="24"/>
      <c r="EH129" s="24"/>
      <c r="EI129" s="24"/>
      <c r="EJ129" s="24"/>
      <c r="EK129" s="24"/>
      <c r="EL129" s="24"/>
      <c r="EM129" s="24"/>
      <c r="EN129" s="24"/>
      <c r="EO129" s="24"/>
      <c r="EP129" s="24"/>
      <c r="EQ129" s="24"/>
      <c r="ER129" s="24"/>
      <c r="ES129" s="24"/>
      <c r="ET129" s="24"/>
      <c r="EU129" s="24"/>
      <c r="EV129" s="24"/>
      <c r="EW129" s="24"/>
      <c r="EX129" s="24"/>
      <c r="EY129" s="24"/>
      <c r="EZ129" s="24"/>
      <c r="FA129" s="24"/>
    </row>
    <row r="130" spans="1:157" s="24" customFormat="1" ht="15.65" customHeight="1" hidden="1">
      <c r="A130" s="24" t="s">
        <v>1000</v>
      </c>
      <c r="B130" s="70" t="s">
        <v>1139</v>
      </c>
      <c r="C130" s="70"/>
      <c r="D130" s="70"/>
      <c r="E130" s="70"/>
      <c r="F130" s="70"/>
      <c r="G130" s="70"/>
      <c r="H130" s="70"/>
      <c r="I130" s="70"/>
      <c r="J130" s="70"/>
      <c r="K130" s="70"/>
      <c r="L130" s="24"/>
      <c r="M130" s="279"/>
      <c r="N130" s="281"/>
      <c r="O130" s="24"/>
      <c r="P130" s="24"/>
      <c r="Q130" s="24"/>
      <c r="R130" s="24"/>
      <c r="S130" s="24"/>
      <c r="T130" s="24"/>
      <c r="U130" s="24"/>
      <c r="V130" s="24"/>
      <c r="W130" s="24"/>
      <c r="X130" s="24"/>
      <c r="Y130" s="24"/>
      <c r="Z130" s="24"/>
      <c r="AA130" s="24"/>
      <c r="AB130" s="24"/>
      <c r="AC130" s="24"/>
      <c r="AD130" s="24">
        <f>ROW()</f>
        <v>130</v>
      </c>
      <c r="AE130" s="24"/>
      <c r="AF130" s="24"/>
      <c r="AG130" s="24"/>
      <c r="AH130" s="24"/>
      <c r="AI130" s="24"/>
      <c r="AJ130" s="24"/>
      <c r="AK130" s="24"/>
      <c r="AL130" s="24"/>
      <c r="AM130" s="24"/>
      <c r="AN130" s="24"/>
      <c r="AO130" s="24"/>
      <c r="AP130" s="24"/>
      <c r="AQ130" s="24"/>
      <c r="AR130" s="24"/>
      <c r="AS130" s="24"/>
      <c r="AT130" s="24"/>
      <c r="AU130" s="24"/>
      <c r="AV130" s="24"/>
      <c r="AW130" s="24"/>
      <c r="AX130" s="24"/>
      <c r="AY130" s="24"/>
      <c r="AZ130" s="24"/>
      <c r="BA130" s="24"/>
      <c r="BB130" s="24"/>
      <c r="BC130" s="24"/>
      <c r="BD130" s="24"/>
      <c r="BE130" s="24"/>
      <c r="BF130" s="24"/>
      <c r="BG130" s="24"/>
      <c r="BH130" s="24"/>
      <c r="BI130" s="24"/>
      <c r="BJ130" s="24"/>
      <c r="BK130" s="24"/>
      <c r="BL130" s="24"/>
      <c r="BM130" s="24"/>
      <c r="BN130" s="24"/>
      <c r="BO130" s="24"/>
      <c r="BP130" s="24"/>
      <c r="BQ130" s="24"/>
      <c r="BR130" s="24"/>
      <c r="BS130" s="24"/>
      <c r="BT130" s="24"/>
      <c r="BU130" s="24"/>
      <c r="BV130" s="24"/>
      <c r="BW130" s="24"/>
      <c r="BX130" s="24"/>
      <c r="BY130" s="24"/>
      <c r="BZ130" s="24"/>
      <c r="CA130" s="24"/>
      <c r="CB130" s="24"/>
      <c r="CC130" s="24"/>
      <c r="CD130" s="24"/>
      <c r="CE130" s="24"/>
      <c r="CF130" s="24"/>
      <c r="CG130" s="24"/>
      <c r="CH130" s="24"/>
      <c r="CI130" s="24"/>
      <c r="CJ130" s="24"/>
      <c r="CK130" s="24"/>
      <c r="CL130" s="24"/>
      <c r="CM130" s="24"/>
      <c r="CN130" s="24"/>
      <c r="CO130" s="24"/>
      <c r="CP130" s="24"/>
      <c r="CQ130" s="24"/>
      <c r="CR130" s="24"/>
      <c r="CS130" s="24"/>
      <c r="CT130" s="24"/>
      <c r="CU130" s="24"/>
      <c r="CV130" s="24"/>
      <c r="CW130" s="24"/>
      <c r="CX130" s="24"/>
      <c r="CY130" s="24"/>
      <c r="CZ130" s="24"/>
      <c r="DA130" s="24"/>
      <c r="DB130" s="24"/>
      <c r="DC130" s="24"/>
      <c r="DD130" s="24"/>
      <c r="DE130" s="24"/>
      <c r="DF130" s="24"/>
      <c r="DG130" s="24"/>
      <c r="DH130" s="24"/>
      <c r="DI130" s="24"/>
      <c r="DJ130" s="24"/>
      <c r="DK130" s="24"/>
      <c r="DL130" s="24"/>
      <c r="DM130" s="24"/>
      <c r="DN130" s="24"/>
      <c r="DO130" s="24"/>
      <c r="DP130" s="24"/>
      <c r="DQ130" s="24"/>
      <c r="DR130" s="24"/>
      <c r="DS130" s="24"/>
      <c r="DT130" s="24"/>
      <c r="DU130" s="24"/>
      <c r="DV130" s="24"/>
      <c r="DW130" s="24"/>
      <c r="DX130" s="24"/>
      <c r="DY130" s="24"/>
      <c r="DZ130" s="24"/>
      <c r="EA130" s="24"/>
      <c r="EB130" s="24"/>
      <c r="EC130" s="24"/>
      <c r="ED130" s="24"/>
      <c r="EE130" s="24"/>
      <c r="EF130" s="24"/>
      <c r="EG130" s="24"/>
      <c r="EH130" s="24"/>
      <c r="EI130" s="24"/>
      <c r="EJ130" s="24"/>
      <c r="EK130" s="24"/>
      <c r="EL130" s="24"/>
      <c r="EM130" s="24"/>
      <c r="EN130" s="24"/>
      <c r="EO130" s="24"/>
      <c r="EP130" s="24"/>
      <c r="EQ130" s="24"/>
      <c r="ER130" s="24"/>
      <c r="ES130" s="24"/>
      <c r="ET130" s="24"/>
      <c r="EU130" s="24"/>
      <c r="EV130" s="24"/>
      <c r="EW130" s="24"/>
      <c r="EX130" s="24"/>
      <c r="EY130" s="24"/>
      <c r="EZ130" s="24"/>
      <c r="FA130" s="24"/>
    </row>
    <row r="131" spans="1:157" s="24" customFormat="1" ht="26.15" customHeight="1" hidden="1">
      <c r="A131" s="24" t="s">
        <v>1000</v>
      </c>
      <c r="B131" s="31" t="s">
        <v>1140</v>
      </c>
      <c r="C131" s="31"/>
      <c r="D131" s="31"/>
      <c r="E131" s="31"/>
      <c r="F131" s="31"/>
      <c r="G131" s="31"/>
      <c r="H131" s="31"/>
      <c r="I131" s="31"/>
      <c r="J131" s="98"/>
      <c r="K131" s="98"/>
      <c r="L131" s="24"/>
      <c r="M131" s="24"/>
      <c r="N131" s="24"/>
      <c r="O131" s="24"/>
      <c r="P131" s="24"/>
      <c r="Q131" s="24"/>
      <c r="R131" s="24"/>
      <c r="S131" s="24"/>
      <c r="T131" s="24"/>
      <c r="U131" s="24"/>
      <c r="V131" s="24"/>
      <c r="W131" s="24"/>
      <c r="X131" s="24"/>
      <c r="Y131" s="24"/>
      <c r="Z131" s="24"/>
      <c r="AA131" s="24"/>
      <c r="AB131" s="24"/>
      <c r="AC131" s="24"/>
      <c r="AD131" s="24">
        <f>ROW()</f>
        <v>131</v>
      </c>
      <c r="AE131" s="24"/>
      <c r="AF131" s="24"/>
      <c r="AG131" s="24"/>
      <c r="AH131" s="24"/>
      <c r="AI131" s="24"/>
      <c r="AJ131" s="24"/>
      <c r="AK131" s="24"/>
      <c r="AL131" s="24"/>
      <c r="AM131" s="24"/>
      <c r="AN131" s="24"/>
      <c r="AO131" s="24"/>
      <c r="AP131" s="24"/>
      <c r="AQ131" s="24"/>
      <c r="AR131" s="24"/>
      <c r="AS131" s="24"/>
      <c r="AT131" s="24"/>
      <c r="AU131" s="24"/>
      <c r="AV131" s="24"/>
      <c r="AW131" s="24"/>
      <c r="AX131" s="24"/>
      <c r="AY131" s="24"/>
      <c r="AZ131" s="24"/>
      <c r="BA131" s="24"/>
      <c r="BB131" s="24"/>
      <c r="BC131" s="24"/>
      <c r="BD131" s="24"/>
      <c r="BE131" s="24"/>
      <c r="BF131" s="24"/>
      <c r="BG131" s="24"/>
      <c r="BH131" s="24"/>
      <c r="BI131" s="24"/>
      <c r="BJ131" s="24"/>
      <c r="BK131" s="24"/>
      <c r="BL131" s="24"/>
      <c r="BM131" s="24"/>
      <c r="BN131" s="24"/>
      <c r="BO131" s="24"/>
      <c r="BP131" s="24"/>
      <c r="BQ131" s="24"/>
      <c r="BR131" s="24"/>
      <c r="BS131" s="24"/>
      <c r="BT131" s="24"/>
      <c r="BU131" s="24"/>
      <c r="BV131" s="24"/>
      <c r="BW131" s="24"/>
      <c r="BX131" s="24"/>
      <c r="BY131" s="24"/>
      <c r="BZ131" s="24"/>
      <c r="CA131" s="24"/>
      <c r="CB131" s="24"/>
      <c r="CC131" s="24"/>
      <c r="CD131" s="24"/>
      <c r="CE131" s="24"/>
      <c r="CF131" s="24"/>
      <c r="CG131" s="24"/>
      <c r="CH131" s="24"/>
      <c r="CI131" s="24"/>
      <c r="CJ131" s="24"/>
      <c r="CK131" s="24"/>
      <c r="CL131" s="24"/>
      <c r="CM131" s="24"/>
      <c r="CN131" s="24"/>
      <c r="CO131" s="24"/>
      <c r="CP131" s="24"/>
      <c r="CQ131" s="24"/>
      <c r="CR131" s="24"/>
      <c r="CS131" s="24"/>
      <c r="CT131" s="24"/>
      <c r="CU131" s="24"/>
      <c r="CV131" s="24"/>
      <c r="CW131" s="24"/>
      <c r="CX131" s="24"/>
      <c r="CY131" s="24"/>
      <c r="CZ131" s="24"/>
      <c r="DA131" s="24"/>
      <c r="DB131" s="24"/>
      <c r="DC131" s="24"/>
      <c r="DD131" s="24"/>
      <c r="DE131" s="24"/>
      <c r="DF131" s="24"/>
      <c r="DG131" s="24"/>
      <c r="DH131" s="24"/>
      <c r="DI131" s="24"/>
      <c r="DJ131" s="24"/>
      <c r="DK131" s="24"/>
      <c r="DL131" s="24"/>
      <c r="DM131" s="24"/>
      <c r="DN131" s="24"/>
      <c r="DO131" s="24"/>
      <c r="DP131" s="24"/>
      <c r="DQ131" s="24"/>
      <c r="DR131" s="24"/>
      <c r="DS131" s="24"/>
      <c r="DT131" s="24"/>
      <c r="DU131" s="24"/>
      <c r="DV131" s="24"/>
      <c r="DW131" s="24"/>
      <c r="DX131" s="24"/>
      <c r="DY131" s="24"/>
      <c r="DZ131" s="24"/>
      <c r="EA131" s="24"/>
      <c r="EB131" s="24"/>
      <c r="EC131" s="24"/>
      <c r="ED131" s="24"/>
      <c r="EE131" s="24"/>
      <c r="EF131" s="24"/>
      <c r="EG131" s="24"/>
      <c r="EH131" s="24"/>
      <c r="EI131" s="24"/>
      <c r="EJ131" s="24"/>
      <c r="EK131" s="24"/>
      <c r="EL131" s="24"/>
      <c r="EM131" s="24"/>
      <c r="EN131" s="24"/>
      <c r="EO131" s="24"/>
      <c r="EP131" s="24"/>
      <c r="EQ131" s="24"/>
      <c r="ER131" s="24"/>
      <c r="ES131" s="24"/>
      <c r="ET131" s="24"/>
      <c r="EU131" s="24"/>
      <c r="EV131" s="24"/>
      <c r="EW131" s="24"/>
      <c r="EX131" s="24"/>
      <c r="EY131" s="24"/>
      <c r="EZ131" s="24"/>
      <c r="FA131" s="24"/>
    </row>
    <row r="132" spans="1:157" s="24" customFormat="1" ht="14.5" hidden="1">
      <c r="A132" s="24" t="s">
        <v>1000</v>
      </c>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f>ROW()</f>
        <v>132</v>
      </c>
      <c r="AE132" s="24"/>
      <c r="AF132" s="24"/>
      <c r="AG132" s="24"/>
      <c r="AH132" s="24"/>
      <c r="AI132" s="24"/>
      <c r="AJ132" s="24"/>
      <c r="AK132" s="24"/>
      <c r="AL132" s="24"/>
      <c r="AM132" s="24"/>
      <c r="AN132" s="24"/>
      <c r="AO132" s="24"/>
      <c r="AP132" s="24"/>
      <c r="AQ132" s="24"/>
      <c r="AR132" s="24"/>
      <c r="AS132" s="24"/>
      <c r="AT132" s="24"/>
      <c r="AU132" s="24"/>
      <c r="AV132" s="24"/>
      <c r="AW132" s="24"/>
      <c r="AX132" s="24"/>
      <c r="AY132" s="24"/>
      <c r="AZ132" s="24"/>
      <c r="BA132" s="24"/>
      <c r="BB132" s="24"/>
      <c r="BC132" s="24"/>
      <c r="BD132" s="24"/>
      <c r="BE132" s="24"/>
      <c r="BF132" s="24"/>
      <c r="BG132" s="24"/>
      <c r="BH132" s="24"/>
      <c r="BI132" s="24"/>
      <c r="BJ132" s="24"/>
      <c r="BK132" s="24"/>
      <c r="BL132" s="24"/>
      <c r="BM132" s="24"/>
      <c r="BN132" s="24"/>
      <c r="BO132" s="24"/>
      <c r="BP132" s="24"/>
      <c r="BQ132" s="24"/>
      <c r="BR132" s="24"/>
      <c r="BS132" s="24"/>
      <c r="BT132" s="24"/>
      <c r="BU132" s="24"/>
      <c r="BV132" s="24"/>
      <c r="BW132" s="24"/>
      <c r="BX132" s="24"/>
      <c r="BY132" s="24"/>
      <c r="BZ132" s="24"/>
      <c r="CA132" s="24"/>
      <c r="CB132" s="24"/>
      <c r="CC132" s="24"/>
      <c r="CD132" s="24"/>
      <c r="CE132" s="24"/>
      <c r="CF132" s="24"/>
      <c r="CG132" s="24"/>
      <c r="CH132" s="24"/>
      <c r="CI132" s="24"/>
      <c r="CJ132" s="24"/>
      <c r="CK132" s="24"/>
      <c r="CL132" s="24"/>
      <c r="CM132" s="24"/>
      <c r="CN132" s="24"/>
      <c r="CO132" s="24"/>
      <c r="CP132" s="24"/>
      <c r="CQ132" s="24"/>
      <c r="CR132" s="24"/>
      <c r="CS132" s="24"/>
      <c r="CT132" s="24"/>
      <c r="CU132" s="24"/>
      <c r="CV132" s="24"/>
      <c r="CW132" s="24"/>
      <c r="CX132" s="24"/>
      <c r="CY132" s="24"/>
      <c r="CZ132" s="24"/>
      <c r="DA132" s="24"/>
      <c r="DB132" s="24"/>
      <c r="DC132" s="24"/>
      <c r="DD132" s="24"/>
      <c r="DE132" s="24"/>
      <c r="DF132" s="24"/>
      <c r="DG132" s="24"/>
      <c r="DH132" s="24"/>
      <c r="DI132" s="24"/>
      <c r="DJ132" s="24"/>
      <c r="DK132" s="24"/>
      <c r="DL132" s="24"/>
      <c r="DM132" s="24"/>
      <c r="DN132" s="24"/>
      <c r="DO132" s="24"/>
      <c r="DP132" s="24"/>
      <c r="DQ132" s="24"/>
      <c r="DR132" s="24"/>
      <c r="DS132" s="24"/>
      <c r="DT132" s="24"/>
      <c r="DU132" s="24"/>
      <c r="DV132" s="24"/>
      <c r="DW132" s="24"/>
      <c r="DX132" s="24"/>
      <c r="DY132" s="24"/>
      <c r="DZ132" s="24"/>
      <c r="EA132" s="24"/>
      <c r="EB132" s="24"/>
      <c r="EC132" s="24"/>
      <c r="ED132" s="24"/>
      <c r="EE132" s="24"/>
      <c r="EF132" s="24"/>
      <c r="EG132" s="24"/>
      <c r="EH132" s="24"/>
      <c r="EI132" s="24"/>
      <c r="EJ132" s="24"/>
      <c r="EK132" s="24"/>
      <c r="EL132" s="24"/>
      <c r="EM132" s="24"/>
      <c r="EN132" s="24"/>
      <c r="EO132" s="24"/>
      <c r="EP132" s="24"/>
      <c r="EQ132" s="24"/>
      <c r="ER132" s="24"/>
      <c r="ES132" s="24"/>
      <c r="ET132" s="24"/>
      <c r="EU132" s="24"/>
      <c r="EV132" s="24"/>
      <c r="EW132" s="24"/>
      <c r="EX132" s="24"/>
      <c r="EY132" s="24"/>
      <c r="EZ132" s="24"/>
      <c r="FA132" s="24"/>
    </row>
    <row r="133" spans="1:157" s="24" customFormat="1" ht="57" customHeight="1" hidden="1">
      <c r="A133" s="24" t="s">
        <v>1000</v>
      </c>
      <c r="B133" s="75" t="s">
        <v>1141</v>
      </c>
      <c r="C133" s="74" t="s">
        <v>1142</v>
      </c>
      <c r="D133" s="74"/>
      <c r="E133" s="74" t="s">
        <v>1143</v>
      </c>
      <c r="F133" s="74"/>
      <c r="G133" s="74" t="s">
        <v>1144</v>
      </c>
      <c r="H133" s="74"/>
      <c r="I133" s="74"/>
      <c r="J133" s="74" t="s">
        <v>1145</v>
      </c>
      <c r="K133" s="74"/>
      <c r="L133" s="74"/>
      <c r="M133" s="74" t="s">
        <v>1146</v>
      </c>
      <c r="N133" s="74"/>
      <c r="O133" s="74" t="s">
        <v>1147</v>
      </c>
      <c r="P133" s="75"/>
      <c r="Q133" s="74" t="s">
        <v>1148</v>
      </c>
      <c r="R133" s="75"/>
      <c r="S133" s="74" t="s">
        <v>1149</v>
      </c>
      <c r="T133" s="74"/>
      <c r="U133" s="24"/>
      <c r="V133" s="24"/>
      <c r="W133" s="24"/>
      <c r="X133" s="24"/>
      <c r="Y133" s="24"/>
      <c r="Z133" s="24"/>
      <c r="AA133" s="24"/>
      <c r="AB133" s="24"/>
      <c r="AC133" s="24"/>
      <c r="AD133" s="24">
        <f>ROW()</f>
        <v>133</v>
      </c>
      <c r="AE133" s="24"/>
      <c r="AF133" s="24"/>
      <c r="AG133" s="24"/>
      <c r="AH133" s="24"/>
      <c r="AI133" s="24"/>
      <c r="AJ133" s="24"/>
      <c r="AK133" s="24"/>
      <c r="AL133" s="24"/>
      <c r="AM133" s="24"/>
      <c r="AN133" s="24"/>
      <c r="AO133" s="24"/>
      <c r="AP133" s="24"/>
      <c r="AQ133" s="24"/>
      <c r="AR133" s="24"/>
      <c r="AS133" s="24"/>
      <c r="AT133" s="24"/>
      <c r="AU133" s="24"/>
      <c r="AV133" s="24"/>
      <c r="AW133" s="24"/>
      <c r="AX133" s="24"/>
      <c r="AY133" s="24"/>
      <c r="AZ133" s="24"/>
      <c r="BA133" s="24"/>
      <c r="BB133" s="24"/>
      <c r="BC133" s="24"/>
      <c r="BD133" s="24"/>
      <c r="BE133" s="24"/>
      <c r="BF133" s="24"/>
      <c r="BG133" s="24"/>
      <c r="BH133" s="24"/>
      <c r="BI133" s="24"/>
      <c r="BJ133" s="24"/>
      <c r="BK133" s="24"/>
      <c r="BL133" s="24"/>
      <c r="BM133" s="24"/>
      <c r="BN133" s="24"/>
      <c r="BO133" s="24"/>
      <c r="BP133" s="24"/>
      <c r="BQ133" s="24"/>
      <c r="BR133" s="24"/>
      <c r="BS133" s="24"/>
      <c r="BT133" s="24"/>
      <c r="BU133" s="24"/>
      <c r="BV133" s="24"/>
      <c r="BW133" s="24"/>
      <c r="BX133" s="24"/>
      <c r="BY133" s="24"/>
      <c r="BZ133" s="24"/>
      <c r="CA133" s="24"/>
      <c r="CB133" s="24"/>
      <c r="CC133" s="24"/>
      <c r="CD133" s="24"/>
      <c r="CE133" s="24"/>
      <c r="CF133" s="24"/>
      <c r="CG133" s="24"/>
      <c r="CH133" s="24"/>
      <c r="CI133" s="24"/>
      <c r="CJ133" s="24"/>
      <c r="CK133" s="24"/>
      <c r="CL133" s="24"/>
      <c r="CM133" s="24"/>
      <c r="CN133" s="24"/>
      <c r="CO133" s="24"/>
      <c r="CP133" s="24"/>
      <c r="CQ133" s="24"/>
      <c r="CR133" s="24"/>
      <c r="CS133" s="24"/>
      <c r="CT133" s="24"/>
      <c r="CU133" s="24"/>
      <c r="CV133" s="24"/>
      <c r="CW133" s="24"/>
      <c r="CX133" s="24"/>
      <c r="CY133" s="24"/>
      <c r="CZ133" s="24"/>
      <c r="DA133" s="24"/>
      <c r="DB133" s="24"/>
      <c r="DC133" s="24"/>
      <c r="DD133" s="24"/>
      <c r="DE133" s="24"/>
      <c r="DF133" s="24"/>
      <c r="DG133" s="24"/>
      <c r="DH133" s="24"/>
      <c r="DI133" s="24"/>
      <c r="DJ133" s="24"/>
      <c r="DK133" s="24"/>
      <c r="DL133" s="24"/>
      <c r="DM133" s="24"/>
      <c r="DN133" s="24"/>
      <c r="DO133" s="24"/>
      <c r="DP133" s="24"/>
      <c r="DQ133" s="24"/>
      <c r="DR133" s="24"/>
      <c r="DS133" s="24"/>
      <c r="DT133" s="24"/>
      <c r="DU133" s="24"/>
      <c r="DV133" s="24"/>
      <c r="DW133" s="24"/>
      <c r="DX133" s="24"/>
      <c r="DY133" s="24"/>
      <c r="DZ133" s="24"/>
      <c r="EA133" s="24"/>
      <c r="EB133" s="24"/>
      <c r="EC133" s="24"/>
      <c r="ED133" s="24"/>
      <c r="EE133" s="24"/>
      <c r="EF133" s="24"/>
      <c r="EG133" s="24"/>
      <c r="EH133" s="24"/>
      <c r="EI133" s="24"/>
      <c r="EJ133" s="24"/>
      <c r="EK133" s="24"/>
      <c r="EL133" s="24"/>
      <c r="EM133" s="24"/>
      <c r="EN133" s="24"/>
      <c r="EO133" s="24"/>
      <c r="EP133" s="24"/>
      <c r="EQ133" s="24"/>
      <c r="ER133" s="24"/>
      <c r="ES133" s="24"/>
      <c r="ET133" s="24"/>
      <c r="EU133" s="24"/>
      <c r="EV133" s="24"/>
      <c r="EW133" s="24"/>
      <c r="EX133" s="24"/>
      <c r="EY133" s="24"/>
      <c r="EZ133" s="24"/>
      <c r="FA133" s="24"/>
    </row>
    <row r="134" spans="1:157" s="24" customFormat="1" ht="14.5" hidden="1">
      <c r="A134" s="24" t="s">
        <v>1000</v>
      </c>
      <c r="B134" s="99" t="s">
        <v>1150</v>
      </c>
      <c r="C134" s="273" t="s">
        <v>1151</v>
      </c>
      <c r="D134" s="273"/>
      <c r="E134" s="273" t="s">
        <v>1152</v>
      </c>
      <c r="F134" s="273"/>
      <c r="G134" s="273" t="s">
        <v>1153</v>
      </c>
      <c r="H134" s="273"/>
      <c r="I134" s="273"/>
      <c r="J134" s="273" t="s">
        <v>1154</v>
      </c>
      <c r="K134" s="273"/>
      <c r="L134" s="273"/>
      <c r="M134" s="273" t="s">
        <v>1155</v>
      </c>
      <c r="N134" s="273"/>
      <c r="O134" s="273" t="s">
        <v>1156</v>
      </c>
      <c r="P134" s="273"/>
      <c r="Q134" s="273" t="s">
        <v>1157</v>
      </c>
      <c r="R134" s="273"/>
      <c r="S134" s="273" t="s">
        <v>1158</v>
      </c>
      <c r="T134" s="273"/>
      <c r="U134" s="24"/>
      <c r="V134" s="24"/>
      <c r="W134" s="24"/>
      <c r="X134" s="24"/>
      <c r="Y134" s="24"/>
      <c r="Z134" s="24"/>
      <c r="AA134" s="24"/>
      <c r="AB134" s="24"/>
      <c r="AC134" s="24"/>
      <c r="AD134" s="24">
        <f>ROW()</f>
        <v>134</v>
      </c>
      <c r="AE134" s="24"/>
      <c r="AF134" s="24"/>
      <c r="AG134" s="24"/>
      <c r="AH134" s="24"/>
      <c r="AI134" s="24"/>
      <c r="AJ134" s="24"/>
      <c r="AK134" s="24"/>
      <c r="AL134" s="24"/>
      <c r="AM134" s="24"/>
      <c r="AN134" s="24"/>
      <c r="AO134" s="24"/>
      <c r="AP134" s="24"/>
      <c r="AQ134" s="24"/>
      <c r="AR134" s="24"/>
      <c r="AS134" s="24"/>
      <c r="AT134" s="24"/>
      <c r="AU134" s="24"/>
      <c r="AV134" s="24"/>
      <c r="AW134" s="24"/>
      <c r="AX134" s="24"/>
      <c r="AY134" s="24"/>
      <c r="AZ134" s="24"/>
      <c r="BA134" s="24"/>
      <c r="BB134" s="24"/>
      <c r="BC134" s="24"/>
      <c r="BD134" s="24"/>
      <c r="BE134" s="24"/>
      <c r="BF134" s="24"/>
      <c r="BG134" s="24"/>
      <c r="BH134" s="24"/>
      <c r="BI134" s="24"/>
      <c r="BJ134" s="24"/>
      <c r="BK134" s="24"/>
      <c r="BL134" s="24"/>
      <c r="BM134" s="24"/>
      <c r="BN134" s="24"/>
      <c r="BO134" s="24"/>
      <c r="BP134" s="24"/>
      <c r="BQ134" s="24"/>
      <c r="BR134" s="24"/>
      <c r="BS134" s="24"/>
      <c r="BT134" s="24"/>
      <c r="BU134" s="24"/>
      <c r="BV134" s="24"/>
      <c r="BW134" s="24"/>
      <c r="BX134" s="24"/>
      <c r="BY134" s="24"/>
      <c r="BZ134" s="24"/>
      <c r="CA134" s="24"/>
      <c r="CB134" s="24"/>
      <c r="CC134" s="24"/>
      <c r="CD134" s="24"/>
      <c r="CE134" s="24"/>
      <c r="CF134" s="24"/>
      <c r="CG134" s="24"/>
      <c r="CH134" s="24"/>
      <c r="CI134" s="24"/>
      <c r="CJ134" s="24"/>
      <c r="CK134" s="24"/>
      <c r="CL134" s="24"/>
      <c r="CM134" s="24"/>
      <c r="CN134" s="24"/>
      <c r="CO134" s="24"/>
      <c r="CP134" s="24"/>
      <c r="CQ134" s="24"/>
      <c r="CR134" s="24"/>
      <c r="CS134" s="24"/>
      <c r="CT134" s="24"/>
      <c r="CU134" s="24"/>
      <c r="CV134" s="24"/>
      <c r="CW134" s="24"/>
      <c r="CX134" s="24"/>
      <c r="CY134" s="24"/>
      <c r="CZ134" s="24"/>
      <c r="DA134" s="24"/>
      <c r="DB134" s="24"/>
      <c r="DC134" s="24"/>
      <c r="DD134" s="24"/>
      <c r="DE134" s="24"/>
      <c r="DF134" s="24"/>
      <c r="DG134" s="24"/>
      <c r="DH134" s="24"/>
      <c r="DI134" s="24"/>
      <c r="DJ134" s="24"/>
      <c r="DK134" s="24"/>
      <c r="DL134" s="24"/>
      <c r="DM134" s="24"/>
      <c r="DN134" s="24"/>
      <c r="DO134" s="24"/>
      <c r="DP134" s="24"/>
      <c r="DQ134" s="24"/>
      <c r="DR134" s="24"/>
      <c r="DS134" s="24"/>
      <c r="DT134" s="24"/>
      <c r="DU134" s="24"/>
      <c r="DV134" s="24"/>
      <c r="DW134" s="24"/>
      <c r="DX134" s="24"/>
      <c r="DY134" s="24"/>
      <c r="DZ134" s="24"/>
      <c r="EA134" s="24"/>
      <c r="EB134" s="24"/>
      <c r="EC134" s="24"/>
      <c r="ED134" s="24"/>
      <c r="EE134" s="24"/>
      <c r="EF134" s="24"/>
      <c r="EG134" s="24"/>
      <c r="EH134" s="24"/>
      <c r="EI134" s="24"/>
      <c r="EJ134" s="24"/>
      <c r="EK134" s="24"/>
      <c r="EL134" s="24"/>
      <c r="EM134" s="24"/>
      <c r="EN134" s="24"/>
      <c r="EO134" s="24"/>
      <c r="EP134" s="24"/>
      <c r="EQ134" s="24"/>
      <c r="ER134" s="24"/>
      <c r="ES134" s="24"/>
      <c r="ET134" s="24"/>
      <c r="EU134" s="24"/>
      <c r="EV134" s="24"/>
      <c r="EW134" s="24"/>
      <c r="EX134" s="24"/>
      <c r="EY134" s="24"/>
      <c r="EZ134" s="24"/>
      <c r="FA134" s="24"/>
    </row>
    <row r="135" spans="1:157" s="24" customFormat="1" ht="14.5" hidden="1">
      <c r="A135" s="24" t="s">
        <v>1000</v>
      </c>
      <c r="B135" s="217"/>
      <c r="C135" s="285"/>
      <c r="D135" s="286"/>
      <c r="E135" s="285"/>
      <c r="F135" s="286"/>
      <c r="G135" s="285"/>
      <c r="H135" s="300"/>
      <c r="I135" s="286"/>
      <c r="J135" s="285"/>
      <c r="K135" s="300"/>
      <c r="L135" s="286"/>
      <c r="M135" s="292"/>
      <c r="N135" s="293"/>
      <c r="O135" s="299"/>
      <c r="P135" s="293"/>
      <c r="Q135" s="299"/>
      <c r="R135" s="293"/>
      <c r="S135" s="301"/>
      <c r="T135" s="286"/>
      <c r="U135" s="245"/>
      <c r="V135" s="24"/>
      <c r="W135" s="24"/>
      <c r="X135" s="24"/>
      <c r="Y135" s="24"/>
      <c r="Z135" s="24"/>
      <c r="AA135" s="24"/>
      <c r="AB135" s="24"/>
      <c r="AC135" s="24"/>
      <c r="AD135" s="24">
        <f>ROW()</f>
        <v>135</v>
      </c>
      <c r="AE135" s="24"/>
      <c r="AF135" s="24"/>
      <c r="AG135" s="24"/>
      <c r="AH135" s="24"/>
      <c r="AI135" s="24"/>
      <c r="AJ135" s="24"/>
      <c r="AK135" s="24"/>
      <c r="AL135" s="24"/>
      <c r="AM135" s="24"/>
      <c r="AN135" s="24"/>
      <c r="AO135" s="24"/>
      <c r="AP135" s="24"/>
      <c r="AQ135" s="24"/>
      <c r="AR135" s="24"/>
      <c r="AS135" s="24"/>
      <c r="AT135" s="24"/>
      <c r="AU135" s="24"/>
      <c r="AV135" s="24"/>
      <c r="AW135" s="24"/>
      <c r="AX135" s="24"/>
      <c r="AY135" s="24"/>
      <c r="AZ135" s="24"/>
      <c r="BA135" s="24"/>
      <c r="BB135" s="24"/>
      <c r="BC135" s="24"/>
      <c r="BD135" s="24"/>
      <c r="BE135" s="24"/>
      <c r="BF135" s="24"/>
      <c r="BG135" s="24"/>
      <c r="BH135" s="24"/>
      <c r="BI135" s="24"/>
      <c r="BJ135" s="24"/>
      <c r="BK135" s="24"/>
      <c r="BL135" s="24"/>
      <c r="BM135" s="24"/>
      <c r="BN135" s="24"/>
      <c r="BO135" s="24"/>
      <c r="BP135" s="24"/>
      <c r="BQ135" s="24"/>
      <c r="BR135" s="24"/>
      <c r="BS135" s="24"/>
      <c r="BT135" s="24"/>
      <c r="BU135" s="24"/>
      <c r="BV135" s="24"/>
      <c r="BW135" s="24"/>
      <c r="BX135" s="24"/>
      <c r="BY135" s="24"/>
      <c r="BZ135" s="24"/>
      <c r="CA135" s="24"/>
      <c r="CB135" s="24"/>
      <c r="CC135" s="24"/>
      <c r="CD135" s="24"/>
      <c r="CE135" s="24"/>
      <c r="CF135" s="24"/>
      <c r="CG135" s="24"/>
      <c r="CH135" s="24"/>
      <c r="CI135" s="24"/>
      <c r="CJ135" s="24"/>
      <c r="CK135" s="24"/>
      <c r="CL135" s="24"/>
      <c r="CM135" s="24"/>
      <c r="CN135" s="24"/>
      <c r="CO135" s="24"/>
      <c r="CP135" s="24"/>
      <c r="CQ135" s="24"/>
      <c r="CR135" s="24"/>
      <c r="CS135" s="24"/>
      <c r="CT135" s="24"/>
      <c r="CU135" s="24"/>
      <c r="CV135" s="24"/>
      <c r="CW135" s="24"/>
      <c r="CX135" s="24"/>
      <c r="CY135" s="24"/>
      <c r="CZ135" s="24"/>
      <c r="DA135" s="24"/>
      <c r="DB135" s="24"/>
      <c r="DC135" s="24"/>
      <c r="DD135" s="24"/>
      <c r="DE135" s="24"/>
      <c r="DF135" s="24"/>
      <c r="DG135" s="24"/>
      <c r="DH135" s="24"/>
      <c r="DI135" s="24"/>
      <c r="DJ135" s="24"/>
      <c r="DK135" s="24"/>
      <c r="DL135" s="24"/>
      <c r="DM135" s="24"/>
      <c r="DN135" s="24"/>
      <c r="DO135" s="24"/>
      <c r="DP135" s="24"/>
      <c r="DQ135" s="24"/>
      <c r="DR135" s="24"/>
      <c r="DS135" s="24"/>
      <c r="DT135" s="24"/>
      <c r="DU135" s="24"/>
      <c r="DV135" s="24"/>
      <c r="DW135" s="24"/>
      <c r="DX135" s="24"/>
      <c r="DY135" s="24"/>
      <c r="DZ135" s="24"/>
      <c r="EA135" s="24"/>
      <c r="EB135" s="24"/>
      <c r="EC135" s="24"/>
      <c r="ED135" s="24"/>
      <c r="EE135" s="24"/>
      <c r="EF135" s="24"/>
      <c r="EG135" s="24"/>
      <c r="EH135" s="24"/>
      <c r="EI135" s="24"/>
      <c r="EJ135" s="24"/>
      <c r="EK135" s="24"/>
      <c r="EL135" s="24"/>
      <c r="EM135" s="24"/>
      <c r="EN135" s="24"/>
      <c r="EO135" s="24"/>
      <c r="EP135" s="24"/>
      <c r="EQ135" s="24"/>
      <c r="ER135" s="24"/>
      <c r="ES135" s="24"/>
      <c r="ET135" s="24"/>
      <c r="EU135" s="24"/>
      <c r="EV135" s="24"/>
      <c r="EW135" s="24"/>
      <c r="EX135" s="24"/>
      <c r="EY135" s="24"/>
      <c r="EZ135" s="24"/>
      <c r="FA135" s="24"/>
    </row>
    <row r="136" spans="1:157" s="24" customFormat="1" ht="14.5" hidden="1">
      <c r="A136" s="24" t="s">
        <v>1000</v>
      </c>
      <c r="B136" s="302"/>
      <c r="C136" s="303" t="s">
        <v>1159</v>
      </c>
      <c r="D136" s="303"/>
      <c r="E136" s="303"/>
      <c r="F136" s="303"/>
      <c r="G136" s="303"/>
      <c r="H136" s="303"/>
      <c r="I136" s="303"/>
      <c r="J136" s="303"/>
      <c r="K136" s="303"/>
      <c r="L136" s="303"/>
      <c r="M136" s="232" t="str">
        <f>TEXT(SUMPRODUCT((M135:M135)*1),"0.00")</f>
        <v>0.00</v>
      </c>
      <c r="N136" s="226"/>
      <c r="O136" s="232" t="str">
        <f>TEXT(SUMPRODUCT((O135:O135)*1),"0.00")</f>
        <v>0.00</v>
      </c>
      <c r="P136" s="226"/>
      <c r="Q136" s="232" t="str">
        <f>TEXT(SUMPRODUCT((Q135:Q135)*1),"0.00")</f>
        <v>0.00</v>
      </c>
      <c r="R136" s="226"/>
      <c r="S136" s="304"/>
      <c r="T136" s="305"/>
      <c r="U136" s="24"/>
      <c r="V136" s="24"/>
      <c r="W136" s="24"/>
      <c r="X136" s="24"/>
      <c r="Y136" s="24"/>
      <c r="Z136" s="24"/>
      <c r="AA136" s="24"/>
      <c r="AB136" s="24"/>
      <c r="AC136" s="24"/>
      <c r="AD136" s="24">
        <f>ROW()</f>
        <v>136</v>
      </c>
      <c r="AE136" s="24"/>
      <c r="AF136" s="24"/>
      <c r="AG136" s="24"/>
      <c r="AH136" s="24"/>
      <c r="AI136" s="24"/>
      <c r="AJ136" s="24"/>
      <c r="AK136" s="24"/>
      <c r="AL136" s="24"/>
      <c r="AM136" s="24"/>
      <c r="AN136" s="24"/>
      <c r="AO136" s="24"/>
      <c r="AP136" s="24"/>
      <c r="AQ136" s="24"/>
      <c r="AR136" s="24"/>
      <c r="AS136" s="24"/>
      <c r="AT136" s="24"/>
      <c r="AU136" s="24"/>
      <c r="AV136" s="24"/>
      <c r="AW136" s="24"/>
      <c r="AX136" s="24"/>
      <c r="AY136" s="24"/>
      <c r="AZ136" s="24"/>
      <c r="BA136" s="24"/>
      <c r="BB136" s="24"/>
      <c r="BC136" s="24"/>
      <c r="BD136" s="24"/>
      <c r="BE136" s="24"/>
      <c r="BF136" s="24"/>
      <c r="BG136" s="24"/>
      <c r="BH136" s="24"/>
      <c r="BI136" s="24"/>
      <c r="BJ136" s="24"/>
      <c r="BK136" s="24"/>
      <c r="BL136" s="24"/>
      <c r="BM136" s="24"/>
      <c r="BN136" s="24"/>
      <c r="BO136" s="24"/>
      <c r="BP136" s="24"/>
      <c r="BQ136" s="24"/>
      <c r="BR136" s="24"/>
      <c r="BS136" s="24"/>
      <c r="BT136" s="24"/>
      <c r="BU136" s="24"/>
      <c r="BV136" s="24"/>
      <c r="BW136" s="24"/>
      <c r="BX136" s="24"/>
      <c r="BY136" s="24"/>
      <c r="BZ136" s="24"/>
      <c r="CA136" s="24"/>
      <c r="CB136" s="24"/>
      <c r="CC136" s="24"/>
      <c r="CD136" s="24"/>
      <c r="CE136" s="24"/>
      <c r="CF136" s="24"/>
      <c r="CG136" s="24"/>
      <c r="CH136" s="24"/>
      <c r="CI136" s="24"/>
      <c r="CJ136" s="24"/>
      <c r="CK136" s="24"/>
      <c r="CL136" s="24"/>
      <c r="CM136" s="24"/>
      <c r="CN136" s="24"/>
      <c r="CO136" s="24"/>
      <c r="CP136" s="24"/>
      <c r="CQ136" s="24"/>
      <c r="CR136" s="24"/>
      <c r="CS136" s="24"/>
      <c r="CT136" s="24"/>
      <c r="CU136" s="24"/>
      <c r="CV136" s="24"/>
      <c r="CW136" s="24"/>
      <c r="CX136" s="24"/>
      <c r="CY136" s="24"/>
      <c r="CZ136" s="24"/>
      <c r="DA136" s="24"/>
      <c r="DB136" s="24"/>
      <c r="DC136" s="24"/>
      <c r="DD136" s="24"/>
      <c r="DE136" s="24"/>
      <c r="DF136" s="24"/>
      <c r="DG136" s="24"/>
      <c r="DH136" s="24"/>
      <c r="DI136" s="24"/>
      <c r="DJ136" s="24"/>
      <c r="DK136" s="24"/>
      <c r="DL136" s="24"/>
      <c r="DM136" s="24"/>
      <c r="DN136" s="24"/>
      <c r="DO136" s="24"/>
      <c r="DP136" s="24"/>
      <c r="DQ136" s="24"/>
      <c r="DR136" s="24"/>
      <c r="DS136" s="24"/>
      <c r="DT136" s="24"/>
      <c r="DU136" s="24"/>
      <c r="DV136" s="24"/>
      <c r="DW136" s="24"/>
      <c r="DX136" s="24"/>
      <c r="DY136" s="24"/>
      <c r="DZ136" s="24"/>
      <c r="EA136" s="24"/>
      <c r="EB136" s="24"/>
      <c r="EC136" s="24"/>
      <c r="ED136" s="24"/>
      <c r="EE136" s="24"/>
      <c r="EF136" s="24"/>
      <c r="EG136" s="24"/>
      <c r="EH136" s="24"/>
      <c r="EI136" s="24"/>
      <c r="EJ136" s="24"/>
      <c r="EK136" s="24"/>
      <c r="EL136" s="24"/>
      <c r="EM136" s="24"/>
      <c r="EN136" s="24"/>
      <c r="EO136" s="24"/>
      <c r="EP136" s="24"/>
      <c r="EQ136" s="24"/>
      <c r="ER136" s="24"/>
      <c r="ES136" s="24"/>
      <c r="ET136" s="24"/>
      <c r="EU136" s="24"/>
      <c r="EV136" s="24"/>
      <c r="EW136" s="24"/>
      <c r="EX136" s="24"/>
      <c r="EY136" s="24"/>
      <c r="EZ136" s="24"/>
      <c r="FA136" s="24"/>
    </row>
    <row r="137" spans="1:157" s="24" customFormat="1" ht="26.5" customHeight="1" hidden="1">
      <c r="A137" s="24" t="s">
        <v>1000</v>
      </c>
      <c r="B137" s="133" t="s">
        <v>1160</v>
      </c>
      <c r="C137" s="24"/>
      <c r="D137" s="24"/>
      <c r="E137" s="24"/>
      <c r="F137" s="24"/>
      <c r="G137" s="24"/>
      <c r="H137" s="24"/>
      <c r="I137" s="24"/>
      <c r="J137" s="24"/>
      <c r="K137" s="24"/>
      <c r="L137" s="24"/>
      <c r="M137" s="24"/>
      <c r="N137" s="24"/>
      <c r="O137" s="24"/>
      <c r="P137" s="24"/>
      <c r="Q137" s="24"/>
      <c r="R137" s="24"/>
      <c r="S137" s="107"/>
      <c r="T137" s="107"/>
      <c r="U137" s="24"/>
      <c r="V137" s="24"/>
      <c r="W137" s="24"/>
      <c r="X137" s="24"/>
      <c r="Y137" s="24"/>
      <c r="Z137" s="24"/>
      <c r="AA137" s="24"/>
      <c r="AB137" s="24"/>
      <c r="AC137" s="24"/>
      <c r="AD137" s="24">
        <f>ROW()</f>
        <v>137</v>
      </c>
      <c r="AE137" s="24"/>
      <c r="AF137" s="24"/>
      <c r="AG137" s="24"/>
      <c r="AH137" s="24"/>
      <c r="AI137" s="24"/>
      <c r="AJ137" s="24"/>
      <c r="AK137" s="24"/>
      <c r="AL137" s="24"/>
      <c r="AM137" s="24"/>
      <c r="AN137" s="24"/>
      <c r="AO137" s="24"/>
      <c r="AP137" s="24"/>
      <c r="AQ137" s="24"/>
      <c r="AR137" s="24"/>
      <c r="AS137" s="24"/>
      <c r="AT137" s="24"/>
      <c r="AU137" s="24"/>
      <c r="AV137" s="24"/>
      <c r="AW137" s="24"/>
      <c r="AX137" s="24"/>
      <c r="AY137" s="24"/>
      <c r="AZ137" s="24"/>
      <c r="BA137" s="24"/>
      <c r="BB137" s="24"/>
      <c r="BC137" s="24"/>
      <c r="BD137" s="24"/>
      <c r="BE137" s="24"/>
      <c r="BF137" s="24"/>
      <c r="BG137" s="24"/>
      <c r="BH137" s="24"/>
      <c r="BI137" s="24"/>
      <c r="BJ137" s="24"/>
      <c r="BK137" s="24"/>
      <c r="BL137" s="24"/>
      <c r="BM137" s="24"/>
      <c r="BN137" s="24"/>
      <c r="BO137" s="24"/>
      <c r="BP137" s="24"/>
      <c r="BQ137" s="24"/>
      <c r="BR137" s="24"/>
      <c r="BS137" s="24"/>
      <c r="BT137" s="24"/>
      <c r="BU137" s="24"/>
      <c r="BV137" s="24"/>
      <c r="BW137" s="24"/>
      <c r="BX137" s="24"/>
      <c r="BY137" s="24"/>
      <c r="BZ137" s="24"/>
      <c r="CA137" s="24"/>
      <c r="CB137" s="24"/>
      <c r="CC137" s="24"/>
      <c r="CD137" s="24"/>
      <c r="CE137" s="24"/>
      <c r="CF137" s="24"/>
      <c r="CG137" s="24"/>
      <c r="CH137" s="24"/>
      <c r="CI137" s="24"/>
      <c r="CJ137" s="24"/>
      <c r="CK137" s="24"/>
      <c r="CL137" s="24"/>
      <c r="CM137" s="24"/>
      <c r="CN137" s="24"/>
      <c r="CO137" s="24"/>
      <c r="CP137" s="24"/>
      <c r="CQ137" s="24"/>
      <c r="CR137" s="24"/>
      <c r="CS137" s="24"/>
      <c r="CT137" s="24"/>
      <c r="CU137" s="24"/>
      <c r="CV137" s="24"/>
      <c r="CW137" s="24"/>
      <c r="CX137" s="24"/>
      <c r="CY137" s="24"/>
      <c r="CZ137" s="24"/>
      <c r="DA137" s="24"/>
      <c r="DB137" s="24"/>
      <c r="DC137" s="24"/>
      <c r="DD137" s="24"/>
      <c r="DE137" s="24"/>
      <c r="DF137" s="24"/>
      <c r="DG137" s="24"/>
      <c r="DH137" s="24"/>
      <c r="DI137" s="24"/>
      <c r="DJ137" s="24"/>
      <c r="DK137" s="24"/>
      <c r="DL137" s="24"/>
      <c r="DM137" s="24"/>
      <c r="DN137" s="24"/>
      <c r="DO137" s="24"/>
      <c r="DP137" s="24"/>
      <c r="DQ137" s="24"/>
      <c r="DR137" s="24"/>
      <c r="DS137" s="24"/>
      <c r="DT137" s="24"/>
      <c r="DU137" s="24"/>
      <c r="DV137" s="24"/>
      <c r="DW137" s="24"/>
      <c r="DX137" s="24"/>
      <c r="DY137" s="24"/>
      <c r="DZ137" s="24"/>
      <c r="EA137" s="24"/>
      <c r="EB137" s="24"/>
      <c r="EC137" s="24"/>
      <c r="ED137" s="24"/>
      <c r="EE137" s="24"/>
      <c r="EF137" s="24"/>
      <c r="EG137" s="24"/>
      <c r="EH137" s="24"/>
      <c r="EI137" s="24"/>
      <c r="EJ137" s="24"/>
      <c r="EK137" s="24"/>
      <c r="EL137" s="24"/>
      <c r="EM137" s="24"/>
      <c r="EN137" s="24"/>
      <c r="EO137" s="24"/>
      <c r="EP137" s="24"/>
      <c r="EQ137" s="24"/>
      <c r="ER137" s="24"/>
      <c r="ES137" s="24"/>
      <c r="ET137" s="24"/>
      <c r="EU137" s="24"/>
      <c r="EV137" s="24"/>
      <c r="EW137" s="24"/>
      <c r="EX137" s="24"/>
      <c r="EY137" s="24"/>
      <c r="EZ137" s="24"/>
      <c r="FA137" s="24"/>
    </row>
    <row r="138" spans="1:157" s="24" customFormat="1" ht="32.5" customHeight="1" hidden="1">
      <c r="A138" s="24" t="s">
        <v>1000</v>
      </c>
      <c r="B138" s="282"/>
      <c r="C138" s="283"/>
      <c r="D138" s="283"/>
      <c r="E138" s="283"/>
      <c r="F138" s="283"/>
      <c r="G138" s="283"/>
      <c r="H138" s="283"/>
      <c r="I138" s="283"/>
      <c r="J138" s="283"/>
      <c r="K138" s="283"/>
      <c r="L138" s="283"/>
      <c r="M138" s="283"/>
      <c r="N138" s="283"/>
      <c r="O138" s="283"/>
      <c r="P138" s="278"/>
      <c r="Q138" s="24"/>
      <c r="R138" s="24"/>
      <c r="S138" s="24"/>
      <c r="T138" s="24"/>
      <c r="U138" s="24"/>
      <c r="V138" s="24"/>
      <c r="W138" s="24"/>
      <c r="X138" s="24"/>
      <c r="Y138" s="24"/>
      <c r="Z138" s="24"/>
      <c r="AA138" s="24"/>
      <c r="AB138" s="24"/>
      <c r="AC138" s="24"/>
      <c r="AD138" s="24">
        <f>ROW()</f>
        <v>138</v>
      </c>
      <c r="AE138" s="24"/>
      <c r="AF138" s="24"/>
      <c r="AG138" s="24"/>
      <c r="AH138" s="24"/>
      <c r="AI138" s="24"/>
      <c r="AJ138" s="24"/>
      <c r="AK138" s="24"/>
      <c r="AL138" s="24"/>
      <c r="AM138" s="24"/>
      <c r="AN138" s="24"/>
      <c r="AO138" s="24"/>
      <c r="AP138" s="24"/>
      <c r="AQ138" s="24"/>
      <c r="AR138" s="24"/>
      <c r="AS138" s="24"/>
      <c r="AT138" s="24"/>
      <c r="AU138" s="24"/>
      <c r="AV138" s="24"/>
      <c r="AW138" s="24"/>
      <c r="AX138" s="24"/>
      <c r="AY138" s="24"/>
      <c r="AZ138" s="24"/>
      <c r="BA138" s="24"/>
      <c r="BB138" s="24"/>
      <c r="BC138" s="24"/>
      <c r="BD138" s="24"/>
      <c r="BE138" s="24"/>
      <c r="BF138" s="24"/>
      <c r="BG138" s="24"/>
      <c r="BH138" s="24"/>
      <c r="BI138" s="24"/>
      <c r="BJ138" s="24"/>
      <c r="BK138" s="24"/>
      <c r="BL138" s="24"/>
      <c r="BM138" s="24"/>
      <c r="BN138" s="24"/>
      <c r="BO138" s="24"/>
      <c r="BP138" s="24"/>
      <c r="BQ138" s="24"/>
      <c r="BR138" s="24"/>
      <c r="BS138" s="24"/>
      <c r="BT138" s="24"/>
      <c r="BU138" s="24"/>
      <c r="BV138" s="24"/>
      <c r="BW138" s="24"/>
      <c r="BX138" s="24"/>
      <c r="BY138" s="24"/>
      <c r="BZ138" s="24"/>
      <c r="CA138" s="24"/>
      <c r="CB138" s="24"/>
      <c r="CC138" s="24"/>
      <c r="CD138" s="24"/>
      <c r="CE138" s="24"/>
      <c r="CF138" s="24"/>
      <c r="CG138" s="24"/>
      <c r="CH138" s="24"/>
      <c r="CI138" s="24"/>
      <c r="CJ138" s="24"/>
      <c r="CK138" s="24"/>
      <c r="CL138" s="24"/>
      <c r="CM138" s="24"/>
      <c r="CN138" s="24"/>
      <c r="CO138" s="24"/>
      <c r="CP138" s="24"/>
      <c r="CQ138" s="24"/>
      <c r="CR138" s="24"/>
      <c r="CS138" s="24"/>
      <c r="CT138" s="24"/>
      <c r="CU138" s="24"/>
      <c r="CV138" s="24"/>
      <c r="CW138" s="24"/>
      <c r="CX138" s="24"/>
      <c r="CY138" s="24"/>
      <c r="CZ138" s="24"/>
      <c r="DA138" s="24"/>
      <c r="DB138" s="24"/>
      <c r="DC138" s="24"/>
      <c r="DD138" s="24"/>
      <c r="DE138" s="24"/>
      <c r="DF138" s="24"/>
      <c r="DG138" s="24"/>
      <c r="DH138" s="24"/>
      <c r="DI138" s="24"/>
      <c r="DJ138" s="24"/>
      <c r="DK138" s="24"/>
      <c r="DL138" s="24"/>
      <c r="DM138" s="24"/>
      <c r="DN138" s="24"/>
      <c r="DO138" s="24"/>
      <c r="DP138" s="24"/>
      <c r="DQ138" s="24"/>
      <c r="DR138" s="24"/>
      <c r="DS138" s="24"/>
      <c r="DT138" s="24"/>
      <c r="DU138" s="24"/>
      <c r="DV138" s="24"/>
      <c r="DW138" s="24"/>
      <c r="DX138" s="24"/>
      <c r="DY138" s="24"/>
      <c r="DZ138" s="24"/>
      <c r="EA138" s="24"/>
      <c r="EB138" s="24"/>
      <c r="EC138" s="24"/>
      <c r="ED138" s="24"/>
      <c r="EE138" s="24"/>
      <c r="EF138" s="24"/>
      <c r="EG138" s="24"/>
      <c r="EH138" s="24"/>
      <c r="EI138" s="24"/>
      <c r="EJ138" s="24"/>
      <c r="EK138" s="24"/>
      <c r="EL138" s="24"/>
      <c r="EM138" s="24"/>
      <c r="EN138" s="24"/>
      <c r="EO138" s="24"/>
      <c r="EP138" s="24"/>
      <c r="EQ138" s="24"/>
      <c r="ER138" s="24"/>
      <c r="ES138" s="24"/>
      <c r="ET138" s="24"/>
      <c r="EU138" s="24"/>
      <c r="EV138" s="24"/>
      <c r="EW138" s="24"/>
      <c r="EX138" s="24"/>
      <c r="EY138" s="24"/>
      <c r="EZ138" s="24"/>
      <c r="FA138" s="24"/>
    </row>
    <row r="139" spans="1:157" s="24" customFormat="1" ht="14.5" hidden="1">
      <c r="A139" s="24" t="s">
        <v>1000</v>
      </c>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f>ROW()</f>
        <v>139</v>
      </c>
      <c r="AE139" s="24"/>
      <c r="AF139" s="24"/>
      <c r="AG139" s="24"/>
      <c r="AH139" s="24"/>
      <c r="AI139" s="24"/>
      <c r="AJ139" s="24"/>
      <c r="AK139" s="24"/>
      <c r="AL139" s="24"/>
      <c r="AM139" s="24"/>
      <c r="AN139" s="24"/>
      <c r="AO139" s="24"/>
      <c r="AP139" s="24"/>
      <c r="AQ139" s="24"/>
      <c r="AR139" s="24"/>
      <c r="AS139" s="24"/>
      <c r="AT139" s="24"/>
      <c r="AU139" s="24"/>
      <c r="AV139" s="24"/>
      <c r="AW139" s="24"/>
      <c r="AX139" s="24"/>
      <c r="AY139" s="24"/>
      <c r="AZ139" s="24"/>
      <c r="BA139" s="24"/>
      <c r="BB139" s="24"/>
      <c r="BC139" s="24"/>
      <c r="BD139" s="24"/>
      <c r="BE139" s="24"/>
      <c r="BF139" s="24"/>
      <c r="BG139" s="24"/>
      <c r="BH139" s="24"/>
      <c r="BI139" s="24"/>
      <c r="BJ139" s="24"/>
      <c r="BK139" s="24"/>
      <c r="BL139" s="24"/>
      <c r="BM139" s="24"/>
      <c r="BN139" s="24"/>
      <c r="BO139" s="24"/>
      <c r="BP139" s="24"/>
      <c r="BQ139" s="24"/>
      <c r="BR139" s="24"/>
      <c r="BS139" s="24"/>
      <c r="BT139" s="24"/>
      <c r="BU139" s="24"/>
      <c r="BV139" s="24"/>
      <c r="BW139" s="24"/>
      <c r="BX139" s="24"/>
      <c r="BY139" s="24"/>
      <c r="BZ139" s="24"/>
      <c r="CA139" s="24"/>
      <c r="CB139" s="24"/>
      <c r="CC139" s="24"/>
      <c r="CD139" s="24"/>
      <c r="CE139" s="24"/>
      <c r="CF139" s="24"/>
      <c r="CG139" s="24"/>
      <c r="CH139" s="24"/>
      <c r="CI139" s="24"/>
      <c r="CJ139" s="24"/>
      <c r="CK139" s="24"/>
      <c r="CL139" s="24"/>
      <c r="CM139" s="24"/>
      <c r="CN139" s="24"/>
      <c r="CO139" s="24"/>
      <c r="CP139" s="24"/>
      <c r="CQ139" s="24"/>
      <c r="CR139" s="24"/>
      <c r="CS139" s="24"/>
      <c r="CT139" s="24"/>
      <c r="CU139" s="24"/>
      <c r="CV139" s="24"/>
      <c r="CW139" s="24"/>
      <c r="CX139" s="24"/>
      <c r="CY139" s="24"/>
      <c r="CZ139" s="24"/>
      <c r="DA139" s="24"/>
      <c r="DB139" s="24"/>
      <c r="DC139" s="24"/>
      <c r="DD139" s="24"/>
      <c r="DE139" s="24"/>
      <c r="DF139" s="24"/>
      <c r="DG139" s="24"/>
      <c r="DH139" s="24"/>
      <c r="DI139" s="24"/>
      <c r="DJ139" s="24"/>
      <c r="DK139" s="24"/>
      <c r="DL139" s="24"/>
      <c r="DM139" s="24"/>
      <c r="DN139" s="24"/>
      <c r="DO139" s="24"/>
      <c r="DP139" s="24"/>
      <c r="DQ139" s="24"/>
      <c r="DR139" s="24"/>
      <c r="DS139" s="24"/>
      <c r="DT139" s="24"/>
      <c r="DU139" s="24"/>
      <c r="DV139" s="24"/>
      <c r="DW139" s="24"/>
      <c r="DX139" s="24"/>
      <c r="DY139" s="24"/>
      <c r="DZ139" s="24"/>
      <c r="EA139" s="24"/>
      <c r="EB139" s="24"/>
      <c r="EC139" s="24"/>
      <c r="ED139" s="24"/>
      <c r="EE139" s="24"/>
      <c r="EF139" s="24"/>
      <c r="EG139" s="24"/>
      <c r="EH139" s="24"/>
      <c r="EI139" s="24"/>
      <c r="EJ139" s="24"/>
      <c r="EK139" s="24"/>
      <c r="EL139" s="24"/>
      <c r="EM139" s="24"/>
      <c r="EN139" s="24"/>
      <c r="EO139" s="24"/>
      <c r="EP139" s="24"/>
      <c r="EQ139" s="24"/>
      <c r="ER139" s="24"/>
      <c r="ES139" s="24"/>
      <c r="ET139" s="24"/>
      <c r="EU139" s="24"/>
      <c r="EV139" s="24"/>
      <c r="EW139" s="24"/>
      <c r="EX139" s="24"/>
      <c r="EY139" s="24"/>
      <c r="EZ139" s="24"/>
      <c r="FA139" s="24"/>
    </row>
    <row r="140" spans="1:157" s="24" customFormat="1" ht="14.5" customHeight="1" hidden="1">
      <c r="A140" s="24" t="s">
        <v>1000</v>
      </c>
      <c r="B140" s="31" t="s">
        <v>1161</v>
      </c>
      <c r="C140" s="31"/>
      <c r="D140" s="31"/>
      <c r="E140" s="31"/>
      <c r="F140" s="31"/>
      <c r="G140" s="31"/>
      <c r="H140" s="31"/>
      <c r="I140" s="31"/>
      <c r="J140" s="31"/>
      <c r="K140" s="31"/>
      <c r="L140" s="301"/>
      <c r="M140" s="306"/>
      <c r="N140" s="306"/>
      <c r="O140" s="306"/>
      <c r="P140" s="286"/>
      <c r="Q140" s="24"/>
      <c r="R140" s="24"/>
      <c r="S140" s="24"/>
      <c r="T140" s="24"/>
      <c r="U140" s="24"/>
      <c r="V140" s="24"/>
      <c r="W140" s="24"/>
      <c r="X140" s="24"/>
      <c r="Y140" s="24"/>
      <c r="Z140" s="24"/>
      <c r="AA140" s="24"/>
      <c r="AB140" s="24"/>
      <c r="AC140" s="24"/>
      <c r="AD140" s="24">
        <f>ROW()</f>
        <v>140</v>
      </c>
      <c r="AE140" s="24"/>
      <c r="AF140" s="24"/>
      <c r="AG140" s="24"/>
      <c r="AH140" s="24"/>
      <c r="AI140" s="24"/>
      <c r="AJ140" s="24"/>
      <c r="AK140" s="24"/>
      <c r="AL140" s="24"/>
      <c r="AM140" s="24"/>
      <c r="AN140" s="24"/>
      <c r="AO140" s="24"/>
      <c r="AP140" s="24"/>
      <c r="AQ140" s="24"/>
      <c r="AR140" s="24"/>
      <c r="AS140" s="24"/>
      <c r="AT140" s="24"/>
      <c r="AU140" s="24"/>
      <c r="AV140" s="24"/>
      <c r="AW140" s="24"/>
      <c r="AX140" s="24"/>
      <c r="AY140" s="24"/>
      <c r="AZ140" s="24"/>
      <c r="BA140" s="24"/>
      <c r="BB140" s="24"/>
      <c r="BC140" s="24"/>
      <c r="BD140" s="24"/>
      <c r="BE140" s="24"/>
      <c r="BF140" s="24"/>
      <c r="BG140" s="24"/>
      <c r="BH140" s="24"/>
      <c r="BI140" s="24"/>
      <c r="BJ140" s="24"/>
      <c r="BK140" s="24"/>
      <c r="BL140" s="24"/>
      <c r="BM140" s="24"/>
      <c r="BN140" s="24"/>
      <c r="BO140" s="24"/>
      <c r="BP140" s="24"/>
      <c r="BQ140" s="24"/>
      <c r="BR140" s="24"/>
      <c r="BS140" s="24"/>
      <c r="BT140" s="24"/>
      <c r="BU140" s="24"/>
      <c r="BV140" s="24"/>
      <c r="BW140" s="24"/>
      <c r="BX140" s="24"/>
      <c r="BY140" s="24"/>
      <c r="BZ140" s="24"/>
      <c r="CA140" s="24"/>
      <c r="CB140" s="24"/>
      <c r="CC140" s="24"/>
      <c r="CD140" s="24"/>
      <c r="CE140" s="24"/>
      <c r="CF140" s="24"/>
      <c r="CG140" s="24"/>
      <c r="CH140" s="24"/>
      <c r="CI140" s="24"/>
      <c r="CJ140" s="24"/>
      <c r="CK140" s="24"/>
      <c r="CL140" s="24"/>
      <c r="CM140" s="24"/>
      <c r="CN140" s="24"/>
      <c r="CO140" s="24"/>
      <c r="CP140" s="24"/>
      <c r="CQ140" s="24"/>
      <c r="CR140" s="24"/>
      <c r="CS140" s="24"/>
      <c r="CT140" s="24"/>
      <c r="CU140" s="24"/>
      <c r="CV140" s="24"/>
      <c r="CW140" s="24"/>
      <c r="CX140" s="24"/>
      <c r="CY140" s="24"/>
      <c r="CZ140" s="24"/>
      <c r="DA140" s="24"/>
      <c r="DB140" s="24"/>
      <c r="DC140" s="24"/>
      <c r="DD140" s="24"/>
      <c r="DE140" s="24"/>
      <c r="DF140" s="24"/>
      <c r="DG140" s="24"/>
      <c r="DH140" s="24"/>
      <c r="DI140" s="24"/>
      <c r="DJ140" s="24"/>
      <c r="DK140" s="24"/>
      <c r="DL140" s="24"/>
      <c r="DM140" s="24"/>
      <c r="DN140" s="24"/>
      <c r="DO140" s="24"/>
      <c r="DP140" s="24"/>
      <c r="DQ140" s="24"/>
      <c r="DR140" s="24"/>
      <c r="DS140" s="24"/>
      <c r="DT140" s="24"/>
      <c r="DU140" s="24"/>
      <c r="DV140" s="24"/>
      <c r="DW140" s="24"/>
      <c r="DX140" s="24"/>
      <c r="DY140" s="24"/>
      <c r="DZ140" s="24"/>
      <c r="EA140" s="24"/>
      <c r="EB140" s="24"/>
      <c r="EC140" s="24"/>
      <c r="ED140" s="24"/>
      <c r="EE140" s="24"/>
      <c r="EF140" s="24"/>
      <c r="EG140" s="24"/>
      <c r="EH140" s="24"/>
      <c r="EI140" s="24"/>
      <c r="EJ140" s="24"/>
      <c r="EK140" s="24"/>
      <c r="EL140" s="24"/>
      <c r="EM140" s="24"/>
      <c r="EN140" s="24"/>
      <c r="EO140" s="24"/>
      <c r="EP140" s="24"/>
      <c r="EQ140" s="24"/>
      <c r="ER140" s="24"/>
      <c r="ES140" s="24"/>
      <c r="ET140" s="24"/>
      <c r="EU140" s="24"/>
      <c r="EV140" s="24"/>
      <c r="EW140" s="24"/>
      <c r="EX140" s="24"/>
      <c r="EY140" s="24"/>
      <c r="EZ140" s="24"/>
      <c r="FA140" s="24"/>
    </row>
    <row r="141" spans="1:157" s="24" customFormat="1" ht="14.5" hidden="1">
      <c r="A141" s="24" t="s">
        <v>1000</v>
      </c>
      <c r="B141" s="31"/>
      <c r="C141" s="31"/>
      <c r="D141" s="31"/>
      <c r="E141" s="31"/>
      <c r="F141" s="31"/>
      <c r="G141" s="31"/>
      <c r="H141" s="31"/>
      <c r="I141" s="31"/>
      <c r="J141" s="31"/>
      <c r="K141" s="31"/>
      <c r="L141" s="109"/>
      <c r="M141" s="24"/>
      <c r="N141" s="24"/>
      <c r="O141" s="24"/>
      <c r="P141" s="24"/>
      <c r="Q141" s="24"/>
      <c r="R141" s="24"/>
      <c r="S141" s="24"/>
      <c r="T141" s="24"/>
      <c r="U141" s="24"/>
      <c r="V141" s="24"/>
      <c r="W141" s="24"/>
      <c r="X141" s="24"/>
      <c r="Y141" s="24"/>
      <c r="Z141" s="24"/>
      <c r="AA141" s="24"/>
      <c r="AB141" s="24"/>
      <c r="AC141" s="24"/>
      <c r="AD141" s="24">
        <f>ROW()</f>
        <v>141</v>
      </c>
      <c r="AE141" s="24"/>
      <c r="AF141" s="24"/>
      <c r="AG141" s="24"/>
      <c r="AH141" s="24"/>
      <c r="AI141" s="24"/>
      <c r="AJ141" s="24"/>
      <c r="AK141" s="24"/>
      <c r="AL141" s="24"/>
      <c r="AM141" s="24"/>
      <c r="AN141" s="24"/>
      <c r="AO141" s="24"/>
      <c r="AP141" s="24"/>
      <c r="AQ141" s="24"/>
      <c r="AR141" s="24"/>
      <c r="AS141" s="24"/>
      <c r="AT141" s="24"/>
      <c r="AU141" s="24"/>
      <c r="AV141" s="24"/>
      <c r="AW141" s="24"/>
      <c r="AX141" s="24"/>
      <c r="AY141" s="24"/>
      <c r="AZ141" s="24"/>
      <c r="BA141" s="24"/>
      <c r="BB141" s="24"/>
      <c r="BC141" s="24"/>
      <c r="BD141" s="24"/>
      <c r="BE141" s="24"/>
      <c r="BF141" s="24"/>
      <c r="BG141" s="24"/>
      <c r="BH141" s="24"/>
      <c r="BI141" s="24"/>
      <c r="BJ141" s="24"/>
      <c r="BK141" s="24"/>
      <c r="BL141" s="24"/>
      <c r="BM141" s="24"/>
      <c r="BN141" s="24"/>
      <c r="BO141" s="24"/>
      <c r="BP141" s="24"/>
      <c r="BQ141" s="24"/>
      <c r="BR141" s="24"/>
      <c r="BS141" s="24"/>
      <c r="BT141" s="24"/>
      <c r="BU141" s="24"/>
      <c r="BV141" s="24"/>
      <c r="BW141" s="24"/>
      <c r="BX141" s="24"/>
      <c r="BY141" s="24"/>
      <c r="BZ141" s="24"/>
      <c r="CA141" s="24"/>
      <c r="CB141" s="24"/>
      <c r="CC141" s="24"/>
      <c r="CD141" s="24"/>
      <c r="CE141" s="24"/>
      <c r="CF141" s="24"/>
      <c r="CG141" s="24"/>
      <c r="CH141" s="24"/>
      <c r="CI141" s="24"/>
      <c r="CJ141" s="24"/>
      <c r="CK141" s="24"/>
      <c r="CL141" s="24"/>
      <c r="CM141" s="24"/>
      <c r="CN141" s="24"/>
      <c r="CO141" s="24"/>
      <c r="CP141" s="24"/>
      <c r="CQ141" s="24"/>
      <c r="CR141" s="24"/>
      <c r="CS141" s="24"/>
      <c r="CT141" s="24"/>
      <c r="CU141" s="24"/>
      <c r="CV141" s="24"/>
      <c r="CW141" s="24"/>
      <c r="CX141" s="24"/>
      <c r="CY141" s="24"/>
      <c r="CZ141" s="24"/>
      <c r="DA141" s="24"/>
      <c r="DB141" s="24"/>
      <c r="DC141" s="24"/>
      <c r="DD141" s="24"/>
      <c r="DE141" s="24"/>
      <c r="DF141" s="24"/>
      <c r="DG141" s="24"/>
      <c r="DH141" s="24"/>
      <c r="DI141" s="24"/>
      <c r="DJ141" s="24"/>
      <c r="DK141" s="24"/>
      <c r="DL141" s="24"/>
      <c r="DM141" s="24"/>
      <c r="DN141" s="24"/>
      <c r="DO141" s="24"/>
      <c r="DP141" s="24"/>
      <c r="DQ141" s="24"/>
      <c r="DR141" s="24"/>
      <c r="DS141" s="24"/>
      <c r="DT141" s="24"/>
      <c r="DU141" s="24"/>
      <c r="DV141" s="24"/>
      <c r="DW141" s="24"/>
      <c r="DX141" s="24"/>
      <c r="DY141" s="24"/>
      <c r="DZ141" s="24"/>
      <c r="EA141" s="24"/>
      <c r="EB141" s="24"/>
      <c r="EC141" s="24"/>
      <c r="ED141" s="24"/>
      <c r="EE141" s="24"/>
      <c r="EF141" s="24"/>
      <c r="EG141" s="24"/>
      <c r="EH141" s="24"/>
      <c r="EI141" s="24"/>
      <c r="EJ141" s="24"/>
      <c r="EK141" s="24"/>
      <c r="EL141" s="24"/>
      <c r="EM141" s="24"/>
      <c r="EN141" s="24"/>
      <c r="EO141" s="24"/>
      <c r="EP141" s="24"/>
      <c r="EQ141" s="24"/>
      <c r="ER141" s="24"/>
      <c r="ES141" s="24"/>
      <c r="ET141" s="24"/>
      <c r="EU141" s="24"/>
      <c r="EV141" s="24"/>
      <c r="EW141" s="24"/>
      <c r="EX141" s="24"/>
      <c r="EY141" s="24"/>
      <c r="EZ141" s="24"/>
      <c r="FA141" s="24"/>
    </row>
    <row r="142" spans="1:157" s="24" customFormat="1" ht="18.65" customHeight="1" hidden="1">
      <c r="A142" s="24" t="s">
        <v>1000</v>
      </c>
      <c r="B142" s="31"/>
      <c r="C142" s="31"/>
      <c r="D142" s="31"/>
      <c r="E142" s="31"/>
      <c r="F142" s="31"/>
      <c r="G142" s="31"/>
      <c r="H142" s="31"/>
      <c r="I142" s="31"/>
      <c r="J142" s="31"/>
      <c r="K142" s="31"/>
      <c r="L142" s="109"/>
      <c r="M142" s="24"/>
      <c r="N142" s="24"/>
      <c r="O142" s="24"/>
      <c r="P142" s="24"/>
      <c r="Q142" s="24"/>
      <c r="R142" s="24"/>
      <c r="S142" s="24"/>
      <c r="T142" s="24"/>
      <c r="U142" s="24"/>
      <c r="V142" s="24"/>
      <c r="W142" s="24"/>
      <c r="X142" s="24"/>
      <c r="Y142" s="24"/>
      <c r="Z142" s="24"/>
      <c r="AA142" s="24"/>
      <c r="AB142" s="24"/>
      <c r="AC142" s="24"/>
      <c r="AD142" s="24">
        <f>ROW()</f>
        <v>142</v>
      </c>
      <c r="AE142" s="24"/>
      <c r="AF142" s="24"/>
      <c r="AG142" s="24"/>
      <c r="AH142" s="24"/>
      <c r="AI142" s="24"/>
      <c r="AJ142" s="24"/>
      <c r="AK142" s="24"/>
      <c r="AL142" s="24"/>
      <c r="AM142" s="24"/>
      <c r="AN142" s="24"/>
      <c r="AO142" s="24"/>
      <c r="AP142" s="24"/>
      <c r="AQ142" s="24"/>
      <c r="AR142" s="24"/>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4"/>
      <c r="CK142" s="24"/>
      <c r="CL142" s="24"/>
      <c r="CM142" s="24"/>
      <c r="CN142" s="24"/>
      <c r="CO142" s="24"/>
      <c r="CP142" s="24"/>
      <c r="CQ142" s="24"/>
      <c r="CR142" s="24"/>
      <c r="CS142" s="24"/>
      <c r="CT142" s="24"/>
      <c r="CU142" s="24"/>
      <c r="CV142" s="24"/>
      <c r="CW142" s="24"/>
      <c r="CX142" s="24"/>
      <c r="CY142" s="24"/>
      <c r="CZ142" s="24"/>
      <c r="DA142" s="24"/>
      <c r="DB142" s="24"/>
      <c r="DC142" s="24"/>
      <c r="DD142" s="24"/>
      <c r="DE142" s="24"/>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c r="EN142" s="24"/>
      <c r="EO142" s="24"/>
      <c r="EP142" s="24"/>
      <c r="EQ142" s="24"/>
      <c r="ER142" s="24"/>
      <c r="ES142" s="24"/>
      <c r="ET142" s="24"/>
      <c r="EU142" s="24"/>
      <c r="EV142" s="24"/>
      <c r="EW142" s="24"/>
      <c r="EX142" s="24"/>
      <c r="EY142" s="24"/>
      <c r="EZ142" s="24"/>
      <c r="FA142" s="24"/>
    </row>
    <row r="143" spans="1:157" s="24" customFormat="1" ht="14.5" hidden="1">
      <c r="A143" s="24" t="s">
        <v>1000</v>
      </c>
      <c r="B143" s="31"/>
      <c r="C143" s="31"/>
      <c r="D143" s="31"/>
      <c r="E143" s="31"/>
      <c r="F143" s="31"/>
      <c r="G143" s="31"/>
      <c r="H143" s="31"/>
      <c r="I143" s="31"/>
      <c r="J143" s="31"/>
      <c r="K143" s="31"/>
      <c r="L143" s="109"/>
      <c r="M143" s="24"/>
      <c r="N143" s="24"/>
      <c r="O143" s="24"/>
      <c r="P143" s="24"/>
      <c r="Q143" s="24"/>
      <c r="R143" s="24"/>
      <c r="S143" s="24"/>
      <c r="T143" s="24"/>
      <c r="U143" s="24"/>
      <c r="V143" s="24"/>
      <c r="W143" s="24"/>
      <c r="X143" s="24"/>
      <c r="Y143" s="24"/>
      <c r="Z143" s="24"/>
      <c r="AA143" s="24"/>
      <c r="AB143" s="24"/>
      <c r="AC143" s="24"/>
      <c r="AD143" s="24">
        <f>ROW()</f>
        <v>143</v>
      </c>
      <c r="AE143" s="24"/>
      <c r="AF143" s="24"/>
      <c r="AG143" s="24"/>
      <c r="AH143" s="24"/>
      <c r="AI143" s="24"/>
      <c r="AJ143" s="24"/>
      <c r="AK143" s="24"/>
      <c r="AL143" s="24"/>
      <c r="AM143" s="24"/>
      <c r="AN143" s="24"/>
      <c r="AO143" s="24"/>
      <c r="AP143" s="24"/>
      <c r="AQ143" s="24"/>
      <c r="AR143" s="24"/>
      <c r="AS143" s="24"/>
      <c r="AT143" s="24"/>
      <c r="AU143" s="24"/>
      <c r="AV143" s="24"/>
      <c r="AW143" s="24"/>
      <c r="AX143" s="24"/>
      <c r="AY143" s="24"/>
      <c r="AZ143" s="24"/>
      <c r="BA143" s="24"/>
      <c r="BB143" s="24"/>
      <c r="BC143" s="24"/>
      <c r="BD143" s="24"/>
      <c r="BE143" s="24"/>
      <c r="BF143" s="24"/>
      <c r="BG143" s="24"/>
      <c r="BH143" s="24"/>
      <c r="BI143" s="24"/>
      <c r="BJ143" s="24"/>
      <c r="BK143" s="24"/>
      <c r="BL143" s="24"/>
      <c r="BM143" s="24"/>
      <c r="BN143" s="24"/>
      <c r="BO143" s="24"/>
      <c r="BP143" s="24"/>
      <c r="BQ143" s="24"/>
      <c r="BR143" s="24"/>
      <c r="BS143" s="24"/>
      <c r="BT143" s="24"/>
      <c r="BU143" s="24"/>
      <c r="BV143" s="24"/>
      <c r="BW143" s="24"/>
      <c r="BX143" s="24"/>
      <c r="BY143" s="24"/>
      <c r="BZ143" s="24"/>
      <c r="CA143" s="24"/>
      <c r="CB143" s="24"/>
      <c r="CC143" s="24"/>
      <c r="CD143" s="24"/>
      <c r="CE143" s="24"/>
      <c r="CF143" s="24"/>
      <c r="CG143" s="24"/>
      <c r="CH143" s="24"/>
      <c r="CI143" s="24"/>
      <c r="CJ143" s="24"/>
      <c r="CK143" s="24"/>
      <c r="CL143" s="24"/>
      <c r="CM143" s="24"/>
      <c r="CN143" s="24"/>
      <c r="CO143" s="24"/>
      <c r="CP143" s="24"/>
      <c r="CQ143" s="24"/>
      <c r="CR143" s="24"/>
      <c r="CS143" s="24"/>
      <c r="CT143" s="24"/>
      <c r="CU143" s="24"/>
      <c r="CV143" s="24"/>
      <c r="CW143" s="24"/>
      <c r="CX143" s="24"/>
      <c r="CY143" s="24"/>
      <c r="CZ143" s="24"/>
      <c r="DA143" s="24"/>
      <c r="DB143" s="24"/>
      <c r="DC143" s="24"/>
      <c r="DD143" s="24"/>
      <c r="DE143" s="24"/>
      <c r="DF143" s="24"/>
      <c r="DG143" s="24"/>
      <c r="DH143" s="24"/>
      <c r="DI143" s="24"/>
      <c r="DJ143" s="24"/>
      <c r="DK143" s="24"/>
      <c r="DL143" s="24"/>
      <c r="DM143" s="24"/>
      <c r="DN143" s="24"/>
      <c r="DO143" s="24"/>
      <c r="DP143" s="24"/>
      <c r="DQ143" s="24"/>
      <c r="DR143" s="24"/>
      <c r="DS143" s="24"/>
      <c r="DT143" s="24"/>
      <c r="DU143" s="24"/>
      <c r="DV143" s="24"/>
      <c r="DW143" s="24"/>
      <c r="DX143" s="24"/>
      <c r="DY143" s="24"/>
      <c r="DZ143" s="24"/>
      <c r="EA143" s="24"/>
      <c r="EB143" s="24"/>
      <c r="EC143" s="24"/>
      <c r="ED143" s="24"/>
      <c r="EE143" s="24"/>
      <c r="EF143" s="24"/>
      <c r="EG143" s="24"/>
      <c r="EH143" s="24"/>
      <c r="EI143" s="24"/>
      <c r="EJ143" s="24"/>
      <c r="EK143" s="24"/>
      <c r="EL143" s="24"/>
      <c r="EM143" s="24"/>
      <c r="EN143" s="24"/>
      <c r="EO143" s="24"/>
      <c r="EP143" s="24"/>
      <c r="EQ143" s="24"/>
      <c r="ER143" s="24"/>
      <c r="ES143" s="24"/>
      <c r="ET143" s="24"/>
      <c r="EU143" s="24"/>
      <c r="EV143" s="24"/>
      <c r="EW143" s="24"/>
      <c r="EX143" s="24"/>
      <c r="EY143" s="24"/>
      <c r="EZ143" s="24"/>
      <c r="FA143" s="24"/>
    </row>
    <row r="144" spans="1:157" s="24" customFormat="1" ht="31.4" customHeight="1" hidden="1">
      <c r="A144" s="24" t="s">
        <v>1000</v>
      </c>
      <c r="B144" s="31"/>
      <c r="C144" s="31"/>
      <c r="D144" s="31"/>
      <c r="E144" s="31"/>
      <c r="F144" s="31"/>
      <c r="G144" s="31"/>
      <c r="H144" s="31"/>
      <c r="I144" s="31"/>
      <c r="J144" s="31"/>
      <c r="K144" s="31"/>
      <c r="L144" s="109"/>
      <c r="M144" s="24"/>
      <c r="N144" s="24"/>
      <c r="O144" s="24"/>
      <c r="P144" s="24"/>
      <c r="Q144" s="24"/>
      <c r="R144" s="24"/>
      <c r="S144" s="24"/>
      <c r="T144" s="24"/>
      <c r="U144" s="24"/>
      <c r="V144" s="24"/>
      <c r="W144" s="24"/>
      <c r="X144" s="24"/>
      <c r="Y144" s="24"/>
      <c r="Z144" s="24"/>
      <c r="AA144" s="24"/>
      <c r="AB144" s="24"/>
      <c r="AC144" s="24"/>
      <c r="AD144" s="24">
        <f>ROW()</f>
        <v>144</v>
      </c>
      <c r="AE144" s="24"/>
      <c r="AF144" s="24"/>
      <c r="AG144" s="24"/>
      <c r="AH144" s="24"/>
      <c r="AI144" s="24"/>
      <c r="AJ144" s="24"/>
      <c r="AK144" s="24"/>
      <c r="AL144" s="24"/>
      <c r="AM144" s="24"/>
      <c r="AN144" s="24"/>
      <c r="AO144" s="24"/>
      <c r="AP144" s="24"/>
      <c r="AQ144" s="24"/>
      <c r="AR144" s="24"/>
      <c r="AS144" s="24"/>
      <c r="AT144" s="24"/>
      <c r="AU144" s="24"/>
      <c r="AV144" s="24"/>
      <c r="AW144" s="24"/>
      <c r="AX144" s="24"/>
      <c r="AY144" s="24"/>
      <c r="AZ144" s="24"/>
      <c r="BA144" s="24"/>
      <c r="BB144" s="24"/>
      <c r="BC144" s="24"/>
      <c r="BD144" s="24"/>
      <c r="BE144" s="24"/>
      <c r="BF144" s="24"/>
      <c r="BG144" s="24"/>
      <c r="BH144" s="24"/>
      <c r="BI144" s="24"/>
      <c r="BJ144" s="24"/>
      <c r="BK144" s="24"/>
      <c r="BL144" s="24"/>
      <c r="BM144" s="24"/>
      <c r="BN144" s="24"/>
      <c r="BO144" s="24"/>
      <c r="BP144" s="24"/>
      <c r="BQ144" s="24"/>
      <c r="BR144" s="24"/>
      <c r="BS144" s="24"/>
      <c r="BT144" s="24"/>
      <c r="BU144" s="24"/>
      <c r="BV144" s="24"/>
      <c r="BW144" s="24"/>
      <c r="BX144" s="24"/>
      <c r="BY144" s="24"/>
      <c r="BZ144" s="24"/>
      <c r="CA144" s="24"/>
      <c r="CB144" s="24"/>
      <c r="CC144" s="24"/>
      <c r="CD144" s="24"/>
      <c r="CE144" s="24"/>
      <c r="CF144" s="24"/>
      <c r="CG144" s="24"/>
      <c r="CH144" s="24"/>
      <c r="CI144" s="24"/>
      <c r="CJ144" s="24"/>
      <c r="CK144" s="24"/>
      <c r="CL144" s="24"/>
      <c r="CM144" s="24"/>
      <c r="CN144" s="24"/>
      <c r="CO144" s="24"/>
      <c r="CP144" s="24"/>
      <c r="CQ144" s="24"/>
      <c r="CR144" s="24"/>
      <c r="CS144" s="24"/>
      <c r="CT144" s="24"/>
      <c r="CU144" s="24"/>
      <c r="CV144" s="24"/>
      <c r="CW144" s="24"/>
      <c r="CX144" s="24"/>
      <c r="CY144" s="24"/>
      <c r="CZ144" s="24"/>
      <c r="DA144" s="24"/>
      <c r="DB144" s="24"/>
      <c r="DC144" s="24"/>
      <c r="DD144" s="24"/>
      <c r="DE144" s="24"/>
      <c r="DF144" s="24"/>
      <c r="DG144" s="24"/>
      <c r="DH144" s="24"/>
      <c r="DI144" s="24"/>
      <c r="DJ144" s="24"/>
      <c r="DK144" s="24"/>
      <c r="DL144" s="24"/>
      <c r="DM144" s="24"/>
      <c r="DN144" s="24"/>
      <c r="DO144" s="24"/>
      <c r="DP144" s="24"/>
      <c r="DQ144" s="24"/>
      <c r="DR144" s="24"/>
      <c r="DS144" s="24"/>
      <c r="DT144" s="24"/>
      <c r="DU144" s="24"/>
      <c r="DV144" s="24"/>
      <c r="DW144" s="24"/>
      <c r="DX144" s="24"/>
      <c r="DY144" s="24"/>
      <c r="DZ144" s="24"/>
      <c r="EA144" s="24"/>
      <c r="EB144" s="24"/>
      <c r="EC144" s="24"/>
      <c r="ED144" s="24"/>
      <c r="EE144" s="24"/>
      <c r="EF144" s="24"/>
      <c r="EG144" s="24"/>
      <c r="EH144" s="24"/>
      <c r="EI144" s="24"/>
      <c r="EJ144" s="24"/>
      <c r="EK144" s="24"/>
      <c r="EL144" s="24"/>
      <c r="EM144" s="24"/>
      <c r="EN144" s="24"/>
      <c r="EO144" s="24"/>
      <c r="EP144" s="24"/>
      <c r="EQ144" s="24"/>
      <c r="ER144" s="24"/>
      <c r="ES144" s="24"/>
      <c r="ET144" s="24"/>
      <c r="EU144" s="24"/>
      <c r="EV144" s="24"/>
      <c r="EW144" s="24"/>
      <c r="EX144" s="24"/>
      <c r="EY144" s="24"/>
      <c r="EZ144" s="24"/>
      <c r="FA144" s="24"/>
    </row>
    <row r="145" spans="1:157" s="24" customFormat="1" ht="14.5" hidden="1">
      <c r="A145" s="24" t="s">
        <v>1000</v>
      </c>
      <c r="B145" s="55"/>
      <c r="C145" s="55"/>
      <c r="D145" s="55"/>
      <c r="E145" s="55"/>
      <c r="F145" s="55"/>
      <c r="G145" s="55"/>
      <c r="H145" s="55"/>
      <c r="I145" s="55"/>
      <c r="J145" s="55"/>
      <c r="K145" s="55"/>
      <c r="L145" s="24"/>
      <c r="M145" s="24"/>
      <c r="N145" s="24"/>
      <c r="O145" s="24"/>
      <c r="P145" s="24"/>
      <c r="Q145" s="24"/>
      <c r="R145" s="24"/>
      <c r="S145" s="24"/>
      <c r="T145" s="24"/>
      <c r="U145" s="24"/>
      <c r="V145" s="24"/>
      <c r="W145" s="24"/>
      <c r="X145" s="24"/>
      <c r="Y145" s="24"/>
      <c r="Z145" s="24"/>
      <c r="AA145" s="24"/>
      <c r="AB145" s="24"/>
      <c r="AC145" s="24"/>
      <c r="AD145" s="24">
        <f>ROW()</f>
        <v>145</v>
      </c>
      <c r="AE145" s="24"/>
      <c r="AF145" s="24"/>
      <c r="AG145" s="24"/>
      <c r="AH145" s="24"/>
      <c r="AI145" s="24"/>
      <c r="AJ145" s="24"/>
      <c r="AK145" s="24"/>
      <c r="AL145" s="24"/>
      <c r="AM145" s="24"/>
      <c r="AN145" s="24"/>
      <c r="AO145" s="24"/>
      <c r="AP145" s="24"/>
      <c r="AQ145" s="24"/>
      <c r="AR145" s="24"/>
      <c r="AS145" s="24"/>
      <c r="AT145" s="24"/>
      <c r="AU145" s="24"/>
      <c r="AV145" s="24"/>
      <c r="AW145" s="24"/>
      <c r="AX145" s="24"/>
      <c r="AY145" s="24"/>
      <c r="AZ145" s="24"/>
      <c r="BA145" s="24"/>
      <c r="BB145" s="24"/>
      <c r="BC145" s="24"/>
      <c r="BD145" s="24"/>
      <c r="BE145" s="24"/>
      <c r="BF145" s="24"/>
      <c r="BG145" s="24"/>
      <c r="BH145" s="24"/>
      <c r="BI145" s="24"/>
      <c r="BJ145" s="24"/>
      <c r="BK145" s="24"/>
      <c r="BL145" s="24"/>
      <c r="BM145" s="24"/>
      <c r="BN145" s="24"/>
      <c r="BO145" s="24"/>
      <c r="BP145" s="24"/>
      <c r="BQ145" s="24"/>
      <c r="BR145" s="24"/>
      <c r="BS145" s="24"/>
      <c r="BT145" s="24"/>
      <c r="BU145" s="24"/>
      <c r="BV145" s="24"/>
      <c r="BW145" s="24"/>
      <c r="BX145" s="24"/>
      <c r="BY145" s="24"/>
      <c r="BZ145" s="24"/>
      <c r="CA145" s="24"/>
      <c r="CB145" s="24"/>
      <c r="CC145" s="24"/>
      <c r="CD145" s="24"/>
      <c r="CE145" s="24"/>
      <c r="CF145" s="24"/>
      <c r="CG145" s="24"/>
      <c r="CH145" s="24"/>
      <c r="CI145" s="24"/>
      <c r="CJ145" s="24"/>
      <c r="CK145" s="24"/>
      <c r="CL145" s="24"/>
      <c r="CM145" s="24"/>
      <c r="CN145" s="24"/>
      <c r="CO145" s="24"/>
      <c r="CP145" s="24"/>
      <c r="CQ145" s="24"/>
      <c r="CR145" s="24"/>
      <c r="CS145" s="24"/>
      <c r="CT145" s="24"/>
      <c r="CU145" s="24"/>
      <c r="CV145" s="24"/>
      <c r="CW145" s="24"/>
      <c r="CX145" s="24"/>
      <c r="CY145" s="24"/>
      <c r="CZ145" s="24"/>
      <c r="DA145" s="24"/>
      <c r="DB145" s="24"/>
      <c r="DC145" s="24"/>
      <c r="DD145" s="24"/>
      <c r="DE145" s="24"/>
      <c r="DF145" s="24"/>
      <c r="DG145" s="24"/>
      <c r="DH145" s="24"/>
      <c r="DI145" s="24"/>
      <c r="DJ145" s="24"/>
      <c r="DK145" s="24"/>
      <c r="DL145" s="24"/>
      <c r="DM145" s="24"/>
      <c r="DN145" s="24"/>
      <c r="DO145" s="24"/>
      <c r="DP145" s="24"/>
      <c r="DQ145" s="24"/>
      <c r="DR145" s="24"/>
      <c r="DS145" s="24"/>
      <c r="DT145" s="24"/>
      <c r="DU145" s="24"/>
      <c r="DV145" s="24"/>
      <c r="DW145" s="24"/>
      <c r="DX145" s="24"/>
      <c r="DY145" s="24"/>
      <c r="DZ145" s="24"/>
      <c r="EA145" s="24"/>
      <c r="EB145" s="24"/>
      <c r="EC145" s="24"/>
      <c r="ED145" s="24"/>
      <c r="EE145" s="24"/>
      <c r="EF145" s="24"/>
      <c r="EG145" s="24"/>
      <c r="EH145" s="24"/>
      <c r="EI145" s="24"/>
      <c r="EJ145" s="24"/>
      <c r="EK145" s="24"/>
      <c r="EL145" s="24"/>
      <c r="EM145" s="24"/>
      <c r="EN145" s="24"/>
      <c r="EO145" s="24"/>
      <c r="EP145" s="24"/>
      <c r="EQ145" s="24"/>
      <c r="ER145" s="24"/>
      <c r="ES145" s="24"/>
      <c r="ET145" s="24"/>
      <c r="EU145" s="24"/>
      <c r="EV145" s="24"/>
      <c r="EW145" s="24"/>
      <c r="EX145" s="24"/>
      <c r="EY145" s="24"/>
      <c r="EZ145" s="24"/>
      <c r="FA145" s="24"/>
    </row>
    <row r="146" spans="1:157" s="24" customFormat="1" ht="14.5" hidden="1">
      <c r="A146" s="24" t="s">
        <v>1000</v>
      </c>
      <c r="B146" s="55"/>
      <c r="C146" s="55"/>
      <c r="D146" s="172"/>
      <c r="E146" s="172"/>
      <c r="F146" s="172"/>
      <c r="G146" s="172"/>
      <c r="H146" s="172"/>
      <c r="I146" s="172"/>
      <c r="J146" s="172"/>
      <c r="K146" s="172"/>
      <c r="L146" s="24"/>
      <c r="M146" s="24"/>
      <c r="N146" s="24"/>
      <c r="O146" s="24"/>
      <c r="P146" s="24"/>
      <c r="Q146" s="24"/>
      <c r="R146" s="24"/>
      <c r="S146" s="24"/>
      <c r="T146" s="24"/>
      <c r="U146" s="24"/>
      <c r="V146" s="24"/>
      <c r="W146" s="24"/>
      <c r="X146" s="24"/>
      <c r="Y146" s="24"/>
      <c r="Z146" s="24"/>
      <c r="AA146" s="24"/>
      <c r="AB146" s="24"/>
      <c r="AC146" s="24"/>
      <c r="AD146" s="24">
        <f>ROW()</f>
        <v>146</v>
      </c>
      <c r="AE146" s="24"/>
      <c r="AF146" s="24"/>
      <c r="AG146" s="24"/>
      <c r="AH146" s="24"/>
      <c r="AI146" s="24"/>
      <c r="AJ146" s="24"/>
      <c r="AK146" s="24"/>
      <c r="AL146" s="24"/>
      <c r="AM146" s="24"/>
      <c r="AN146" s="24"/>
      <c r="AO146" s="24"/>
      <c r="AP146" s="24"/>
      <c r="AQ146" s="24"/>
      <c r="AR146" s="24"/>
      <c r="AS146" s="24"/>
      <c r="AT146" s="24"/>
      <c r="AU146" s="24"/>
      <c r="AV146" s="24"/>
      <c r="AW146" s="24"/>
      <c r="AX146" s="24"/>
      <c r="AY146" s="24"/>
      <c r="AZ146" s="24"/>
      <c r="BA146" s="24"/>
      <c r="BB146" s="24"/>
      <c r="BC146" s="24"/>
      <c r="BD146" s="24"/>
      <c r="BE146" s="24"/>
      <c r="BF146" s="24"/>
      <c r="BG146" s="24"/>
      <c r="BH146" s="24"/>
      <c r="BI146" s="24"/>
      <c r="BJ146" s="24"/>
      <c r="BK146" s="24"/>
      <c r="BL146" s="24"/>
      <c r="BM146" s="24"/>
      <c r="BN146" s="24"/>
      <c r="BO146" s="24"/>
      <c r="BP146" s="24"/>
      <c r="BQ146" s="24"/>
      <c r="BR146" s="24"/>
      <c r="BS146" s="24"/>
      <c r="BT146" s="24"/>
      <c r="BU146" s="24"/>
      <c r="BV146" s="24"/>
      <c r="BW146" s="24"/>
      <c r="BX146" s="24"/>
      <c r="BY146" s="24"/>
      <c r="BZ146" s="24"/>
      <c r="CA146" s="24"/>
      <c r="CB146" s="24"/>
      <c r="CC146" s="24"/>
      <c r="CD146" s="24"/>
      <c r="CE146" s="24"/>
      <c r="CF146" s="24"/>
      <c r="CG146" s="24"/>
      <c r="CH146" s="24"/>
      <c r="CI146" s="24"/>
      <c r="CJ146" s="24"/>
      <c r="CK146" s="24"/>
      <c r="CL146" s="24"/>
      <c r="CM146" s="24"/>
      <c r="CN146" s="24"/>
      <c r="CO146" s="24"/>
      <c r="CP146" s="24"/>
      <c r="CQ146" s="24"/>
      <c r="CR146" s="24"/>
      <c r="CS146" s="24"/>
      <c r="CT146" s="24"/>
      <c r="CU146" s="24"/>
      <c r="CV146" s="24"/>
      <c r="CW146" s="24"/>
      <c r="CX146" s="24"/>
      <c r="CY146" s="24"/>
      <c r="CZ146" s="24"/>
      <c r="DA146" s="24"/>
      <c r="DB146" s="24"/>
      <c r="DC146" s="24"/>
      <c r="DD146" s="24"/>
      <c r="DE146" s="24"/>
      <c r="DF146" s="24"/>
      <c r="DG146" s="24"/>
      <c r="DH146" s="24"/>
      <c r="DI146" s="24"/>
      <c r="DJ146" s="24"/>
      <c r="DK146" s="24"/>
      <c r="DL146" s="24"/>
      <c r="DM146" s="24"/>
      <c r="DN146" s="24"/>
      <c r="DO146" s="24"/>
      <c r="DP146" s="24"/>
      <c r="DQ146" s="24"/>
      <c r="DR146" s="24"/>
      <c r="DS146" s="24"/>
      <c r="DT146" s="24"/>
      <c r="DU146" s="24"/>
      <c r="DV146" s="24"/>
      <c r="DW146" s="24"/>
      <c r="DX146" s="24"/>
      <c r="DY146" s="24"/>
      <c r="DZ146" s="24"/>
      <c r="EA146" s="24"/>
      <c r="EB146" s="24"/>
      <c r="EC146" s="24"/>
      <c r="ED146" s="24"/>
      <c r="EE146" s="24"/>
      <c r="EF146" s="24"/>
      <c r="EG146" s="24"/>
      <c r="EH146" s="24"/>
      <c r="EI146" s="24"/>
      <c r="EJ146" s="24"/>
      <c r="EK146" s="24"/>
      <c r="EL146" s="24"/>
      <c r="EM146" s="24"/>
      <c r="EN146" s="24"/>
      <c r="EO146" s="24"/>
      <c r="EP146" s="24"/>
      <c r="EQ146" s="24"/>
      <c r="ER146" s="24"/>
      <c r="ES146" s="24"/>
      <c r="ET146" s="24"/>
      <c r="EU146" s="24"/>
      <c r="EV146" s="24"/>
      <c r="EW146" s="24"/>
      <c r="EX146" s="24"/>
      <c r="EY146" s="24"/>
      <c r="EZ146" s="24"/>
      <c r="FA146" s="24"/>
    </row>
    <row r="147" spans="1:157" s="24" customFormat="1" ht="30" customHeight="1" hidden="1">
      <c r="A147" s="24" t="s">
        <v>1000</v>
      </c>
      <c r="B147" s="56" t="s">
        <v>1162</v>
      </c>
      <c r="C147" s="55"/>
      <c r="D147" s="307"/>
      <c r="E147" s="308"/>
      <c r="F147" s="308"/>
      <c r="G147" s="308"/>
      <c r="H147" s="308"/>
      <c r="I147" s="308"/>
      <c r="J147" s="308"/>
      <c r="K147" s="308"/>
      <c r="L147" s="308"/>
      <c r="M147" s="308"/>
      <c r="N147" s="309"/>
      <c r="O147" s="24"/>
      <c r="P147" s="24"/>
      <c r="Q147" s="24"/>
      <c r="R147" s="24"/>
      <c r="S147" s="24"/>
      <c r="T147" s="24"/>
      <c r="U147" s="24"/>
      <c r="V147" s="24"/>
      <c r="W147" s="24"/>
      <c r="X147" s="24"/>
      <c r="Y147" s="24"/>
      <c r="Z147" s="24"/>
      <c r="AA147" s="24"/>
      <c r="AB147" s="24"/>
      <c r="AC147" s="24"/>
      <c r="AD147" s="24">
        <f>ROW()</f>
        <v>147</v>
      </c>
      <c r="AE147" s="24"/>
      <c r="AF147" s="24"/>
      <c r="AG147" s="24"/>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c r="BG147" s="24"/>
      <c r="BH147" s="24"/>
      <c r="BI147" s="24"/>
      <c r="BJ147" s="24"/>
      <c r="BK147" s="24"/>
      <c r="BL147" s="24"/>
      <c r="BM147" s="24"/>
      <c r="BN147" s="24"/>
      <c r="BO147" s="24"/>
      <c r="BP147" s="24"/>
      <c r="BQ147" s="24"/>
      <c r="BR147" s="24"/>
      <c r="BS147" s="24"/>
      <c r="BT147" s="24"/>
      <c r="BU147" s="24"/>
      <c r="BV147" s="24"/>
      <c r="BW147" s="24"/>
      <c r="BX147" s="24"/>
      <c r="BY147" s="24"/>
      <c r="BZ147" s="24"/>
      <c r="CA147" s="24"/>
      <c r="CB147" s="24"/>
      <c r="CC147" s="24"/>
      <c r="CD147" s="24"/>
      <c r="CE147" s="24"/>
      <c r="CF147" s="24"/>
      <c r="CG147" s="24"/>
      <c r="CH147" s="24"/>
      <c r="CI147" s="24"/>
      <c r="CJ147" s="24"/>
      <c r="CK147" s="24"/>
      <c r="CL147" s="24"/>
      <c r="CM147" s="24"/>
      <c r="CN147" s="24"/>
      <c r="CO147" s="24"/>
      <c r="CP147" s="24"/>
      <c r="CQ147" s="24"/>
      <c r="CR147" s="24"/>
      <c r="CS147" s="24"/>
      <c r="CT147" s="24"/>
      <c r="CU147" s="24"/>
      <c r="CV147" s="24"/>
      <c r="CW147" s="24"/>
      <c r="CX147" s="24"/>
      <c r="CY147" s="24"/>
      <c r="CZ147" s="24"/>
      <c r="DA147" s="24"/>
      <c r="DB147" s="24"/>
      <c r="DC147" s="24"/>
      <c r="DD147" s="24"/>
      <c r="DE147" s="24"/>
      <c r="DF147" s="24"/>
      <c r="DG147" s="24"/>
      <c r="DH147" s="24"/>
      <c r="DI147" s="24"/>
      <c r="DJ147" s="24"/>
      <c r="DK147" s="24"/>
      <c r="DL147" s="24"/>
      <c r="DM147" s="24"/>
      <c r="DN147" s="24"/>
      <c r="DO147" s="24"/>
      <c r="DP147" s="24"/>
      <c r="DQ147" s="24"/>
      <c r="DR147" s="24"/>
      <c r="DS147" s="24"/>
      <c r="DT147" s="24"/>
      <c r="DU147" s="24"/>
      <c r="DV147" s="24"/>
      <c r="DW147" s="24"/>
      <c r="DX147" s="24"/>
      <c r="DY147" s="24"/>
      <c r="DZ147" s="24"/>
      <c r="EA147" s="24"/>
      <c r="EB147" s="24"/>
      <c r="EC147" s="24"/>
      <c r="ED147" s="24"/>
      <c r="EE147" s="24"/>
      <c r="EF147" s="24"/>
      <c r="EG147" s="24"/>
      <c r="EH147" s="24"/>
      <c r="EI147" s="24"/>
      <c r="EJ147" s="24"/>
      <c r="EK147" s="24"/>
      <c r="EL147" s="24"/>
      <c r="EM147" s="24"/>
      <c r="EN147" s="24"/>
      <c r="EO147" s="24"/>
      <c r="EP147" s="24"/>
      <c r="EQ147" s="24"/>
      <c r="ER147" s="24"/>
      <c r="ES147" s="24"/>
      <c r="ET147" s="24"/>
      <c r="EU147" s="24"/>
      <c r="EV147" s="24"/>
      <c r="EW147" s="24"/>
      <c r="EX147" s="24"/>
      <c r="EY147" s="24"/>
      <c r="EZ147" s="24"/>
      <c r="FA147" s="24"/>
    </row>
    <row r="148" spans="1:157" s="24" customFormat="1" ht="14.5" hidden="1">
      <c r="A148" s="24" t="s">
        <v>1000</v>
      </c>
      <c r="B148" s="55"/>
      <c r="C148" s="55"/>
      <c r="D148" s="55"/>
      <c r="E148" s="55"/>
      <c r="F148" s="55"/>
      <c r="G148" s="55"/>
      <c r="H148" s="55"/>
      <c r="I148" s="55"/>
      <c r="J148" s="55"/>
      <c r="K148" s="55"/>
      <c r="L148" s="24"/>
      <c r="M148" s="24"/>
      <c r="N148" s="24"/>
      <c r="O148" s="24"/>
      <c r="P148" s="24"/>
      <c r="Q148" s="24"/>
      <c r="R148" s="24"/>
      <c r="S148" s="24"/>
      <c r="T148" s="24"/>
      <c r="U148" s="24"/>
      <c r="V148" s="24"/>
      <c r="W148" s="24"/>
      <c r="X148" s="24"/>
      <c r="Y148" s="24"/>
      <c r="Z148" s="24"/>
      <c r="AA148" s="24"/>
      <c r="AB148" s="24"/>
      <c r="AC148" s="24"/>
      <c r="AD148" s="24">
        <f>ROW()</f>
        <v>148</v>
      </c>
      <c r="AE148" s="24"/>
      <c r="AF148" s="24"/>
      <c r="AG148" s="24"/>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c r="BG148" s="24"/>
      <c r="BH148" s="24"/>
      <c r="BI148" s="24"/>
      <c r="BJ148" s="24"/>
      <c r="BK148" s="24"/>
      <c r="BL148" s="24"/>
      <c r="BM148" s="24"/>
      <c r="BN148" s="24"/>
      <c r="BO148" s="24"/>
      <c r="BP148" s="24"/>
      <c r="BQ148" s="24"/>
      <c r="BR148" s="24"/>
      <c r="BS148" s="24"/>
      <c r="BT148" s="24"/>
      <c r="BU148" s="24"/>
      <c r="BV148" s="24"/>
      <c r="BW148" s="24"/>
      <c r="BX148" s="24"/>
      <c r="BY148" s="24"/>
      <c r="BZ148" s="24"/>
      <c r="CA148" s="24"/>
      <c r="CB148" s="24"/>
      <c r="CC148" s="24"/>
      <c r="CD148" s="24"/>
      <c r="CE148" s="24"/>
      <c r="CF148" s="24"/>
      <c r="CG148" s="24"/>
      <c r="CH148" s="24"/>
      <c r="CI148" s="24"/>
      <c r="CJ148" s="24"/>
      <c r="CK148" s="24"/>
      <c r="CL148" s="24"/>
      <c r="CM148" s="24"/>
      <c r="CN148" s="24"/>
      <c r="CO148" s="24"/>
      <c r="CP148" s="24"/>
      <c r="CQ148" s="24"/>
      <c r="CR148" s="24"/>
      <c r="CS148" s="24"/>
      <c r="CT148" s="24"/>
      <c r="CU148" s="24"/>
      <c r="CV148" s="24"/>
      <c r="CW148" s="24"/>
      <c r="CX148" s="24"/>
      <c r="CY148" s="24"/>
      <c r="CZ148" s="24"/>
      <c r="DA148" s="24"/>
      <c r="DB148" s="24"/>
      <c r="DC148" s="24"/>
      <c r="DD148" s="24"/>
      <c r="DE148" s="24"/>
      <c r="DF148" s="24"/>
      <c r="DG148" s="24"/>
      <c r="DH148" s="24"/>
      <c r="DI148" s="24"/>
      <c r="DJ148" s="24"/>
      <c r="DK148" s="24"/>
      <c r="DL148" s="24"/>
      <c r="DM148" s="24"/>
      <c r="DN148" s="24"/>
      <c r="DO148" s="24"/>
      <c r="DP148" s="24"/>
      <c r="DQ148" s="24"/>
      <c r="DR148" s="24"/>
      <c r="DS148" s="24"/>
      <c r="DT148" s="24"/>
      <c r="DU148" s="24"/>
      <c r="DV148" s="24"/>
      <c r="DW148" s="24"/>
      <c r="DX148" s="24"/>
      <c r="DY148" s="24"/>
      <c r="DZ148" s="24"/>
      <c r="EA148" s="24"/>
      <c r="EB148" s="24"/>
      <c r="EC148" s="24"/>
      <c r="ED148" s="24"/>
      <c r="EE148" s="24"/>
      <c r="EF148" s="24"/>
      <c r="EG148" s="24"/>
      <c r="EH148" s="24"/>
      <c r="EI148" s="24"/>
      <c r="EJ148" s="24"/>
      <c r="EK148" s="24"/>
      <c r="EL148" s="24"/>
      <c r="EM148" s="24"/>
      <c r="EN148" s="24"/>
      <c r="EO148" s="24"/>
      <c r="EP148" s="24"/>
      <c r="EQ148" s="24"/>
      <c r="ER148" s="24"/>
      <c r="ES148" s="24"/>
      <c r="ET148" s="24"/>
      <c r="EU148" s="24"/>
      <c r="EV148" s="24"/>
      <c r="EW148" s="24"/>
      <c r="EX148" s="24"/>
      <c r="EY148" s="24"/>
      <c r="EZ148" s="24"/>
      <c r="FA148" s="24"/>
    </row>
    <row r="149" spans="1:157" s="24" customFormat="1" ht="14.5" hidden="1">
      <c r="A149" s="24" t="s">
        <v>1000</v>
      </c>
      <c r="B149" s="31" t="s">
        <v>1018</v>
      </c>
      <c r="C149" s="31"/>
      <c r="D149" s="31"/>
      <c r="E149" s="31"/>
      <c r="F149" s="31"/>
      <c r="G149" s="31"/>
      <c r="H149" s="31"/>
      <c r="I149" s="31"/>
      <c r="J149" s="31"/>
      <c r="K149" s="31"/>
      <c r="L149" s="24"/>
      <c r="M149" s="24"/>
      <c r="N149" s="24"/>
      <c r="O149" s="24"/>
      <c r="P149" s="24"/>
      <c r="Q149" s="24"/>
      <c r="R149" s="24"/>
      <c r="S149" s="24"/>
      <c r="T149" s="24"/>
      <c r="U149" s="24"/>
      <c r="V149" s="24"/>
      <c r="W149" s="24"/>
      <c r="X149" s="24"/>
      <c r="Y149" s="24"/>
      <c r="Z149" s="24"/>
      <c r="AA149" s="284"/>
      <c r="AB149" s="24"/>
      <c r="AC149" s="24"/>
      <c r="AD149" s="24">
        <f>ROW()</f>
        <v>149</v>
      </c>
      <c r="AE149" s="24"/>
      <c r="AF149" s="24"/>
      <c r="AG149" s="24"/>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c r="BG149" s="24"/>
      <c r="BH149" s="24"/>
      <c r="BI149" s="24"/>
      <c r="BJ149" s="24"/>
      <c r="BK149" s="24"/>
      <c r="BL149" s="24"/>
      <c r="BM149" s="24"/>
      <c r="BN149" s="24"/>
      <c r="BO149" s="24"/>
      <c r="BP149" s="24"/>
      <c r="BQ149" s="24"/>
      <c r="BR149" s="24"/>
      <c r="BS149" s="24"/>
      <c r="BT149" s="24"/>
      <c r="BU149" s="24"/>
      <c r="BV149" s="24"/>
      <c r="BW149" s="24"/>
      <c r="BX149" s="24"/>
      <c r="BY149" s="24"/>
      <c r="BZ149" s="24"/>
      <c r="CA149" s="24"/>
      <c r="CB149" s="24"/>
      <c r="CC149" s="24"/>
      <c r="CD149" s="24"/>
      <c r="CE149" s="24"/>
      <c r="CF149" s="24"/>
      <c r="CG149" s="24"/>
      <c r="CH149" s="24"/>
      <c r="CI149" s="24"/>
      <c r="CJ149" s="24"/>
      <c r="CK149" s="24"/>
      <c r="CL149" s="24"/>
      <c r="CM149" s="24"/>
      <c r="CN149" s="24"/>
      <c r="CO149" s="24"/>
      <c r="CP149" s="24"/>
      <c r="CQ149" s="24"/>
      <c r="CR149" s="24"/>
      <c r="CS149" s="24"/>
      <c r="CT149" s="24"/>
      <c r="CU149" s="24"/>
      <c r="CV149" s="24"/>
      <c r="CW149" s="24"/>
      <c r="CX149" s="24"/>
      <c r="CY149" s="24"/>
      <c r="CZ149" s="24"/>
      <c r="DA149" s="24"/>
      <c r="DB149" s="24"/>
      <c r="DC149" s="24"/>
      <c r="DD149" s="24"/>
      <c r="DE149" s="24"/>
      <c r="DF149" s="24"/>
      <c r="DG149" s="24"/>
      <c r="DH149" s="24"/>
      <c r="DI149" s="24"/>
      <c r="DJ149" s="24"/>
      <c r="DK149" s="24"/>
      <c r="DL149" s="24"/>
      <c r="DM149" s="24"/>
      <c r="DN149" s="24"/>
      <c r="DO149" s="24"/>
      <c r="DP149" s="24"/>
      <c r="DQ149" s="24"/>
      <c r="DR149" s="24"/>
      <c r="DS149" s="24"/>
      <c r="DT149" s="24"/>
      <c r="DU149" s="24"/>
      <c r="DV149" s="24"/>
      <c r="DW149" s="24"/>
      <c r="DX149" s="24"/>
      <c r="DY149" s="24"/>
      <c r="DZ149" s="24"/>
      <c r="EA149" s="24"/>
      <c r="EB149" s="24"/>
      <c r="EC149" s="24"/>
      <c r="ED149" s="24"/>
      <c r="EE149" s="24"/>
      <c r="EF149" s="24"/>
      <c r="EG149" s="24"/>
      <c r="EH149" s="24"/>
      <c r="EI149" s="24"/>
      <c r="EJ149" s="24"/>
      <c r="EK149" s="24"/>
      <c r="EL149" s="24"/>
      <c r="EM149" s="24"/>
      <c r="EN149" s="24"/>
      <c r="EO149" s="24"/>
      <c r="EP149" s="24"/>
      <c r="EQ149" s="24"/>
      <c r="ER149" s="24"/>
      <c r="ES149" s="24"/>
      <c r="ET149" s="24"/>
      <c r="EU149" s="24"/>
      <c r="EV149" s="24"/>
      <c r="EW149" s="24"/>
      <c r="EX149" s="24"/>
      <c r="EY149" s="24"/>
      <c r="EZ149" s="24"/>
      <c r="FA149" s="24"/>
    </row>
    <row r="150" spans="1:157" s="24" customFormat="1" ht="14.5" hidden="1">
      <c r="A150" s="24" t="s">
        <v>1000</v>
      </c>
      <c r="B150" s="31"/>
      <c r="C150" s="31"/>
      <c r="D150" s="31"/>
      <c r="E150" s="31"/>
      <c r="F150" s="31"/>
      <c r="G150" s="31"/>
      <c r="H150" s="31"/>
      <c r="I150" s="31"/>
      <c r="J150" s="31"/>
      <c r="K150" s="31"/>
      <c r="L150" s="24"/>
      <c r="M150" s="24"/>
      <c r="N150" s="24"/>
      <c r="O150" s="24"/>
      <c r="P150" s="24"/>
      <c r="Q150" s="24"/>
      <c r="R150" s="24"/>
      <c r="S150" s="24"/>
      <c r="T150" s="24"/>
      <c r="U150" s="24"/>
      <c r="V150" s="24"/>
      <c r="W150" s="24"/>
      <c r="X150" s="24"/>
      <c r="Y150" s="24"/>
      <c r="Z150" s="24"/>
      <c r="AA150" s="24"/>
      <c r="AB150" s="24"/>
      <c r="AC150" s="24"/>
      <c r="AD150" s="24">
        <f>ROW()</f>
        <v>150</v>
      </c>
      <c r="AE150" s="24"/>
      <c r="AF150" s="24"/>
      <c r="AG150" s="24"/>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c r="BG150" s="24"/>
      <c r="BH150" s="24"/>
      <c r="BI150" s="24"/>
      <c r="BJ150" s="24"/>
      <c r="BK150" s="24"/>
      <c r="BL150" s="24"/>
      <c r="BM150" s="24"/>
      <c r="BN150" s="24"/>
      <c r="BO150" s="24"/>
      <c r="BP150" s="24"/>
      <c r="BQ150" s="24"/>
      <c r="BR150" s="24"/>
      <c r="BS150" s="24"/>
      <c r="BT150" s="24"/>
      <c r="BU150" s="24"/>
      <c r="BV150" s="24"/>
      <c r="BW150" s="24"/>
      <c r="BX150" s="24"/>
      <c r="BY150" s="24"/>
      <c r="BZ150" s="24"/>
      <c r="CA150" s="24"/>
      <c r="CB150" s="24"/>
      <c r="CC150" s="24"/>
      <c r="CD150" s="24"/>
      <c r="CE150" s="24"/>
      <c r="CF150" s="24"/>
      <c r="CG150" s="24"/>
      <c r="CH150" s="24"/>
      <c r="CI150" s="24"/>
      <c r="CJ150" s="24"/>
      <c r="CK150" s="24"/>
      <c r="CL150" s="24"/>
      <c r="CM150" s="24"/>
      <c r="CN150" s="24"/>
      <c r="CO150" s="24"/>
      <c r="CP150" s="24"/>
      <c r="CQ150" s="24"/>
      <c r="CR150" s="24"/>
      <c r="CS150" s="24"/>
      <c r="CT150" s="24"/>
      <c r="CU150" s="24"/>
      <c r="CV150" s="24"/>
      <c r="CW150" s="24"/>
      <c r="CX150" s="24"/>
      <c r="CY150" s="24"/>
      <c r="CZ150" s="24"/>
      <c r="DA150" s="24"/>
      <c r="DB150" s="24"/>
      <c r="DC150" s="24"/>
      <c r="DD150" s="24"/>
      <c r="DE150" s="24"/>
      <c r="DF150" s="24"/>
      <c r="DG150" s="24"/>
      <c r="DH150" s="24"/>
      <c r="DI150" s="24"/>
      <c r="DJ150" s="24"/>
      <c r="DK150" s="24"/>
      <c r="DL150" s="24"/>
      <c r="DM150" s="24"/>
      <c r="DN150" s="24"/>
      <c r="DO150" s="24"/>
      <c r="DP150" s="24"/>
      <c r="DQ150" s="24"/>
      <c r="DR150" s="24"/>
      <c r="DS150" s="24"/>
      <c r="DT150" s="24"/>
      <c r="DU150" s="24"/>
      <c r="DV150" s="24"/>
      <c r="DW150" s="24"/>
      <c r="DX150" s="24"/>
      <c r="DY150" s="24"/>
      <c r="DZ150" s="24"/>
      <c r="EA150" s="24"/>
      <c r="EB150" s="24"/>
      <c r="EC150" s="24"/>
      <c r="ED150" s="24"/>
      <c r="EE150" s="24"/>
      <c r="EF150" s="24"/>
      <c r="EG150" s="24"/>
      <c r="EH150" s="24"/>
      <c r="EI150" s="24"/>
      <c r="EJ150" s="24"/>
      <c r="EK150" s="24"/>
      <c r="EL150" s="24"/>
      <c r="EM150" s="24"/>
      <c r="EN150" s="24"/>
      <c r="EO150" s="24"/>
      <c r="EP150" s="24"/>
      <c r="EQ150" s="24"/>
      <c r="ER150" s="24"/>
      <c r="ES150" s="24"/>
      <c r="ET150" s="24"/>
      <c r="EU150" s="24"/>
      <c r="EV150" s="24"/>
      <c r="EW150" s="24"/>
      <c r="EX150" s="24"/>
      <c r="EY150" s="24"/>
      <c r="EZ150" s="24"/>
      <c r="FA150" s="24"/>
    </row>
    <row r="151" spans="1:30" ht="14.5">
      <c r="A151" s="24"/>
      <c r="AD151" s="24">
        <f>ROW()</f>
        <v>151</v>
      </c>
    </row>
    <row r="152" spans="1:30" ht="14.5">
      <c r="A152" s="24"/>
      <c r="B152" s="26" t="s">
        <v>1163</v>
      </c>
      <c r="AD152" s="24">
        <f>ROW()</f>
        <v>152</v>
      </c>
    </row>
    <row r="153" spans="1:30" ht="14.5">
      <c r="A153" s="24"/>
      <c r="AD153" s="24">
        <f>ROW()</f>
        <v>153</v>
      </c>
    </row>
    <row r="154" spans="1:30" ht="14.5">
      <c r="A154" s="24"/>
      <c r="B154" s="56" t="s">
        <v>1164</v>
      </c>
      <c r="C154" s="55"/>
      <c r="AD154" s="24">
        <f>ROW()</f>
        <v>154</v>
      </c>
    </row>
    <row r="155" spans="1:30" ht="15" customHeight="1">
      <c r="A155" s="24"/>
      <c r="B155" s="55"/>
      <c r="C155" s="55"/>
      <c r="D155" s="55"/>
      <c r="E155" s="55"/>
      <c r="F155" s="55"/>
      <c r="G155" s="55"/>
      <c r="H155" s="55"/>
      <c r="I155" s="55"/>
      <c r="J155" s="55"/>
      <c r="K155" s="55"/>
      <c r="L155" s="55"/>
      <c r="M155" s="55"/>
      <c r="N155" s="55"/>
      <c r="AD155" s="24">
        <f>ROW()</f>
        <v>155</v>
      </c>
    </row>
    <row r="156" spans="1:30" ht="18" customHeight="1">
      <c r="A156" s="24"/>
      <c r="B156" s="133" t="s">
        <v>1165</v>
      </c>
      <c r="C156" s="172"/>
      <c r="M156" s="161"/>
      <c r="N156" s="161"/>
      <c r="AD156" s="24">
        <f>ROW()</f>
        <v>156</v>
      </c>
    </row>
    <row r="157" spans="1:30" ht="32.15" customHeight="1">
      <c r="A157" s="24"/>
      <c r="B157" s="135"/>
      <c r="C157" s="134"/>
      <c r="D157" s="134"/>
      <c r="E157" s="134"/>
      <c r="F157" s="134"/>
      <c r="G157" s="134"/>
      <c r="H157" s="134"/>
      <c r="I157" s="134"/>
      <c r="J157" s="134"/>
      <c r="K157" s="134"/>
      <c r="L157" s="134"/>
      <c r="M157" s="134"/>
      <c r="N157" s="136"/>
      <c r="AD157" s="24">
        <f>ROW()</f>
        <v>157</v>
      </c>
    </row>
    <row r="158" spans="1:30" ht="23.5" customHeight="1">
      <c r="A158" s="24"/>
      <c r="B158" s="133" t="s">
        <v>1166</v>
      </c>
      <c r="C158" s="172"/>
      <c r="M158" s="161"/>
      <c r="N158" s="161"/>
      <c r="AD158" s="24">
        <f>ROW()</f>
        <v>158</v>
      </c>
    </row>
    <row r="159" spans="1:30" ht="32.15" customHeight="1">
      <c r="A159" s="24"/>
      <c r="B159" s="135"/>
      <c r="C159" s="134"/>
      <c r="D159" s="134"/>
      <c r="E159" s="134"/>
      <c r="F159" s="134"/>
      <c r="G159" s="134"/>
      <c r="H159" s="134"/>
      <c r="I159" s="134"/>
      <c r="J159" s="134"/>
      <c r="K159" s="134"/>
      <c r="L159" s="134"/>
      <c r="M159" s="134"/>
      <c r="N159" s="136"/>
      <c r="AD159" s="24">
        <f>ROW()</f>
        <v>159</v>
      </c>
    </row>
    <row r="160" spans="1:30" ht="25.5" customHeight="1">
      <c r="A160" s="24"/>
      <c r="B160" s="133" t="s">
        <v>1167</v>
      </c>
      <c r="M160" s="141"/>
      <c r="N160" s="141"/>
      <c r="AD160" s="24">
        <f>ROW()</f>
        <v>160</v>
      </c>
    </row>
    <row r="161" spans="1:30" ht="32.5" customHeight="1">
      <c r="A161" s="24"/>
      <c r="B161" s="135"/>
      <c r="C161" s="134"/>
      <c r="D161" s="134"/>
      <c r="E161" s="134"/>
      <c r="F161" s="134"/>
      <c r="G161" s="134"/>
      <c r="H161" s="134"/>
      <c r="I161" s="134"/>
      <c r="J161" s="134"/>
      <c r="K161" s="134"/>
      <c r="L161" s="134"/>
      <c r="M161" s="134"/>
      <c r="N161" s="136"/>
      <c r="AD161" s="24">
        <f>ROW()</f>
        <v>161</v>
      </c>
    </row>
    <row r="162" spans="1:157" s="24" customFormat="1" ht="27.65" customHeight="1" hidden="1">
      <c r="A162" s="24" t="s">
        <v>1000</v>
      </c>
      <c r="B162" s="31" t="s">
        <v>1168</v>
      </c>
      <c r="C162" s="31"/>
      <c r="D162" s="31"/>
      <c r="E162" s="31"/>
      <c r="F162" s="31"/>
      <c r="G162" s="31"/>
      <c r="H162" s="31"/>
      <c r="I162" s="31"/>
      <c r="J162" s="31"/>
      <c r="K162" s="31"/>
      <c r="L162" s="56"/>
      <c r="M162" s="88"/>
      <c r="N162" s="88"/>
      <c r="O162" s="24"/>
      <c r="P162" s="24"/>
      <c r="Q162" s="24"/>
      <c r="R162" s="24"/>
      <c r="S162" s="24"/>
      <c r="T162" s="24"/>
      <c r="U162" s="24"/>
      <c r="V162" s="24"/>
      <c r="W162" s="24"/>
      <c r="X162" s="24"/>
      <c r="Y162" s="24"/>
      <c r="Z162" s="24"/>
      <c r="AA162" s="24"/>
      <c r="AB162" s="24"/>
      <c r="AC162" s="24"/>
      <c r="AD162" s="24">
        <f>ROW()</f>
        <v>162</v>
      </c>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c r="CD162" s="24"/>
      <c r="CE162" s="24"/>
      <c r="CF162" s="24"/>
      <c r="CG162" s="24"/>
      <c r="CH162" s="24"/>
      <c r="CI162" s="24"/>
      <c r="CJ162" s="24"/>
      <c r="CK162" s="24"/>
      <c r="CL162" s="24"/>
      <c r="CM162" s="24"/>
      <c r="CN162" s="24"/>
      <c r="CO162" s="24"/>
      <c r="CP162" s="24"/>
      <c r="CQ162" s="24"/>
      <c r="CR162" s="24"/>
      <c r="CS162" s="24"/>
      <c r="CT162" s="24"/>
      <c r="CU162" s="24"/>
      <c r="CV162" s="24"/>
      <c r="CW162" s="24"/>
      <c r="CX162" s="24"/>
      <c r="CY162" s="24"/>
      <c r="CZ162" s="24"/>
      <c r="DA162" s="24"/>
      <c r="DB162" s="24"/>
      <c r="DC162" s="24"/>
      <c r="DD162" s="24"/>
      <c r="DE162" s="24"/>
      <c r="DF162" s="24"/>
      <c r="DG162" s="24"/>
      <c r="DH162" s="24"/>
      <c r="DI162" s="24"/>
      <c r="DJ162" s="24"/>
      <c r="DK162" s="24"/>
      <c r="DL162" s="24"/>
      <c r="DM162" s="24"/>
      <c r="DN162" s="24"/>
      <c r="DO162" s="24"/>
      <c r="DP162" s="24"/>
      <c r="DQ162" s="24"/>
      <c r="DR162" s="24"/>
      <c r="DS162" s="24"/>
      <c r="DT162" s="24"/>
      <c r="DU162" s="24"/>
      <c r="DV162" s="24"/>
      <c r="DW162" s="24"/>
      <c r="DX162" s="24"/>
      <c r="DY162" s="24"/>
      <c r="DZ162" s="24"/>
      <c r="EA162" s="24"/>
      <c r="EB162" s="24"/>
      <c r="EC162" s="24"/>
      <c r="ED162" s="24"/>
      <c r="EE162" s="24"/>
      <c r="EF162" s="24"/>
      <c r="EG162" s="24"/>
      <c r="EH162" s="24"/>
      <c r="EI162" s="24"/>
      <c r="EJ162" s="24"/>
      <c r="EK162" s="24"/>
      <c r="EL162" s="24"/>
      <c r="EM162" s="24"/>
      <c r="EN162" s="24"/>
      <c r="EO162" s="24"/>
      <c r="EP162" s="24"/>
      <c r="EQ162" s="24"/>
      <c r="ER162" s="24"/>
      <c r="ES162" s="24"/>
      <c r="ET162" s="24"/>
      <c r="EU162" s="24"/>
      <c r="EV162" s="24"/>
      <c r="EW162" s="24"/>
      <c r="EX162" s="24"/>
      <c r="EY162" s="24"/>
      <c r="EZ162" s="24"/>
      <c r="FA162" s="24"/>
    </row>
    <row r="163" spans="1:157" s="24" customFormat="1" ht="14.5" customHeight="1" hidden="1">
      <c r="A163" s="24" t="s">
        <v>1000</v>
      </c>
      <c r="B163" s="160"/>
      <c r="C163" s="160"/>
      <c r="D163" s="160"/>
      <c r="E163" s="160"/>
      <c r="F163" s="160"/>
      <c r="G163" s="160"/>
      <c r="H163" s="160"/>
      <c r="I163" s="160"/>
      <c r="J163" s="160"/>
      <c r="K163" s="160"/>
      <c r="L163" s="142"/>
      <c r="M163" s="24"/>
      <c r="N163" s="24"/>
      <c r="O163" s="24"/>
      <c r="P163" s="24"/>
      <c r="Q163" s="24"/>
      <c r="R163" s="24"/>
      <c r="S163" s="24"/>
      <c r="T163" s="24"/>
      <c r="U163" s="24"/>
      <c r="V163" s="24"/>
      <c r="W163" s="24"/>
      <c r="X163" s="24"/>
      <c r="Y163" s="24"/>
      <c r="Z163" s="24"/>
      <c r="AA163" s="24"/>
      <c r="AB163" s="24"/>
      <c r="AC163" s="24"/>
      <c r="AD163" s="24">
        <f>ROW()</f>
        <v>163</v>
      </c>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c r="BG163" s="24"/>
      <c r="BH163" s="24"/>
      <c r="BI163" s="24"/>
      <c r="BJ163" s="24"/>
      <c r="BK163" s="24"/>
      <c r="BL163" s="24"/>
      <c r="BM163" s="24"/>
      <c r="BN163" s="24"/>
      <c r="BO163" s="24"/>
      <c r="BP163" s="24"/>
      <c r="BQ163" s="24"/>
      <c r="BR163" s="24"/>
      <c r="BS163" s="24"/>
      <c r="BT163" s="24"/>
      <c r="BU163" s="24"/>
      <c r="BV163" s="24"/>
      <c r="BW163" s="24"/>
      <c r="BX163" s="24"/>
      <c r="BY163" s="24"/>
      <c r="BZ163" s="24"/>
      <c r="CA163" s="24"/>
      <c r="CB163" s="24"/>
      <c r="CC163" s="24"/>
      <c r="CD163" s="24"/>
      <c r="CE163" s="24"/>
      <c r="CF163" s="24"/>
      <c r="CG163" s="24"/>
      <c r="CH163" s="24"/>
      <c r="CI163" s="24"/>
      <c r="CJ163" s="24"/>
      <c r="CK163" s="24"/>
      <c r="CL163" s="24"/>
      <c r="CM163" s="24"/>
      <c r="CN163" s="24"/>
      <c r="CO163" s="24"/>
      <c r="CP163" s="24"/>
      <c r="CQ163" s="24"/>
      <c r="CR163" s="24"/>
      <c r="CS163" s="24"/>
      <c r="CT163" s="24"/>
      <c r="CU163" s="24"/>
      <c r="CV163" s="24"/>
      <c r="CW163" s="24"/>
      <c r="CX163" s="24"/>
      <c r="CY163" s="24"/>
      <c r="CZ163" s="24"/>
      <c r="DA163" s="24"/>
      <c r="DB163" s="24"/>
      <c r="DC163" s="24"/>
      <c r="DD163" s="24"/>
      <c r="DE163" s="24"/>
      <c r="DF163" s="24"/>
      <c r="DG163" s="24"/>
      <c r="DH163" s="24"/>
      <c r="DI163" s="24"/>
      <c r="DJ163" s="24"/>
      <c r="DK163" s="24"/>
      <c r="DL163" s="24"/>
      <c r="DM163" s="24"/>
      <c r="DN163" s="24"/>
      <c r="DO163" s="24"/>
      <c r="DP163" s="24"/>
      <c r="DQ163" s="24"/>
      <c r="DR163" s="24"/>
      <c r="DS163" s="24"/>
      <c r="DT163" s="24"/>
      <c r="DU163" s="24"/>
      <c r="DV163" s="24"/>
      <c r="DW163" s="24"/>
      <c r="DX163" s="24"/>
      <c r="DY163" s="24"/>
      <c r="DZ163" s="24"/>
      <c r="EA163" s="24"/>
      <c r="EB163" s="24"/>
      <c r="EC163" s="24"/>
      <c r="ED163" s="24"/>
      <c r="EE163" s="24"/>
      <c r="EF163" s="24"/>
      <c r="EG163" s="24"/>
      <c r="EH163" s="24"/>
      <c r="EI163" s="24"/>
      <c r="EJ163" s="24"/>
      <c r="EK163" s="24"/>
      <c r="EL163" s="24"/>
      <c r="EM163" s="24"/>
      <c r="EN163" s="24"/>
      <c r="EO163" s="24"/>
      <c r="EP163" s="24"/>
      <c r="EQ163" s="24"/>
      <c r="ER163" s="24"/>
      <c r="ES163" s="24"/>
      <c r="ET163" s="24"/>
      <c r="EU163" s="24"/>
      <c r="EV163" s="24"/>
      <c r="EW163" s="24"/>
      <c r="EX163" s="24"/>
      <c r="EY163" s="24"/>
      <c r="EZ163" s="24"/>
      <c r="FA163" s="24"/>
    </row>
    <row r="164" spans="1:157" s="24" customFormat="1" ht="32.5" customHeight="1" hidden="1">
      <c r="A164" s="24" t="s">
        <v>1000</v>
      </c>
      <c r="B164" s="310"/>
      <c r="C164" s="311"/>
      <c r="D164" s="311"/>
      <c r="E164" s="311"/>
      <c r="F164" s="311"/>
      <c r="G164" s="311"/>
      <c r="H164" s="311"/>
      <c r="I164" s="311"/>
      <c r="J164" s="311"/>
      <c r="K164" s="311"/>
      <c r="L164" s="311"/>
      <c r="M164" s="311"/>
      <c r="N164" s="312"/>
      <c r="O164" s="24"/>
      <c r="P164" s="24"/>
      <c r="Q164" s="24"/>
      <c r="R164" s="24"/>
      <c r="S164" s="24"/>
      <c r="T164" s="24"/>
      <c r="U164" s="24"/>
      <c r="V164" s="24"/>
      <c r="W164" s="24"/>
      <c r="X164" s="24"/>
      <c r="Y164" s="24"/>
      <c r="Z164" s="24"/>
      <c r="AA164" s="24"/>
      <c r="AB164" s="24"/>
      <c r="AC164" s="24"/>
      <c r="AD164" s="24">
        <f>ROW()</f>
        <v>164</v>
      </c>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c r="BG164" s="24"/>
      <c r="BH164" s="24"/>
      <c r="BI164" s="24"/>
      <c r="BJ164" s="24"/>
      <c r="BK164" s="24"/>
      <c r="BL164" s="24"/>
      <c r="BM164" s="24"/>
      <c r="BN164" s="24"/>
      <c r="BO164" s="24"/>
      <c r="BP164" s="24"/>
      <c r="BQ164" s="24"/>
      <c r="BR164" s="24"/>
      <c r="BS164" s="24"/>
      <c r="BT164" s="24"/>
      <c r="BU164" s="24"/>
      <c r="BV164" s="24"/>
      <c r="BW164" s="24"/>
      <c r="BX164" s="24"/>
      <c r="BY164" s="24"/>
      <c r="BZ164" s="24"/>
      <c r="CA164" s="24"/>
      <c r="CB164" s="24"/>
      <c r="CC164" s="24"/>
      <c r="CD164" s="24"/>
      <c r="CE164" s="24"/>
      <c r="CF164" s="24"/>
      <c r="CG164" s="24"/>
      <c r="CH164" s="24"/>
      <c r="CI164" s="24"/>
      <c r="CJ164" s="24"/>
      <c r="CK164" s="24"/>
      <c r="CL164" s="24"/>
      <c r="CM164" s="24"/>
      <c r="CN164" s="24"/>
      <c r="CO164" s="24"/>
      <c r="CP164" s="24"/>
      <c r="CQ164" s="24"/>
      <c r="CR164" s="24"/>
      <c r="CS164" s="24"/>
      <c r="CT164" s="24"/>
      <c r="CU164" s="24"/>
      <c r="CV164" s="24"/>
      <c r="CW164" s="24"/>
      <c r="CX164" s="24"/>
      <c r="CY164" s="24"/>
      <c r="CZ164" s="24"/>
      <c r="DA164" s="24"/>
      <c r="DB164" s="24"/>
      <c r="DC164" s="24"/>
      <c r="DD164" s="24"/>
      <c r="DE164" s="24"/>
      <c r="DF164" s="24"/>
      <c r="DG164" s="24"/>
      <c r="DH164" s="24"/>
      <c r="DI164" s="24"/>
      <c r="DJ164" s="24"/>
      <c r="DK164" s="24"/>
      <c r="DL164" s="24"/>
      <c r="DM164" s="24"/>
      <c r="DN164" s="24"/>
      <c r="DO164" s="24"/>
      <c r="DP164" s="24"/>
      <c r="DQ164" s="24"/>
      <c r="DR164" s="24"/>
      <c r="DS164" s="24"/>
      <c r="DT164" s="24"/>
      <c r="DU164" s="24"/>
      <c r="DV164" s="24"/>
      <c r="DW164" s="24"/>
      <c r="DX164" s="24"/>
      <c r="DY164" s="24"/>
      <c r="DZ164" s="24"/>
      <c r="EA164" s="24"/>
      <c r="EB164" s="24"/>
      <c r="EC164" s="24"/>
      <c r="ED164" s="24"/>
      <c r="EE164" s="24"/>
      <c r="EF164" s="24"/>
      <c r="EG164" s="24"/>
      <c r="EH164" s="24"/>
      <c r="EI164" s="24"/>
      <c r="EJ164" s="24"/>
      <c r="EK164" s="24"/>
      <c r="EL164" s="24"/>
      <c r="EM164" s="24"/>
      <c r="EN164" s="24"/>
      <c r="EO164" s="24"/>
      <c r="EP164" s="24"/>
      <c r="EQ164" s="24"/>
      <c r="ER164" s="24"/>
      <c r="ES164" s="24"/>
      <c r="ET164" s="24"/>
      <c r="EU164" s="24"/>
      <c r="EV164" s="24"/>
      <c r="EW164" s="24"/>
      <c r="EX164" s="24"/>
      <c r="EY164" s="24"/>
      <c r="EZ164" s="24"/>
      <c r="FA164" s="24"/>
    </row>
    <row r="165" spans="1:30" ht="25" customHeight="1">
      <c r="A165" s="24"/>
      <c r="B165" s="24" t="s">
        <v>1169</v>
      </c>
      <c r="AD165" s="24">
        <f>ROW()</f>
        <v>165</v>
      </c>
    </row>
    <row r="166" spans="1:30" ht="14.5" customHeight="1">
      <c r="A166" s="24"/>
      <c r="AD166" s="24">
        <f>ROW()</f>
        <v>166</v>
      </c>
    </row>
    <row r="167" spans="1:157" s="24" customFormat="1" ht="14.5" hidden="1">
      <c r="A167" s="24" t="s">
        <v>1000</v>
      </c>
      <c r="B167" s="65" t="s">
        <v>1170</v>
      </c>
      <c r="C167" s="65"/>
      <c r="D167" s="65"/>
      <c r="E167" s="65"/>
      <c r="F167" s="65"/>
      <c r="G167" s="65"/>
      <c r="H167" s="65"/>
      <c r="I167" s="65"/>
      <c r="J167" s="65"/>
      <c r="K167" s="65"/>
      <c r="L167" s="65"/>
      <c r="M167" s="65"/>
      <c r="N167" s="65"/>
      <c r="O167" s="24"/>
      <c r="P167" s="24"/>
      <c r="Q167" s="24"/>
      <c r="R167" s="24"/>
      <c r="S167" s="24"/>
      <c r="T167" s="24"/>
      <c r="U167" s="24"/>
      <c r="V167" s="24"/>
      <c r="W167" s="24"/>
      <c r="X167" s="24"/>
      <c r="Y167" s="24"/>
      <c r="Z167" s="24"/>
      <c r="AA167" s="24"/>
      <c r="AB167" s="24"/>
      <c r="AC167" s="24"/>
      <c r="AD167" s="24">
        <f>ROW()</f>
        <v>167</v>
      </c>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c r="BG167" s="24"/>
      <c r="BH167" s="24"/>
      <c r="BI167" s="24"/>
      <c r="BJ167" s="24"/>
      <c r="BK167" s="24"/>
      <c r="BL167" s="24"/>
      <c r="BM167" s="24"/>
      <c r="BN167" s="24"/>
      <c r="BO167" s="24"/>
      <c r="BP167" s="24"/>
      <c r="BQ167" s="24"/>
      <c r="BR167" s="24"/>
      <c r="BS167" s="24"/>
      <c r="BT167" s="24"/>
      <c r="BU167" s="24"/>
      <c r="BV167" s="24"/>
      <c r="BW167" s="24"/>
      <c r="BX167" s="24"/>
      <c r="BY167" s="24"/>
      <c r="BZ167" s="24"/>
      <c r="CA167" s="24"/>
      <c r="CB167" s="24"/>
      <c r="CC167" s="24"/>
      <c r="CD167" s="24"/>
      <c r="CE167" s="24"/>
      <c r="CF167" s="24"/>
      <c r="CG167" s="24"/>
      <c r="CH167" s="24"/>
      <c r="CI167" s="24"/>
      <c r="CJ167" s="24"/>
      <c r="CK167" s="24"/>
      <c r="CL167" s="24"/>
      <c r="CM167" s="24"/>
      <c r="CN167" s="24"/>
      <c r="CO167" s="24"/>
      <c r="CP167" s="24"/>
      <c r="CQ167" s="24"/>
      <c r="CR167" s="24"/>
      <c r="CS167" s="24"/>
      <c r="CT167" s="24"/>
      <c r="CU167" s="24"/>
      <c r="CV167" s="24"/>
      <c r="CW167" s="24"/>
      <c r="CX167" s="24"/>
      <c r="CY167" s="24"/>
      <c r="CZ167" s="24"/>
      <c r="DA167" s="24"/>
      <c r="DB167" s="24"/>
      <c r="DC167" s="24"/>
      <c r="DD167" s="24"/>
      <c r="DE167" s="24"/>
      <c r="DF167" s="24"/>
      <c r="DG167" s="24"/>
      <c r="DH167" s="24"/>
      <c r="DI167" s="24"/>
      <c r="DJ167" s="24"/>
      <c r="DK167" s="24"/>
      <c r="DL167" s="24"/>
      <c r="DM167" s="24"/>
      <c r="DN167" s="24"/>
      <c r="DO167" s="24"/>
      <c r="DP167" s="24"/>
      <c r="DQ167" s="24"/>
      <c r="DR167" s="24"/>
      <c r="DS167" s="24"/>
      <c r="DT167" s="24"/>
      <c r="DU167" s="24"/>
      <c r="DV167" s="24"/>
      <c r="DW167" s="24"/>
      <c r="DX167" s="24"/>
      <c r="DY167" s="24"/>
      <c r="DZ167" s="24"/>
      <c r="EA167" s="24"/>
      <c r="EB167" s="24"/>
      <c r="EC167" s="24"/>
      <c r="ED167" s="24"/>
      <c r="EE167" s="24"/>
      <c r="EF167" s="24"/>
      <c r="EG167" s="24"/>
      <c r="EH167" s="24"/>
      <c r="EI167" s="24"/>
      <c r="EJ167" s="24"/>
      <c r="EK167" s="24"/>
      <c r="EL167" s="24"/>
      <c r="EM167" s="24"/>
      <c r="EN167" s="24"/>
      <c r="EO167" s="24"/>
      <c r="EP167" s="24"/>
      <c r="EQ167" s="24"/>
      <c r="ER167" s="24"/>
      <c r="ES167" s="24"/>
      <c r="ET167" s="24"/>
      <c r="EU167" s="24"/>
      <c r="EV167" s="24"/>
      <c r="EW167" s="24"/>
      <c r="EX167" s="24"/>
      <c r="EY167" s="24"/>
      <c r="EZ167" s="24"/>
      <c r="FA167" s="24"/>
    </row>
    <row r="168" spans="1:157" s="24" customFormat="1" ht="7" customHeight="1" hidden="1">
      <c r="A168" s="24" t="s">
        <v>1000</v>
      </c>
      <c r="B168" s="138"/>
      <c r="C168" s="138"/>
      <c r="D168" s="138"/>
      <c r="E168" s="138"/>
      <c r="F168" s="138"/>
      <c r="G168" s="138"/>
      <c r="H168" s="138"/>
      <c r="I168" s="138"/>
      <c r="J168" s="138"/>
      <c r="K168" s="138"/>
      <c r="L168" s="138"/>
      <c r="M168" s="138"/>
      <c r="N168" s="138"/>
      <c r="O168" s="24"/>
      <c r="P168" s="24"/>
      <c r="Q168" s="24"/>
      <c r="R168" s="24"/>
      <c r="S168" s="24"/>
      <c r="T168" s="24"/>
      <c r="U168" s="24"/>
      <c r="V168" s="24"/>
      <c r="W168" s="24"/>
      <c r="X168" s="24"/>
      <c r="Y168" s="24"/>
      <c r="Z168" s="24"/>
      <c r="AA168" s="24"/>
      <c r="AB168" s="24"/>
      <c r="AC168" s="24"/>
      <c r="AD168" s="24">
        <f>ROW()</f>
        <v>168</v>
      </c>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c r="BG168" s="24"/>
      <c r="BH168" s="24"/>
      <c r="BI168" s="24"/>
      <c r="BJ168" s="24"/>
      <c r="BK168" s="24"/>
      <c r="BL168" s="24"/>
      <c r="BM168" s="24"/>
      <c r="BN168" s="24"/>
      <c r="BO168" s="24"/>
      <c r="BP168" s="24"/>
      <c r="BQ168" s="24"/>
      <c r="BR168" s="24"/>
      <c r="BS168" s="24"/>
      <c r="BT168" s="24"/>
      <c r="BU168" s="24"/>
      <c r="BV168" s="24"/>
      <c r="BW168" s="24"/>
      <c r="BX168" s="24"/>
      <c r="BY168" s="24"/>
      <c r="BZ168" s="24"/>
      <c r="CA168" s="24"/>
      <c r="CB168" s="24"/>
      <c r="CC168" s="24"/>
      <c r="CD168" s="24"/>
      <c r="CE168" s="24"/>
      <c r="CF168" s="24"/>
      <c r="CG168" s="24"/>
      <c r="CH168" s="24"/>
      <c r="CI168" s="24"/>
      <c r="CJ168" s="24"/>
      <c r="CK168" s="24"/>
      <c r="CL168" s="24"/>
      <c r="CM168" s="24"/>
      <c r="CN168" s="24"/>
      <c r="CO168" s="24"/>
      <c r="CP168" s="24"/>
      <c r="CQ168" s="24"/>
      <c r="CR168" s="24"/>
      <c r="CS168" s="24"/>
      <c r="CT168" s="24"/>
      <c r="CU168" s="24"/>
      <c r="CV168" s="24"/>
      <c r="CW168" s="24"/>
      <c r="CX168" s="24"/>
      <c r="CY168" s="24"/>
      <c r="CZ168" s="24"/>
      <c r="DA168" s="24"/>
      <c r="DB168" s="24"/>
      <c r="DC168" s="24"/>
      <c r="DD168" s="24"/>
      <c r="DE168" s="24"/>
      <c r="DF168" s="24"/>
      <c r="DG168" s="24"/>
      <c r="DH168" s="24"/>
      <c r="DI168" s="24"/>
      <c r="DJ168" s="24"/>
      <c r="DK168" s="24"/>
      <c r="DL168" s="24"/>
      <c r="DM168" s="24"/>
      <c r="DN168" s="24"/>
      <c r="DO168" s="24"/>
      <c r="DP168" s="24"/>
      <c r="DQ168" s="24"/>
      <c r="DR168" s="24"/>
      <c r="DS168" s="24"/>
      <c r="DT168" s="24"/>
      <c r="DU168" s="24"/>
      <c r="DV168" s="24"/>
      <c r="DW168" s="24"/>
      <c r="DX168" s="24"/>
      <c r="DY168" s="24"/>
      <c r="DZ168" s="24"/>
      <c r="EA168" s="24"/>
      <c r="EB168" s="24"/>
      <c r="EC168" s="24"/>
      <c r="ED168" s="24"/>
      <c r="EE168" s="24"/>
      <c r="EF168" s="24"/>
      <c r="EG168" s="24"/>
      <c r="EH168" s="24"/>
      <c r="EI168" s="24"/>
      <c r="EJ168" s="24"/>
      <c r="EK168" s="24"/>
      <c r="EL168" s="24"/>
      <c r="EM168" s="24"/>
      <c r="EN168" s="24"/>
      <c r="EO168" s="24"/>
      <c r="EP168" s="24"/>
      <c r="EQ168" s="24"/>
      <c r="ER168" s="24"/>
      <c r="ES168" s="24"/>
      <c r="ET168" s="24"/>
      <c r="EU168" s="24"/>
      <c r="EV168" s="24"/>
      <c r="EW168" s="24"/>
      <c r="EX168" s="24"/>
      <c r="EY168" s="24"/>
      <c r="EZ168" s="24"/>
      <c r="FA168" s="24"/>
    </row>
    <row r="169" spans="1:157" s="24" customFormat="1" ht="32.15" customHeight="1" hidden="1">
      <c r="A169" s="24" t="s">
        <v>1000</v>
      </c>
      <c r="B169" s="310"/>
      <c r="C169" s="311"/>
      <c r="D169" s="311"/>
      <c r="E169" s="311"/>
      <c r="F169" s="311"/>
      <c r="G169" s="311"/>
      <c r="H169" s="311"/>
      <c r="I169" s="311"/>
      <c r="J169" s="311"/>
      <c r="K169" s="311"/>
      <c r="L169" s="311"/>
      <c r="M169" s="311"/>
      <c r="N169" s="312"/>
      <c r="O169" s="24"/>
      <c r="P169" s="24"/>
      <c r="Q169" s="24"/>
      <c r="R169" s="24"/>
      <c r="S169" s="24"/>
      <c r="T169" s="24"/>
      <c r="U169" s="24"/>
      <c r="V169" s="24"/>
      <c r="W169" s="24"/>
      <c r="X169" s="24"/>
      <c r="Y169" s="24"/>
      <c r="Z169" s="24"/>
      <c r="AA169" s="24"/>
      <c r="AB169" s="24"/>
      <c r="AC169" s="24"/>
      <c r="AD169" s="24">
        <f>ROW()</f>
        <v>169</v>
      </c>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c r="BG169" s="24"/>
      <c r="BH169" s="24"/>
      <c r="BI169" s="24"/>
      <c r="BJ169" s="24"/>
      <c r="BK169" s="24"/>
      <c r="BL169" s="24"/>
      <c r="BM169" s="24"/>
      <c r="BN169" s="24"/>
      <c r="BO169" s="24"/>
      <c r="BP169" s="24"/>
      <c r="BQ169" s="24"/>
      <c r="BR169" s="24"/>
      <c r="BS169" s="24"/>
      <c r="BT169" s="24"/>
      <c r="BU169" s="24"/>
      <c r="BV169" s="24"/>
      <c r="BW169" s="24"/>
      <c r="BX169" s="24"/>
      <c r="BY169" s="24"/>
      <c r="BZ169" s="24"/>
      <c r="CA169" s="24"/>
      <c r="CB169" s="24"/>
      <c r="CC169" s="24"/>
      <c r="CD169" s="24"/>
      <c r="CE169" s="24"/>
      <c r="CF169" s="24"/>
      <c r="CG169" s="24"/>
      <c r="CH169" s="24"/>
      <c r="CI169" s="24"/>
      <c r="CJ169" s="24"/>
      <c r="CK169" s="24"/>
      <c r="CL169" s="24"/>
      <c r="CM169" s="24"/>
      <c r="CN169" s="24"/>
      <c r="CO169" s="24"/>
      <c r="CP169" s="24"/>
      <c r="CQ169" s="24"/>
      <c r="CR169" s="24"/>
      <c r="CS169" s="24"/>
      <c r="CT169" s="24"/>
      <c r="CU169" s="24"/>
      <c r="CV169" s="24"/>
      <c r="CW169" s="24"/>
      <c r="CX169" s="24"/>
      <c r="CY169" s="24"/>
      <c r="CZ169" s="24"/>
      <c r="DA169" s="24"/>
      <c r="DB169" s="24"/>
      <c r="DC169" s="24"/>
      <c r="DD169" s="24"/>
      <c r="DE169" s="24"/>
      <c r="DF169" s="24"/>
      <c r="DG169" s="24"/>
      <c r="DH169" s="24"/>
      <c r="DI169" s="24"/>
      <c r="DJ169" s="24"/>
      <c r="DK169" s="24"/>
      <c r="DL169" s="24"/>
      <c r="DM169" s="24"/>
      <c r="DN169" s="24"/>
      <c r="DO169" s="24"/>
      <c r="DP169" s="24"/>
      <c r="DQ169" s="24"/>
      <c r="DR169" s="24"/>
      <c r="DS169" s="24"/>
      <c r="DT169" s="24"/>
      <c r="DU169" s="24"/>
      <c r="DV169" s="24"/>
      <c r="DW169" s="24"/>
      <c r="DX169" s="24"/>
      <c r="DY169" s="24"/>
      <c r="DZ169" s="24"/>
      <c r="EA169" s="24"/>
      <c r="EB169" s="24"/>
      <c r="EC169" s="24"/>
      <c r="ED169" s="24"/>
      <c r="EE169" s="24"/>
      <c r="EF169" s="24"/>
      <c r="EG169" s="24"/>
      <c r="EH169" s="24"/>
      <c r="EI169" s="24"/>
      <c r="EJ169" s="24"/>
      <c r="EK169" s="24"/>
      <c r="EL169" s="24"/>
      <c r="EM169" s="24"/>
      <c r="EN169" s="24"/>
      <c r="EO169" s="24"/>
      <c r="EP169" s="24"/>
      <c r="EQ169" s="24"/>
      <c r="ER169" s="24"/>
      <c r="ES169" s="24"/>
      <c r="ET169" s="24"/>
      <c r="EU169" s="24"/>
      <c r="EV169" s="24"/>
      <c r="EW169" s="24"/>
      <c r="EX169" s="24"/>
      <c r="EY169" s="24"/>
      <c r="EZ169" s="24"/>
      <c r="FA169" s="24"/>
    </row>
    <row r="170" spans="1:30" ht="14.5">
      <c r="A170" s="24"/>
      <c r="B170" s="65" t="s">
        <v>1171</v>
      </c>
      <c r="C170" s="65"/>
      <c r="D170" s="65"/>
      <c r="E170" s="65"/>
      <c r="F170" s="65"/>
      <c r="G170" s="65"/>
      <c r="H170" s="65"/>
      <c r="I170" s="65"/>
      <c r="J170" s="65"/>
      <c r="K170" s="65"/>
      <c r="M170" s="88"/>
      <c r="N170" s="88"/>
      <c r="AD170" s="24">
        <f>ROW()</f>
        <v>170</v>
      </c>
    </row>
    <row r="171" spans="1:30" ht="24.65" customHeight="1">
      <c r="A171" s="24"/>
      <c r="B171" s="138"/>
      <c r="C171" s="138"/>
      <c r="D171" s="138"/>
      <c r="E171" s="138"/>
      <c r="F171" s="138"/>
      <c r="G171" s="138"/>
      <c r="H171" s="138"/>
      <c r="I171" s="138"/>
      <c r="J171" s="138"/>
      <c r="K171" s="138"/>
      <c r="AD171" s="24">
        <f>ROW()</f>
        <v>171</v>
      </c>
    </row>
    <row r="172" spans="1:30" ht="32.15" customHeight="1">
      <c r="A172" s="24"/>
      <c r="B172" s="147"/>
      <c r="C172" s="146"/>
      <c r="D172" s="146"/>
      <c r="E172" s="146"/>
      <c r="F172" s="146"/>
      <c r="G172" s="146"/>
      <c r="H172" s="146"/>
      <c r="I172" s="146"/>
      <c r="J172" s="146"/>
      <c r="K172" s="146"/>
      <c r="L172" s="146"/>
      <c r="M172" s="146"/>
      <c r="N172" s="148"/>
      <c r="AD172" s="24">
        <f>ROW()</f>
        <v>172</v>
      </c>
    </row>
    <row r="173" spans="1:30" ht="27.65" customHeight="1">
      <c r="A173" s="24"/>
      <c r="B173" s="138" t="s">
        <v>1172</v>
      </c>
      <c r="C173" s="138"/>
      <c r="D173" s="138"/>
      <c r="E173" s="138"/>
      <c r="F173" s="138"/>
      <c r="G173" s="138"/>
      <c r="H173" s="138"/>
      <c r="I173" s="138"/>
      <c r="J173" s="138"/>
      <c r="K173" s="138"/>
      <c r="M173" s="172"/>
      <c r="N173" s="172"/>
      <c r="AD173" s="24">
        <f>ROW()</f>
        <v>173</v>
      </c>
    </row>
    <row r="174" spans="1:30" ht="32.15" customHeight="1">
      <c r="A174" s="24"/>
      <c r="B174" s="147"/>
      <c r="C174" s="146"/>
      <c r="D174" s="146"/>
      <c r="E174" s="146"/>
      <c r="F174" s="146"/>
      <c r="G174" s="146"/>
      <c r="H174" s="146"/>
      <c r="I174" s="146"/>
      <c r="J174" s="146"/>
      <c r="K174" s="146"/>
      <c r="L174" s="146"/>
      <c r="M174" s="146"/>
      <c r="N174" s="148"/>
      <c r="AD174" s="24">
        <f>ROW()</f>
        <v>174</v>
      </c>
    </row>
    <row r="175" spans="1:30" ht="14.5">
      <c r="A175" s="24"/>
      <c r="B175" s="65" t="s">
        <v>1173</v>
      </c>
      <c r="C175" s="65"/>
      <c r="D175" s="65"/>
      <c r="E175" s="65"/>
      <c r="F175" s="65"/>
      <c r="G175" s="65"/>
      <c r="H175" s="65"/>
      <c r="I175" s="65"/>
      <c r="J175" s="65"/>
      <c r="K175" s="65"/>
      <c r="M175" s="55"/>
      <c r="N175" s="55"/>
      <c r="AD175" s="24">
        <f>ROW()</f>
        <v>175</v>
      </c>
    </row>
    <row r="176" spans="1:30" ht="36.65" customHeight="1">
      <c r="A176" s="24"/>
      <c r="B176" s="138"/>
      <c r="C176" s="138"/>
      <c r="D176" s="138"/>
      <c r="E176" s="138"/>
      <c r="F176" s="138"/>
      <c r="G176" s="138"/>
      <c r="H176" s="138"/>
      <c r="I176" s="138"/>
      <c r="J176" s="138"/>
      <c r="K176" s="138"/>
      <c r="AD176" s="24">
        <f>ROW()</f>
        <v>176</v>
      </c>
    </row>
    <row r="177" spans="1:30" ht="32.5" customHeight="1">
      <c r="A177" s="24"/>
      <c r="B177" s="147"/>
      <c r="C177" s="146"/>
      <c r="D177" s="146"/>
      <c r="E177" s="146"/>
      <c r="F177" s="146"/>
      <c r="G177" s="146"/>
      <c r="H177" s="146"/>
      <c r="I177" s="146"/>
      <c r="J177" s="146"/>
      <c r="K177" s="146"/>
      <c r="L177" s="146"/>
      <c r="M177" s="146"/>
      <c r="N177" s="148"/>
      <c r="AD177" s="24">
        <f>ROW()</f>
        <v>177</v>
      </c>
    </row>
    <row r="178" spans="1:30" ht="14.5">
      <c r="A178" s="24"/>
      <c r="B178" s="65" t="s">
        <v>1174</v>
      </c>
      <c r="C178" s="65"/>
      <c r="D178" s="65"/>
      <c r="E178" s="65"/>
      <c r="F178" s="65"/>
      <c r="G178" s="65"/>
      <c r="H178" s="65"/>
      <c r="I178" s="65"/>
      <c r="J178" s="65"/>
      <c r="K178" s="65"/>
      <c r="M178" s="55"/>
      <c r="N178" s="55"/>
      <c r="AD178" s="24">
        <f>ROW()</f>
        <v>178</v>
      </c>
    </row>
    <row r="179" spans="1:30" ht="25" customHeight="1">
      <c r="A179" s="24"/>
      <c r="B179" s="138"/>
      <c r="C179" s="138"/>
      <c r="D179" s="138"/>
      <c r="E179" s="138"/>
      <c r="F179" s="138"/>
      <c r="G179" s="138"/>
      <c r="H179" s="138"/>
      <c r="I179" s="138"/>
      <c r="J179" s="138"/>
      <c r="K179" s="138"/>
      <c r="AD179" s="24">
        <f>ROW()</f>
        <v>179</v>
      </c>
    </row>
    <row r="180" spans="1:30" ht="36" customHeight="1">
      <c r="A180" s="24"/>
      <c r="B180" s="147"/>
      <c r="C180" s="146"/>
      <c r="D180" s="146"/>
      <c r="E180" s="146"/>
      <c r="F180" s="146"/>
      <c r="G180" s="146"/>
      <c r="H180" s="146"/>
      <c r="I180" s="146"/>
      <c r="J180" s="146"/>
      <c r="K180" s="146"/>
      <c r="L180" s="146"/>
      <c r="M180" s="146"/>
      <c r="N180" s="148"/>
      <c r="AD180" s="24">
        <f>ROW()</f>
        <v>180</v>
      </c>
    </row>
    <row r="181" spans="1:30" ht="16" customHeight="1">
      <c r="A181" s="24"/>
      <c r="B181" s="65" t="s">
        <v>1175</v>
      </c>
      <c r="C181" s="65"/>
      <c r="D181" s="65"/>
      <c r="E181" s="65"/>
      <c r="F181" s="65"/>
      <c r="G181" s="65"/>
      <c r="H181" s="65"/>
      <c r="I181" s="65"/>
      <c r="J181" s="65"/>
      <c r="K181" s="65"/>
      <c r="AD181" s="24">
        <f>ROW()</f>
        <v>181</v>
      </c>
    </row>
    <row r="182" spans="1:30" ht="27.65" customHeight="1">
      <c r="A182" s="24"/>
      <c r="B182" s="138"/>
      <c r="C182" s="138"/>
      <c r="D182" s="138"/>
      <c r="E182" s="138"/>
      <c r="F182" s="138"/>
      <c r="G182" s="138"/>
      <c r="H182" s="138"/>
      <c r="I182" s="138"/>
      <c r="J182" s="138"/>
      <c r="K182" s="138"/>
      <c r="AD182" s="24">
        <f>ROW()</f>
        <v>182</v>
      </c>
    </row>
    <row r="183" spans="1:30" ht="32.15" customHeight="1">
      <c r="A183" s="24"/>
      <c r="B183" s="135"/>
      <c r="C183" s="134"/>
      <c r="D183" s="134"/>
      <c r="E183" s="134"/>
      <c r="F183" s="134"/>
      <c r="G183" s="134"/>
      <c r="H183" s="134"/>
      <c r="I183" s="134"/>
      <c r="J183" s="134"/>
      <c r="K183" s="134"/>
      <c r="L183" s="134"/>
      <c r="M183" s="134"/>
      <c r="N183" s="136"/>
      <c r="AD183" s="24">
        <f>ROW()</f>
        <v>183</v>
      </c>
    </row>
    <row r="184" spans="1:30 54:64" ht="24.65" customHeight="1">
      <c r="A184" s="24"/>
      <c r="B184" s="133" t="s">
        <v>1176</v>
      </c>
      <c r="C184" s="172"/>
      <c r="D184" s="172"/>
      <c r="E184" s="172"/>
      <c r="F184" s="172"/>
      <c r="G184" s="172"/>
      <c r="H184" s="172"/>
      <c r="I184" s="172"/>
      <c r="J184" s="172"/>
      <c r="K184" s="172"/>
      <c r="M184" s="161"/>
      <c r="N184" s="161"/>
      <c r="AD184" s="24">
        <f>ROW()</f>
        <v>184</v>
      </c>
      <c r="BB184" s="64"/>
      <c r="BC184" s="64"/>
      <c r="BD184" s="64"/>
      <c r="BE184" s="64"/>
      <c r="BF184" s="64"/>
      <c r="BG184" s="64"/>
      <c r="BH184" s="64"/>
      <c r="BI184" s="64"/>
      <c r="BJ184" s="64"/>
      <c r="BK184" s="64"/>
      <c r="BL184" s="64"/>
    </row>
    <row r="185" spans="1:30" ht="32.5" customHeight="1">
      <c r="A185" s="24"/>
      <c r="B185" s="135"/>
      <c r="C185" s="134"/>
      <c r="D185" s="134"/>
      <c r="E185" s="134"/>
      <c r="F185" s="134"/>
      <c r="G185" s="134"/>
      <c r="H185" s="134"/>
      <c r="I185" s="134"/>
      <c r="J185" s="134"/>
      <c r="K185" s="134"/>
      <c r="L185" s="134"/>
      <c r="M185" s="134"/>
      <c r="N185" s="136"/>
      <c r="AD185" s="24">
        <f>ROW()</f>
        <v>185</v>
      </c>
    </row>
    <row r="186" spans="1:30" ht="26.5" customHeight="1">
      <c r="A186" s="24"/>
      <c r="B186" s="133" t="s">
        <v>1177</v>
      </c>
      <c r="C186" s="172"/>
      <c r="D186" s="172"/>
      <c r="E186" s="172"/>
      <c r="F186" s="172"/>
      <c r="G186" s="172"/>
      <c r="H186" s="172"/>
      <c r="I186" s="172"/>
      <c r="J186" s="172"/>
      <c r="K186" s="172"/>
      <c r="M186" s="161"/>
      <c r="N186" s="161"/>
      <c r="AD186" s="24">
        <f>ROW()</f>
        <v>186</v>
      </c>
    </row>
    <row r="187" spans="1:30" ht="32.5" customHeight="1">
      <c r="A187" s="24"/>
      <c r="B187" s="169"/>
      <c r="C187" s="168"/>
      <c r="D187" s="168"/>
      <c r="E187" s="168"/>
      <c r="F187" s="168"/>
      <c r="G187" s="168"/>
      <c r="H187" s="168"/>
      <c r="I187" s="168"/>
      <c r="J187" s="168"/>
      <c r="K187" s="168"/>
      <c r="L187" s="168"/>
      <c r="M187" s="168"/>
      <c r="N187" s="136"/>
      <c r="AD187" s="24">
        <f>ROW()</f>
        <v>187</v>
      </c>
    </row>
    <row r="188" spans="1:30" ht="26.5" customHeight="1">
      <c r="A188" s="24"/>
      <c r="B188" s="176" t="s">
        <v>1178</v>
      </c>
      <c r="C188" s="176"/>
      <c r="D188" s="176"/>
      <c r="E188" s="176"/>
      <c r="F188" s="176"/>
      <c r="G188" s="176"/>
      <c r="H188" s="176"/>
      <c r="I188" s="176"/>
      <c r="J188" s="176"/>
      <c r="K188" s="176"/>
      <c r="M188" s="140"/>
      <c r="N188" s="140"/>
      <c r="AD188" s="24">
        <f>ROW()</f>
        <v>188</v>
      </c>
    </row>
    <row r="189" spans="1:30" ht="31" customHeight="1">
      <c r="A189" s="24"/>
      <c r="B189" s="135"/>
      <c r="C189" s="134"/>
      <c r="D189" s="134"/>
      <c r="E189" s="134"/>
      <c r="F189" s="134"/>
      <c r="G189" s="134"/>
      <c r="H189" s="134"/>
      <c r="I189" s="134"/>
      <c r="J189" s="134"/>
      <c r="K189" s="134"/>
      <c r="L189" s="134"/>
      <c r="M189" s="134"/>
      <c r="N189" s="136"/>
      <c r="AD189" s="24">
        <f>ROW()</f>
        <v>189</v>
      </c>
    </row>
    <row r="190" spans="1:3 30:30 54:70" s="64" customFormat="1" ht="26.15" customHeight="1">
      <c r="A190" s="64"/>
      <c r="B190" s="24" t="s">
        <v>1179</v>
      </c>
      <c r="C190" s="112"/>
      <c r="AD190" s="64">
        <f>ROW()</f>
        <v>190</v>
      </c>
      <c r="BB190" s="24"/>
      <c r="BC190" s="24"/>
      <c r="BD190" s="24"/>
      <c r="BE190" s="24"/>
      <c r="BF190" s="24"/>
      <c r="BG190" s="24"/>
      <c r="BH190" s="24"/>
      <c r="BI190" s="24"/>
      <c r="BJ190" s="24"/>
      <c r="BK190" s="24"/>
      <c r="BL190" s="24"/>
      <c r="BM190" s="24"/>
      <c r="BN190" s="24"/>
      <c r="BO190" s="24"/>
      <c r="BP190" s="24"/>
      <c r="BQ190" s="24"/>
      <c r="BR190" s="24"/>
    </row>
    <row r="191" spans="1:3 30:30 66:70" ht="14.5">
      <c r="A191" s="24"/>
      <c r="B191" s="55"/>
      <c r="C191" s="55"/>
      <c r="AD191" s="24">
        <f>ROW()</f>
        <v>191</v>
      </c>
      <c r="BN191" s="64"/>
      <c r="BO191" s="64"/>
      <c r="BP191" s="64"/>
      <c r="BQ191" s="64"/>
      <c r="BR191" s="64"/>
    </row>
    <row r="192" spans="1:30 65:65" ht="14.5">
      <c r="A192" s="24"/>
      <c r="B192" s="56" t="s">
        <v>1180</v>
      </c>
      <c r="C192" s="55"/>
      <c r="M192" s="158"/>
      <c r="N192" s="159"/>
      <c r="AD192" s="24">
        <f>ROW()</f>
        <v>192</v>
      </c>
      <c r="BM192" s="64"/>
    </row>
    <row r="193" spans="1:30" ht="14.5">
      <c r="A193" s="24"/>
      <c r="B193" s="55"/>
      <c r="C193" s="55"/>
      <c r="AD193" s="24">
        <f>ROW()</f>
        <v>193</v>
      </c>
    </row>
    <row r="194" spans="1:30" ht="14.5">
      <c r="A194" s="24"/>
      <c r="B194" s="56" t="s">
        <v>1181</v>
      </c>
      <c r="C194" s="55"/>
      <c r="M194" s="158"/>
      <c r="N194" s="159"/>
      <c r="AD194" s="24">
        <f>ROW()</f>
        <v>194</v>
      </c>
    </row>
    <row r="195" spans="1:30" ht="14.5">
      <c r="A195" s="24"/>
      <c r="AD195" s="24">
        <f>ROW()</f>
        <v>195</v>
      </c>
    </row>
    <row r="196" spans="1:30" ht="14.5">
      <c r="A196" s="24"/>
      <c r="B196" s="56" t="s">
        <v>1182</v>
      </c>
      <c r="M196" s="158"/>
      <c r="N196" s="159"/>
      <c r="AD196" s="24">
        <f>ROW()</f>
        <v>196</v>
      </c>
    </row>
    <row r="197" spans="1:30" ht="14.5">
      <c r="A197" s="24"/>
      <c r="B197" s="55"/>
      <c r="AD197" s="24">
        <f>ROW()</f>
        <v>197</v>
      </c>
    </row>
    <row r="198" spans="1:30" ht="14.5">
      <c r="A198" s="24"/>
      <c r="B198" s="56" t="s">
        <v>1183</v>
      </c>
      <c r="M198" s="158"/>
      <c r="N198" s="159"/>
      <c r="AD198" s="24">
        <f>ROW()</f>
        <v>198</v>
      </c>
    </row>
    <row r="199" spans="1:30" ht="14.5">
      <c r="A199" s="24"/>
      <c r="B199" s="55"/>
      <c r="AD199" s="24">
        <f>ROW()</f>
        <v>199</v>
      </c>
    </row>
    <row r="200" spans="1:30" ht="14.5">
      <c r="A200" s="24"/>
      <c r="B200" s="56" t="s">
        <v>1184</v>
      </c>
      <c r="M200" s="158"/>
      <c r="N200" s="159"/>
      <c r="AD200" s="24">
        <f>ROW()</f>
        <v>200</v>
      </c>
    </row>
    <row r="201" spans="1:30" ht="14.5">
      <c r="A201" s="24"/>
      <c r="AD201" s="24">
        <f>ROW()</f>
        <v>201</v>
      </c>
    </row>
    <row r="202" spans="1:30" ht="14.5">
      <c r="A202" s="24"/>
      <c r="B202" s="56" t="s">
        <v>1185</v>
      </c>
      <c r="M202" s="153"/>
      <c r="N202" s="154"/>
      <c r="AD202" s="24">
        <f>ROW()</f>
        <v>202</v>
      </c>
    </row>
    <row r="203" spans="1:30" ht="14.5">
      <c r="A203" s="24"/>
      <c r="AD203" s="24">
        <f>ROW()</f>
        <v>203</v>
      </c>
    </row>
    <row r="204" spans="1:30" ht="14.5">
      <c r="A204" s="24"/>
      <c r="B204" s="56" t="s">
        <v>1186</v>
      </c>
      <c r="M204" s="153"/>
      <c r="N204" s="154"/>
      <c r="AD204" s="24">
        <f>ROW()</f>
        <v>204</v>
      </c>
    </row>
    <row r="205" spans="1:30" ht="14.5">
      <c r="A205" s="24"/>
      <c r="AD205" s="24">
        <f>ROW()</f>
        <v>205</v>
      </c>
    </row>
    <row r="206" spans="1:30" ht="14.5">
      <c r="A206" s="24"/>
      <c r="B206" s="56" t="s">
        <v>1187</v>
      </c>
      <c r="M206" s="153"/>
      <c r="N206" s="154"/>
      <c r="AD206" s="24">
        <f>ROW()</f>
        <v>206</v>
      </c>
    </row>
    <row r="207" spans="1:30" ht="14.5">
      <c r="A207" s="24"/>
      <c r="AD207" s="24">
        <f>ROW()</f>
        <v>207</v>
      </c>
    </row>
    <row r="208" spans="1:30" ht="14.5">
      <c r="A208" s="24"/>
      <c r="B208" s="37" t="s">
        <v>1188</v>
      </c>
      <c r="C208" s="55"/>
      <c r="M208" s="153"/>
      <c r="N208" s="154"/>
      <c r="AD208" s="24">
        <f>ROW()</f>
        <v>208</v>
      </c>
    </row>
    <row r="209" spans="1:30" ht="14.5">
      <c r="A209" s="24"/>
      <c r="AD209" s="24">
        <f>ROW()</f>
        <v>209</v>
      </c>
    </row>
    <row r="210" spans="1:30" ht="14.5">
      <c r="A210" s="24"/>
      <c r="B210" s="31" t="s">
        <v>1189</v>
      </c>
      <c r="C210" s="41"/>
      <c r="D210" s="41"/>
      <c r="E210" s="41"/>
      <c r="F210" s="41"/>
      <c r="G210" s="41"/>
      <c r="H210" s="41"/>
      <c r="I210" s="41"/>
      <c r="J210" s="41"/>
      <c r="M210" s="72"/>
      <c r="N210" s="72"/>
      <c r="AD210" s="24">
        <f>ROW()</f>
        <v>210</v>
      </c>
    </row>
    <row r="211" spans="1:30" ht="14.5">
      <c r="A211" s="24"/>
      <c r="B211" s="177"/>
      <c r="C211" s="177"/>
      <c r="D211" s="177"/>
      <c r="E211" s="177"/>
      <c r="F211" s="177"/>
      <c r="G211" s="177"/>
      <c r="H211" s="177"/>
      <c r="I211" s="177"/>
      <c r="J211" s="177"/>
      <c r="AD211" s="24">
        <f>ROW()</f>
        <v>211</v>
      </c>
    </row>
    <row r="212" spans="1:30" ht="32.15" customHeight="1">
      <c r="A212" s="24"/>
      <c r="B212" s="135"/>
      <c r="C212" s="134"/>
      <c r="D212" s="134"/>
      <c r="E212" s="134"/>
      <c r="F212" s="134"/>
      <c r="G212" s="134"/>
      <c r="H212" s="134"/>
      <c r="I212" s="134"/>
      <c r="J212" s="134"/>
      <c r="K212" s="134"/>
      <c r="L212" s="134"/>
      <c r="M212" s="134"/>
      <c r="N212" s="136"/>
      <c r="AD212" s="24">
        <f>ROW()</f>
        <v>212</v>
      </c>
    </row>
    <row r="213" spans="1:30" ht="15.65" customHeight="1">
      <c r="A213" s="24"/>
      <c r="B213" s="63" t="s">
        <v>1190</v>
      </c>
      <c r="C213" s="63"/>
      <c r="D213" s="63"/>
      <c r="E213" s="63"/>
      <c r="F213" s="63"/>
      <c r="G213" s="63"/>
      <c r="H213" s="63"/>
      <c r="I213" s="63"/>
      <c r="J213" s="63"/>
      <c r="M213" s="88"/>
      <c r="N213" s="88"/>
      <c r="AD213" s="24">
        <f>ROW()</f>
        <v>213</v>
      </c>
    </row>
    <row r="214" spans="1:30" ht="27.65" customHeight="1">
      <c r="A214" s="24"/>
      <c r="B214" s="137"/>
      <c r="C214" s="137"/>
      <c r="D214" s="137"/>
      <c r="E214" s="137"/>
      <c r="F214" s="137"/>
      <c r="G214" s="137"/>
      <c r="H214" s="137"/>
      <c r="I214" s="137"/>
      <c r="J214" s="137"/>
      <c r="AD214" s="24">
        <f>ROW()</f>
        <v>214</v>
      </c>
    </row>
    <row r="215" spans="1:30" ht="31.5" customHeight="1">
      <c r="A215" s="24"/>
      <c r="B215" s="135"/>
      <c r="C215" s="134"/>
      <c r="D215" s="134"/>
      <c r="E215" s="134"/>
      <c r="F215" s="134"/>
      <c r="G215" s="134"/>
      <c r="H215" s="134"/>
      <c r="I215" s="134"/>
      <c r="J215" s="134"/>
      <c r="K215" s="134"/>
      <c r="L215" s="134"/>
      <c r="M215" s="134"/>
      <c r="N215" s="136"/>
      <c r="AD215" s="24">
        <f>ROW()</f>
        <v>215</v>
      </c>
    </row>
    <row r="216" spans="1:30" ht="33.5" customHeight="1">
      <c r="A216" s="24"/>
      <c r="B216" s="24" t="s">
        <v>1191</v>
      </c>
      <c r="C216" s="24"/>
      <c r="D216" s="24"/>
      <c r="E216" s="24"/>
      <c r="F216" s="24"/>
      <c r="G216" s="24"/>
      <c r="H216" s="24"/>
      <c r="I216" s="24"/>
      <c r="J216" s="24"/>
      <c r="AD216" s="24">
        <f>ROW()</f>
        <v>216</v>
      </c>
    </row>
    <row r="217" spans="1:30" ht="14.5">
      <c r="A217" s="24"/>
      <c r="AD217" s="24">
        <f>ROW()</f>
        <v>217</v>
      </c>
    </row>
    <row r="218" spans="1:30" ht="14.5">
      <c r="A218" s="24"/>
      <c r="B218" s="70" t="s">
        <v>1192</v>
      </c>
      <c r="C218" s="70"/>
      <c r="D218" s="70"/>
      <c r="E218" s="70"/>
      <c r="F218" s="70"/>
      <c r="G218" s="70"/>
      <c r="H218" s="70"/>
      <c r="I218" s="70"/>
      <c r="J218" s="70"/>
      <c r="M218" s="88"/>
      <c r="N218" s="88"/>
      <c r="AD218" s="24">
        <f>ROW()</f>
        <v>218</v>
      </c>
    </row>
    <row r="219" spans="1:30" ht="25" customHeight="1">
      <c r="A219" s="24"/>
      <c r="B219" s="178"/>
      <c r="C219" s="178"/>
      <c r="D219" s="178"/>
      <c r="E219" s="178"/>
      <c r="F219" s="178"/>
      <c r="G219" s="178"/>
      <c r="H219" s="178"/>
      <c r="I219" s="178"/>
      <c r="J219" s="178"/>
      <c r="AD219" s="24">
        <f>ROW()</f>
        <v>219</v>
      </c>
    </row>
    <row r="220" spans="1:30" ht="32.15" customHeight="1">
      <c r="A220" s="24"/>
      <c r="B220" s="135"/>
      <c r="C220" s="134"/>
      <c r="D220" s="134"/>
      <c r="E220" s="134"/>
      <c r="F220" s="134"/>
      <c r="G220" s="134"/>
      <c r="H220" s="134"/>
      <c r="I220" s="134"/>
      <c r="J220" s="134"/>
      <c r="K220" s="134"/>
      <c r="L220" s="134"/>
      <c r="M220" s="134"/>
      <c r="N220" s="136"/>
      <c r="AD220" s="24">
        <f>ROW()</f>
        <v>220</v>
      </c>
    </row>
    <row r="221" spans="1:30" ht="14.5">
      <c r="A221" s="24"/>
      <c r="AD221" s="24">
        <f>ROW()</f>
        <v>221</v>
      </c>
    </row>
    <row r="222" spans="1:30" ht="14.5">
      <c r="A222" s="24"/>
      <c r="B222" s="56" t="s">
        <v>1193</v>
      </c>
      <c r="C222" s="56"/>
      <c r="D222" s="56"/>
      <c r="E222" s="56"/>
      <c r="F222" s="56"/>
      <c r="G222" s="56"/>
      <c r="M222" s="165"/>
      <c r="N222" s="154"/>
      <c r="AD222" s="24">
        <f>ROW()</f>
        <v>222</v>
      </c>
    </row>
    <row r="223" spans="1:30" ht="14.5">
      <c r="A223" s="24"/>
      <c r="B223" s="55"/>
      <c r="C223" s="55"/>
      <c r="D223" s="55"/>
      <c r="E223" s="55"/>
      <c r="F223" s="55"/>
      <c r="G223" s="55"/>
      <c r="AD223" s="24">
        <f>ROW()</f>
        <v>223</v>
      </c>
    </row>
    <row r="224" spans="1:30" ht="14.5">
      <c r="A224" s="24"/>
      <c r="B224" s="41" t="s">
        <v>1194</v>
      </c>
      <c r="C224" s="41"/>
      <c r="D224" s="41"/>
      <c r="E224" s="41"/>
      <c r="F224" s="41"/>
      <c r="G224" s="41"/>
      <c r="M224" s="165"/>
      <c r="N224" s="154"/>
      <c r="AD224" s="24">
        <f>ROW()</f>
        <v>224</v>
      </c>
    </row>
    <row r="225" spans="1:30" ht="14.5">
      <c r="A225" s="24"/>
      <c r="B225" s="55"/>
      <c r="C225" s="55"/>
      <c r="D225" s="55"/>
      <c r="E225" s="55"/>
      <c r="F225" s="55"/>
      <c r="G225" s="55"/>
      <c r="AD225" s="24">
        <f>ROW()</f>
        <v>225</v>
      </c>
    </row>
    <row r="226" spans="1:30" ht="14.5">
      <c r="A226" s="24"/>
      <c r="B226" s="41" t="s">
        <v>1195</v>
      </c>
      <c r="C226" s="41"/>
      <c r="D226" s="41"/>
      <c r="E226" s="41"/>
      <c r="F226" s="41"/>
      <c r="G226" s="41"/>
      <c r="M226" s="165"/>
      <c r="N226" s="154"/>
      <c r="AD226" s="24">
        <f>ROW()</f>
        <v>226</v>
      </c>
    </row>
    <row r="227" spans="1:30" ht="14.5">
      <c r="A227" s="24"/>
      <c r="B227" s="55"/>
      <c r="C227" s="55"/>
      <c r="D227" s="55"/>
      <c r="E227" s="55"/>
      <c r="F227" s="55"/>
      <c r="G227" s="55"/>
      <c r="AD227" s="24">
        <f>ROW()</f>
        <v>227</v>
      </c>
    </row>
    <row r="228" spans="1:30" ht="14.5">
      <c r="A228" s="24"/>
      <c r="B228" s="177" t="s">
        <v>1196</v>
      </c>
      <c r="C228" s="177"/>
      <c r="D228" s="177"/>
      <c r="E228" s="177"/>
      <c r="F228" s="177"/>
      <c r="G228" s="177"/>
      <c r="M228" s="161"/>
      <c r="N228" s="161"/>
      <c r="AD228" s="24">
        <f>ROW()</f>
        <v>228</v>
      </c>
    </row>
    <row r="229" spans="1:30" ht="32.15" customHeight="1">
      <c r="A229" s="24"/>
      <c r="B229" s="135"/>
      <c r="C229" s="134"/>
      <c r="D229" s="134"/>
      <c r="E229" s="134"/>
      <c r="F229" s="134"/>
      <c r="G229" s="134"/>
      <c r="H229" s="134"/>
      <c r="I229" s="134"/>
      <c r="J229" s="134"/>
      <c r="K229" s="134"/>
      <c r="L229" s="134"/>
      <c r="M229" s="134"/>
      <c r="N229" s="136"/>
      <c r="AD229" s="24">
        <f>ROW()</f>
        <v>229</v>
      </c>
    </row>
    <row r="230" spans="1:30" ht="27.65" customHeight="1">
      <c r="A230" s="24"/>
      <c r="B230" s="24" t="s">
        <v>1197</v>
      </c>
      <c r="C230" s="55"/>
      <c r="D230" s="55"/>
      <c r="E230" s="55"/>
      <c r="F230" s="55"/>
      <c r="G230" s="55"/>
      <c r="M230" s="107"/>
      <c r="N230" s="107"/>
      <c r="AD230" s="24">
        <f>ROW()</f>
        <v>230</v>
      </c>
    </row>
    <row r="231" spans="1:30" ht="14.5" customHeight="1">
      <c r="A231" s="24"/>
      <c r="AD231" s="24">
        <f>ROW()</f>
        <v>231</v>
      </c>
    </row>
    <row r="232" spans="1:30" ht="14.5" customHeight="1">
      <c r="A232" s="24"/>
      <c r="B232" s="113" t="s">
        <v>1198</v>
      </c>
      <c r="M232" s="165"/>
      <c r="N232" s="154"/>
      <c r="AD232" s="24">
        <f>ROW()</f>
        <v>232</v>
      </c>
    </row>
    <row r="233" spans="1:30" ht="14.5">
      <c r="A233" s="24"/>
      <c r="AD233" s="24">
        <f>ROW()</f>
        <v>233</v>
      </c>
    </row>
    <row r="234" spans="1:30" ht="14.5">
      <c r="A234" s="24"/>
      <c r="B234" s="56" t="s">
        <v>1199</v>
      </c>
      <c r="M234" s="165"/>
      <c r="N234" s="154"/>
      <c r="AD234" s="24">
        <f>ROW()</f>
        <v>234</v>
      </c>
    </row>
    <row r="235" spans="1:30" ht="14.5">
      <c r="A235" s="24"/>
      <c r="AD235" s="24">
        <f>ROW()</f>
        <v>235</v>
      </c>
    </row>
    <row r="236" spans="1:30" ht="14.5">
      <c r="A236" s="24"/>
      <c r="B236" s="56" t="s">
        <v>1200</v>
      </c>
      <c r="M236" s="165"/>
      <c r="N236" s="154"/>
      <c r="AD236" s="24">
        <f>ROW()</f>
        <v>236</v>
      </c>
    </row>
    <row r="237" spans="1:30" ht="14.5">
      <c r="A237" s="24"/>
      <c r="AD237" s="24">
        <f>ROW()</f>
        <v>237</v>
      </c>
    </row>
    <row r="238" spans="1:30" ht="14.5">
      <c r="A238" s="24"/>
      <c r="B238" s="56" t="s">
        <v>1201</v>
      </c>
      <c r="C238" s="55"/>
      <c r="M238" s="165"/>
      <c r="N238" s="154"/>
      <c r="AD238" s="24">
        <f>ROW()</f>
        <v>238</v>
      </c>
    </row>
    <row r="239" spans="1:30" ht="14.5">
      <c r="A239" s="24"/>
      <c r="B239" s="55"/>
      <c r="C239" s="55"/>
      <c r="AD239" s="24">
        <f>ROW()</f>
        <v>239</v>
      </c>
    </row>
    <row r="240" spans="1:30" ht="14.5">
      <c r="A240" s="24"/>
      <c r="B240" s="142" t="s">
        <v>1202</v>
      </c>
      <c r="C240" s="172"/>
      <c r="M240" s="161"/>
      <c r="N240" s="161"/>
      <c r="AD240" s="24">
        <f>ROW()</f>
        <v>240</v>
      </c>
    </row>
    <row r="241" spans="1:30" ht="25.5" customHeight="1">
      <c r="A241" s="24"/>
      <c r="B241" s="135"/>
      <c r="C241" s="134"/>
      <c r="D241" s="134"/>
      <c r="E241" s="134"/>
      <c r="F241" s="134"/>
      <c r="G241" s="134"/>
      <c r="H241" s="134"/>
      <c r="I241" s="134"/>
      <c r="J241" s="134"/>
      <c r="K241" s="134"/>
      <c r="L241" s="134"/>
      <c r="M241" s="134"/>
      <c r="N241" s="136"/>
      <c r="AD241" s="24">
        <f>ROW()</f>
        <v>241</v>
      </c>
    </row>
    <row r="242" spans="1:30" ht="28" customHeight="1">
      <c r="A242" s="24"/>
      <c r="B242" s="133" t="s">
        <v>1203</v>
      </c>
      <c r="M242" s="141"/>
      <c r="N242" s="141"/>
      <c r="AD242" s="24">
        <f>ROW()</f>
        <v>242</v>
      </c>
    </row>
    <row r="243" spans="1:30" ht="25" customHeight="1">
      <c r="A243" s="24"/>
      <c r="B243" s="135"/>
      <c r="C243" s="134"/>
      <c r="D243" s="134"/>
      <c r="E243" s="134"/>
      <c r="F243" s="134"/>
      <c r="G243" s="134"/>
      <c r="H243" s="134"/>
      <c r="I243" s="134"/>
      <c r="J243" s="134"/>
      <c r="K243" s="134"/>
      <c r="L243" s="134"/>
      <c r="M243" s="134"/>
      <c r="N243" s="136"/>
      <c r="AD243" s="24">
        <f>ROW()</f>
        <v>243</v>
      </c>
    </row>
    <row r="244" spans="1:30" ht="27.65" customHeight="1">
      <c r="A244" s="24"/>
      <c r="B244" s="133" t="s">
        <v>1204</v>
      </c>
      <c r="C244" s="172"/>
      <c r="M244" s="161"/>
      <c r="N244" s="161"/>
      <c r="AD244" s="24">
        <f>ROW()</f>
        <v>244</v>
      </c>
    </row>
    <row r="245" spans="1:30" ht="26.15" customHeight="1">
      <c r="A245" s="24"/>
      <c r="B245" s="180"/>
      <c r="C245" s="132"/>
      <c r="D245" s="132"/>
      <c r="E245" s="132"/>
      <c r="F245" s="132"/>
      <c r="G245" s="132"/>
      <c r="H245" s="132"/>
      <c r="I245" s="132"/>
      <c r="J245" s="132"/>
      <c r="K245" s="132"/>
      <c r="L245" s="132"/>
      <c r="M245" s="132"/>
      <c r="N245" s="182"/>
      <c r="AD245" s="24">
        <f>ROW()</f>
        <v>245</v>
      </c>
    </row>
    <row r="246" spans="1:30" ht="26.5" customHeight="1">
      <c r="A246" s="24"/>
      <c r="B246" s="181"/>
      <c r="C246" s="179"/>
      <c r="D246" s="179"/>
      <c r="E246" s="179"/>
      <c r="F246" s="179"/>
      <c r="G246" s="179"/>
      <c r="H246" s="179"/>
      <c r="I246" s="179"/>
      <c r="J246" s="179"/>
      <c r="K246" s="179"/>
      <c r="L246" s="179"/>
      <c r="M246" s="179"/>
      <c r="N246" s="183"/>
      <c r="AD246" s="24">
        <f>ROW()</f>
        <v>246</v>
      </c>
    </row>
    <row r="247" spans="1:30" ht="14.5">
      <c r="A247" s="24"/>
      <c r="AD247" s="24">
        <f>ROW()</f>
        <v>247</v>
      </c>
    </row>
    <row r="248" spans="1:30" ht="14.5">
      <c r="A248" s="24"/>
      <c r="B248" s="114" t="s">
        <v>1205</v>
      </c>
      <c r="C248" s="115"/>
      <c r="D248" s="115"/>
      <c r="E248" s="115"/>
      <c r="F248" s="115"/>
      <c r="G248" s="115"/>
      <c r="H248" s="115"/>
      <c r="I248" s="115"/>
      <c r="J248" s="115"/>
      <c r="K248" s="115"/>
      <c r="L248" s="115"/>
      <c r="AD248" s="24">
        <f>ROW()</f>
        <v>248</v>
      </c>
    </row>
    <row r="249" spans="1:30" ht="14.5">
      <c r="A249" s="24"/>
      <c r="B249" s="115"/>
      <c r="C249" s="115"/>
      <c r="D249" s="115"/>
      <c r="E249" s="115"/>
      <c r="F249" s="115"/>
      <c r="G249" s="115"/>
      <c r="H249" s="115"/>
      <c r="I249" s="192"/>
      <c r="J249" s="192"/>
      <c r="K249" s="192"/>
      <c r="L249" s="192"/>
      <c r="AD249" s="24">
        <f>ROW()</f>
        <v>249</v>
      </c>
    </row>
    <row r="250" spans="1:30" ht="14.5">
      <c r="A250" s="24"/>
      <c r="B250" s="116" t="s">
        <v>1206</v>
      </c>
      <c r="C250" s="192"/>
      <c r="D250" s="192"/>
      <c r="E250" s="192"/>
      <c r="F250" s="115"/>
      <c r="G250" s="115"/>
      <c r="H250" s="115"/>
      <c r="I250" s="194"/>
      <c r="J250" s="193"/>
      <c r="K250" s="193"/>
      <c r="L250" s="195"/>
      <c r="AD250" s="24">
        <f>ROW()</f>
        <v>250</v>
      </c>
    </row>
    <row r="251" spans="1:30" ht="14.5">
      <c r="A251" s="24"/>
      <c r="B251" s="115" t="s">
        <v>1207</v>
      </c>
      <c r="C251" s="199"/>
      <c r="D251" s="198"/>
      <c r="E251" s="200"/>
      <c r="F251" s="116" t="s">
        <v>1208</v>
      </c>
      <c r="G251" s="115"/>
      <c r="H251" s="115"/>
      <c r="I251" s="115"/>
      <c r="J251" s="115"/>
      <c r="K251" s="115"/>
      <c r="L251" s="115"/>
      <c r="AD251" s="24">
        <f>ROW()</f>
        <v>251</v>
      </c>
    </row>
    <row r="252" spans="1:30" ht="14.5">
      <c r="A252" s="24"/>
      <c r="B252" s="116" t="s">
        <v>1209</v>
      </c>
      <c r="C252" s="115"/>
      <c r="D252" s="115"/>
      <c r="E252" s="115"/>
      <c r="F252" s="115"/>
      <c r="G252" s="115"/>
      <c r="H252" s="115"/>
      <c r="I252" s="115"/>
      <c r="J252" s="115"/>
      <c r="K252" s="115"/>
      <c r="L252" s="115"/>
      <c r="AD252" s="24">
        <f>ROW()</f>
        <v>252</v>
      </c>
    </row>
    <row r="253" spans="1:30" ht="14.5">
      <c r="A253" s="24"/>
      <c r="B253" s="116" t="s">
        <v>1210</v>
      </c>
      <c r="C253" s="115"/>
      <c r="D253" s="115"/>
      <c r="E253" s="115"/>
      <c r="F253" s="115"/>
      <c r="G253" s="115"/>
      <c r="H253" s="115"/>
      <c r="I253" s="115"/>
      <c r="J253" s="115"/>
      <c r="K253" s="115"/>
      <c r="L253" s="115"/>
      <c r="AD253" s="24">
        <f>ROW()</f>
        <v>253</v>
      </c>
    </row>
    <row r="254" spans="1:30" ht="14.5">
      <c r="A254" s="24"/>
      <c r="B254" s="115"/>
      <c r="C254" s="115"/>
      <c r="D254" s="115"/>
      <c r="E254" s="115"/>
      <c r="F254" s="115"/>
      <c r="G254" s="115"/>
      <c r="H254" s="115"/>
      <c r="I254" s="115"/>
      <c r="J254" s="115"/>
      <c r="K254" s="115"/>
      <c r="L254" s="115"/>
      <c r="AD254" s="24">
        <f>ROW()</f>
        <v>254</v>
      </c>
    </row>
    <row r="255" spans="1:30" ht="14.5">
      <c r="A255" s="24"/>
      <c r="B255" s="121" t="s">
        <v>1211</v>
      </c>
      <c r="C255" s="115"/>
      <c r="D255" s="115"/>
      <c r="E255" s="115"/>
      <c r="F255" s="115"/>
      <c r="G255" s="115"/>
      <c r="H255" s="115"/>
      <c r="I255" s="115"/>
      <c r="J255" s="115"/>
      <c r="K255" s="115"/>
      <c r="L255" s="115"/>
      <c r="AD255" s="24">
        <f>ROW()</f>
        <v>255</v>
      </c>
    </row>
    <row r="256" spans="1:30" ht="14.5">
      <c r="A256" s="24"/>
      <c r="B256" s="121" t="s">
        <v>1212</v>
      </c>
      <c r="C256" s="115"/>
      <c r="D256" s="115"/>
      <c r="E256" s="115"/>
      <c r="F256" s="115"/>
      <c r="G256" s="115"/>
      <c r="H256" s="115"/>
      <c r="I256" s="115"/>
      <c r="J256" s="115"/>
      <c r="K256" s="115"/>
      <c r="L256" s="115"/>
      <c r="AD256" s="24">
        <f>ROW()</f>
        <v>256</v>
      </c>
    </row>
    <row r="257" spans="1:30" ht="14.5">
      <c r="A257" s="24"/>
      <c r="B257" s="121" t="s">
        <v>1213</v>
      </c>
      <c r="C257" s="115"/>
      <c r="D257" s="115"/>
      <c r="E257" s="115"/>
      <c r="F257" s="115"/>
      <c r="G257" s="115"/>
      <c r="H257" s="115"/>
      <c r="I257" s="115"/>
      <c r="J257" s="115"/>
      <c r="K257" s="115"/>
      <c r="L257" s="115"/>
      <c r="AD257" s="24">
        <f>ROW()</f>
        <v>257</v>
      </c>
    </row>
    <row r="258" spans="1:30" ht="14.5">
      <c r="A258" s="24"/>
      <c r="B258" s="115"/>
      <c r="C258" s="115"/>
      <c r="D258" s="115"/>
      <c r="E258" s="115"/>
      <c r="F258" s="115"/>
      <c r="G258" s="115"/>
      <c r="H258" s="115"/>
      <c r="I258" s="115"/>
      <c r="J258" s="115"/>
      <c r="K258" s="115"/>
      <c r="L258" s="115"/>
      <c r="AD258" s="24">
        <f>ROW()</f>
        <v>258</v>
      </c>
    </row>
    <row r="259" spans="1:30" ht="14.5">
      <c r="A259" s="24"/>
      <c r="B259" s="121" t="s">
        <v>1214</v>
      </c>
      <c r="C259" s="115"/>
      <c r="D259" s="115"/>
      <c r="E259" s="115"/>
      <c r="F259" s="115"/>
      <c r="G259" s="115"/>
      <c r="H259" s="115"/>
      <c r="I259" s="115"/>
      <c r="J259" s="115"/>
      <c r="K259" s="115"/>
      <c r="L259" s="115"/>
      <c r="AD259" s="24">
        <f>ROW()</f>
        <v>259</v>
      </c>
    </row>
    <row r="260" spans="1:30" ht="14.5">
      <c r="A260" s="24"/>
      <c r="B260" s="37"/>
      <c r="C260" s="37"/>
      <c r="D260" s="37"/>
      <c r="E260" s="37"/>
      <c r="F260" s="37"/>
      <c r="G260" s="37"/>
      <c r="H260" s="37"/>
      <c r="I260" s="37"/>
      <c r="J260" s="37"/>
      <c r="K260" s="37"/>
      <c r="L260" s="37"/>
      <c r="AD260" s="24">
        <f>ROW()</f>
        <v>260</v>
      </c>
    </row>
    <row r="261" spans="1:30" ht="14.5">
      <c r="A261" s="24"/>
      <c r="B261" s="37"/>
      <c r="C261" s="37"/>
      <c r="D261" s="37"/>
      <c r="E261" s="37"/>
      <c r="F261" s="37"/>
      <c r="G261" s="37"/>
      <c r="H261" s="37"/>
      <c r="I261" s="37"/>
      <c r="J261" s="133"/>
      <c r="K261" s="133"/>
      <c r="L261" s="133"/>
      <c r="AD261" s="24">
        <f>ROW()</f>
        <v>261</v>
      </c>
    </row>
    <row r="262" spans="1:30" ht="14.5">
      <c r="A262" s="24"/>
      <c r="B262" s="122" t="s">
        <v>1215</v>
      </c>
      <c r="C262" s="37"/>
      <c r="D262" s="37"/>
      <c r="E262" s="37"/>
      <c r="F262" s="37"/>
      <c r="G262" s="37"/>
      <c r="H262" s="37"/>
      <c r="I262" s="37"/>
      <c r="J262" s="237" t="s">
        <v>1216</v>
      </c>
      <c r="K262" s="236"/>
      <c r="L262" s="238"/>
      <c r="AD262" s="24">
        <f>ROW()</f>
        <v>262</v>
      </c>
    </row>
    <row r="263" spans="1:30" ht="14.5">
      <c r="A263" s="24"/>
      <c r="B263" s="37"/>
      <c r="C263" s="37"/>
      <c r="D263" s="37"/>
      <c r="E263" s="37"/>
      <c r="F263" s="37"/>
      <c r="G263" s="37"/>
      <c r="H263" s="37"/>
      <c r="I263" s="37"/>
      <c r="J263" s="37"/>
      <c r="K263" s="37"/>
      <c r="L263" s="37"/>
      <c r="AD263" s="24">
        <f>ROW()</f>
        <v>263</v>
      </c>
    </row>
    <row r="264" spans="1:30" ht="14.5">
      <c r="A264" s="24"/>
      <c r="B264" s="37" t="s">
        <v>1217</v>
      </c>
      <c r="C264" s="37"/>
      <c r="D264" s="37"/>
      <c r="E264" s="37"/>
      <c r="F264" s="37"/>
      <c r="G264" s="37"/>
      <c r="H264" s="37"/>
      <c r="I264" s="37"/>
      <c r="J264" s="124"/>
      <c r="K264" s="124"/>
      <c r="L264" s="124"/>
      <c r="AA264" s="139"/>
      <c r="AD264" s="24">
        <f>ROW()</f>
        <v>264</v>
      </c>
    </row>
    <row r="265" spans="1:30" ht="14.5">
      <c r="A265" s="24"/>
      <c r="B265" s="37" t="s">
        <v>1218</v>
      </c>
      <c r="C265" s="37"/>
      <c r="D265" s="37"/>
      <c r="E265" s="37"/>
      <c r="F265" s="37"/>
      <c r="G265" s="37"/>
      <c r="H265" s="37"/>
      <c r="I265" s="37"/>
      <c r="J265" s="37"/>
      <c r="K265" s="37"/>
      <c r="L265" s="37"/>
      <c r="AD265" s="24">
        <f>ROW()</f>
        <v>265</v>
      </c>
    </row>
    <row r="266" spans="1:30" ht="14.5">
      <c r="A266" s="24"/>
      <c r="B266" s="37"/>
      <c r="C266" s="37"/>
      <c r="D266" s="37"/>
      <c r="E266" s="37"/>
      <c r="F266" s="37"/>
      <c r="G266" s="37"/>
      <c r="H266" s="37"/>
      <c r="I266" s="37"/>
      <c r="J266" s="133"/>
      <c r="K266" s="133"/>
      <c r="L266" s="133"/>
      <c r="AD266" s="24">
        <f>ROW()</f>
        <v>266</v>
      </c>
    </row>
    <row r="267" spans="1:30" ht="14.5">
      <c r="A267" s="24"/>
      <c r="B267" s="37" t="s">
        <v>1219</v>
      </c>
      <c r="C267" s="37"/>
      <c r="D267" s="37"/>
      <c r="E267" s="37"/>
      <c r="F267" s="37"/>
      <c r="G267" s="37"/>
      <c r="H267" s="37"/>
      <c r="I267" s="37"/>
      <c r="J267" s="204"/>
      <c r="K267" s="203"/>
      <c r="L267" s="205"/>
      <c r="AD267" s="24">
        <f>ROW()</f>
        <v>267</v>
      </c>
    </row>
    <row r="268" spans="1:30" ht="14.5">
      <c r="A268" s="24"/>
      <c r="B268" s="37" t="s">
        <v>1220</v>
      </c>
      <c r="C268" s="37"/>
      <c r="D268" s="37"/>
      <c r="E268" s="37"/>
      <c r="F268" s="37"/>
      <c r="G268" s="37"/>
      <c r="H268" s="37"/>
      <c r="I268" s="37"/>
      <c r="J268" s="37"/>
      <c r="K268" s="37"/>
      <c r="L268" s="37"/>
      <c r="AD268" s="24">
        <f>ROW()</f>
        <v>268</v>
      </c>
    </row>
    <row r="269" spans="30:30" ht="14.5">
      <c r="AD269" s="24">
        <f>ROW()</f>
        <v>269</v>
      </c>
    </row>
    <row r="270" spans="30:30" ht="14.5">
      <c r="AD270" s="24">
        <f>ROW()</f>
        <v>270</v>
      </c>
    </row>
    <row r="271" spans="30:30" ht="14.5">
      <c r="AD271" s="24">
        <f>ROW()</f>
        <v>271</v>
      </c>
    </row>
    <row r="272" spans="30:30" ht="14.5">
      <c r="AD272" s="24">
        <f>ROW()</f>
        <v>272</v>
      </c>
    </row>
    <row r="273" spans="30:30" ht="14.5">
      <c r="AD273" s="24">
        <f>ROW()</f>
        <v>273</v>
      </c>
    </row>
    <row r="274" spans="30:30" ht="14.5">
      <c r="AD274" s="24">
        <f>ROW()</f>
        <v>274</v>
      </c>
    </row>
    <row r="275" spans="30:30" ht="14.5">
      <c r="AD275" s="24">
        <f>ROW()</f>
        <v>275</v>
      </c>
    </row>
    <row r="276" spans="30:30" ht="14.5">
      <c r="AD276" s="24">
        <f>ROW()</f>
        <v>276</v>
      </c>
    </row>
    <row r="277" spans="30:30" ht="14.5">
      <c r="AD277" s="24">
        <f>ROW()</f>
        <v>277</v>
      </c>
    </row>
    <row r="278" spans="30:30" ht="14.5">
      <c r="AD278" s="24">
        <f>ROW()</f>
        <v>278</v>
      </c>
    </row>
  </sheetData>
  <sheetProtection password="F2CD" sheet="1" objects="1" scenarios="1" selectLockedCells="1"/>
  <mergeCells count="210">
    <mergeCell ref="I250:L250"/>
    <mergeCell ref="J262:L262"/>
    <mergeCell ref="J264:L264"/>
    <mergeCell ref="J267:L267"/>
    <mergeCell ref="C251:E251"/>
    <mergeCell ref="B241:N241"/>
    <mergeCell ref="B243:N243"/>
    <mergeCell ref="B245:N246"/>
    <mergeCell ref="B183:N183"/>
    <mergeCell ref="B185:N185"/>
    <mergeCell ref="B187:N187"/>
    <mergeCell ref="B189:N189"/>
    <mergeCell ref="B212:N212"/>
    <mergeCell ref="B215:N215"/>
    <mergeCell ref="B220:N220"/>
    <mergeCell ref="B229:N229"/>
    <mergeCell ref="B228:G228"/>
    <mergeCell ref="B216:J216"/>
    <mergeCell ref="B218:J219"/>
    <mergeCell ref="B222:G222"/>
    <mergeCell ref="M222:N222"/>
    <mergeCell ref="M236:N236"/>
    <mergeCell ref="M238:N238"/>
    <mergeCell ref="B188:K188"/>
    <mergeCell ref="M28:N28"/>
    <mergeCell ref="K31:L31"/>
    <mergeCell ref="C59:H59"/>
    <mergeCell ref="M226:N226"/>
    <mergeCell ref="M200:N200"/>
    <mergeCell ref="M232:N232"/>
    <mergeCell ref="M234:N234"/>
    <mergeCell ref="B37:N37"/>
    <mergeCell ref="B40:N40"/>
    <mergeCell ref="B43:N43"/>
    <mergeCell ref="I55:N55"/>
    <mergeCell ref="K32:L32"/>
    <mergeCell ref="B162:K163"/>
    <mergeCell ref="B170:K171"/>
    <mergeCell ref="B173:K173"/>
    <mergeCell ref="B149:K150"/>
    <mergeCell ref="C136:D136"/>
    <mergeCell ref="E136:F136"/>
    <mergeCell ref="J136:L136"/>
    <mergeCell ref="B159:N159"/>
    <mergeCell ref="B161:N161"/>
    <mergeCell ref="B169:N169"/>
    <mergeCell ref="B172:N172"/>
    <mergeCell ref="B164:N164"/>
    <mergeCell ref="B2:E2"/>
    <mergeCell ref="M10:N10"/>
    <mergeCell ref="B19:B20"/>
    <mergeCell ref="C19:E20"/>
    <mergeCell ref="C21:E21"/>
    <mergeCell ref="F21:H21"/>
    <mergeCell ref="F19:H20"/>
    <mergeCell ref="B3:F3"/>
    <mergeCell ref="B14:G14"/>
    <mergeCell ref="I19:N19"/>
    <mergeCell ref="I20:K20"/>
    <mergeCell ref="L20:N20"/>
    <mergeCell ref="I21:K21"/>
    <mergeCell ref="L21:N21"/>
    <mergeCell ref="M17:N17"/>
    <mergeCell ref="B4:E4"/>
    <mergeCell ref="K6:N6"/>
    <mergeCell ref="I59:N59"/>
    <mergeCell ref="E80:F80"/>
    <mergeCell ref="M78:N78"/>
    <mergeCell ref="G80:H80"/>
    <mergeCell ref="I80:J80"/>
    <mergeCell ref="M108:N108"/>
    <mergeCell ref="C54:H54"/>
    <mergeCell ref="I54:N54"/>
    <mergeCell ref="C55:H55"/>
    <mergeCell ref="C60:H60"/>
    <mergeCell ref="B97:K98"/>
    <mergeCell ref="B70:K72"/>
    <mergeCell ref="K80:L80"/>
    <mergeCell ref="E81:F81"/>
    <mergeCell ref="C80:D80"/>
    <mergeCell ref="C81:D81"/>
    <mergeCell ref="M80:O80"/>
    <mergeCell ref="M81:O81"/>
    <mergeCell ref="I81:J81"/>
    <mergeCell ref="K81:L81"/>
    <mergeCell ref="M95:N95"/>
    <mergeCell ref="I60:N60"/>
    <mergeCell ref="G81:H81"/>
    <mergeCell ref="M31:N31"/>
    <mergeCell ref="K30:N30"/>
    <mergeCell ref="C32:E32"/>
    <mergeCell ref="F32:H32"/>
    <mergeCell ref="I32:J32"/>
    <mergeCell ref="B39:N39"/>
    <mergeCell ref="B45:N45"/>
    <mergeCell ref="B30:B31"/>
    <mergeCell ref="C30:E31"/>
    <mergeCell ref="F30:H31"/>
    <mergeCell ref="I30:J31"/>
    <mergeCell ref="M32:N32"/>
    <mergeCell ref="M122:N122"/>
    <mergeCell ref="I114:N114"/>
    <mergeCell ref="I117:N117"/>
    <mergeCell ref="J133:L133"/>
    <mergeCell ref="M126:N126"/>
    <mergeCell ref="B117:D117"/>
    <mergeCell ref="G133:I133"/>
    <mergeCell ref="B130:D130"/>
    <mergeCell ref="B131:I131"/>
    <mergeCell ref="E115:H115"/>
    <mergeCell ref="E116:H116"/>
    <mergeCell ref="E117:H117"/>
    <mergeCell ref="S133:T133"/>
    <mergeCell ref="S134:T134"/>
    <mergeCell ref="O133:P133"/>
    <mergeCell ref="O136:P136"/>
    <mergeCell ref="Q136:R136"/>
    <mergeCell ref="Q134:R134"/>
    <mergeCell ref="Q135:R135"/>
    <mergeCell ref="S135:T135"/>
    <mergeCell ref="S136:T136"/>
    <mergeCell ref="O135:P135"/>
    <mergeCell ref="Q133:R133"/>
    <mergeCell ref="B157:N157"/>
    <mergeCell ref="C135:D135"/>
    <mergeCell ref="E135:F135"/>
    <mergeCell ref="M136:N136"/>
    <mergeCell ref="C134:D134"/>
    <mergeCell ref="E134:F134"/>
    <mergeCell ref="M134:N134"/>
    <mergeCell ref="O134:P134"/>
    <mergeCell ref="J134:L134"/>
    <mergeCell ref="B140:K144"/>
    <mergeCell ref="D147:N147"/>
    <mergeCell ref="L140:P140"/>
    <mergeCell ref="B138:P138"/>
    <mergeCell ref="M202:N202"/>
    <mergeCell ref="M204:N204"/>
    <mergeCell ref="M206:N206"/>
    <mergeCell ref="M208:N208"/>
    <mergeCell ref="B210:J211"/>
    <mergeCell ref="M188:N188"/>
    <mergeCell ref="M192:N192"/>
    <mergeCell ref="M194:N194"/>
    <mergeCell ref="M196:N196"/>
    <mergeCell ref="M198:N198"/>
    <mergeCell ref="B224:G224"/>
    <mergeCell ref="M224:N224"/>
    <mergeCell ref="B226:G226"/>
    <mergeCell ref="I115:N115"/>
    <mergeCell ref="Y80:Z80"/>
    <mergeCell ref="Y81:Z81"/>
    <mergeCell ref="W81:X81"/>
    <mergeCell ref="P80:Q80"/>
    <mergeCell ref="W80:X80"/>
    <mergeCell ref="T81:V81"/>
    <mergeCell ref="T80:V80"/>
    <mergeCell ref="P81:Q81"/>
    <mergeCell ref="R81:S81"/>
    <mergeCell ref="R80:S80"/>
    <mergeCell ref="M110:N110"/>
    <mergeCell ref="B167:N168"/>
    <mergeCell ref="B174:N174"/>
    <mergeCell ref="B177:N177"/>
    <mergeCell ref="B180:N180"/>
    <mergeCell ref="G136:I136"/>
    <mergeCell ref="B175:K176"/>
    <mergeCell ref="B178:K179"/>
    <mergeCell ref="B181:K182"/>
    <mergeCell ref="B213:J214"/>
    <mergeCell ref="B46:N46"/>
    <mergeCell ref="B75:N75"/>
    <mergeCell ref="B84:N84"/>
    <mergeCell ref="B88:N88"/>
    <mergeCell ref="M90:N90"/>
    <mergeCell ref="B93:N93"/>
    <mergeCell ref="B99:N99"/>
    <mergeCell ref="B101:N101"/>
    <mergeCell ref="J135:L135"/>
    <mergeCell ref="G134:I134"/>
    <mergeCell ref="G135:I135"/>
    <mergeCell ref="M130:N130"/>
    <mergeCell ref="C133:D133"/>
    <mergeCell ref="E133:F133"/>
    <mergeCell ref="M133:N133"/>
    <mergeCell ref="B114:D114"/>
    <mergeCell ref="B115:D115"/>
    <mergeCell ref="B116:D116"/>
    <mergeCell ref="M135:N135"/>
    <mergeCell ref="I116:N116"/>
    <mergeCell ref="E114:H114"/>
    <mergeCell ref="B119:J120"/>
    <mergeCell ref="M124:N124"/>
    <mergeCell ref="M119:N119"/>
    <mergeCell ref="C22:E22"/>
    <mergeCell ref="C23:E23"/>
    <mergeCell ref="C24:E24"/>
    <mergeCell ref="C25:E25"/>
    <mergeCell ref="F22:H22"/>
    <mergeCell ref="F23:H23"/>
    <mergeCell ref="F24:H24"/>
    <mergeCell ref="F25:H25"/>
    <mergeCell ref="I22:K22"/>
    <mergeCell ref="I23:K23"/>
    <mergeCell ref="I24:K24"/>
    <mergeCell ref="I25:K25"/>
    <mergeCell ref="L22:N22"/>
    <mergeCell ref="L23:N23"/>
    <mergeCell ref="L24:N24"/>
    <mergeCell ref="L25:N25"/>
  </mergeCells>
  <dataValidations count="150">
    <dataValidation type="textLength" operator="lessThanOrEqual" allowBlank="1" showInputMessage="1" showErrorMessage="1" errorTitle="Invalid input" error="Please enter valid value max length allowed 50. " sqref="K6 M10:N10">
      <formula1>50</formula1>
    </dataValidation>
    <dataValidation type="textLength" operator="lessThanOrEqual" allowBlank="1" showInputMessage="1" showErrorMessage="1" errorTitle="Invalid input" error="Please enter valid value max length allowed 160. " sqref="C32:E32">
      <formula1>160</formula1>
    </dataValidation>
    <dataValidation type="textLength" operator="lessThanOrEqual" allowBlank="1" showInputMessage="1" showErrorMessage="1" errorTitle="Invalid input" error="Please enter valid value max length allowed 1000. " sqref="B37:N37 B40:N40 B43:N43 B46:N46">
      <formula1>1000</formula1>
    </dataValidation>
    <dataValidation type="textLength" operator="lessThanOrEqual" allowBlank="1" showInputMessage="1" showErrorMessage="1" errorTitle="Invalid input" error="Please enter valid value max length allowed 1000." sqref="I55 I60:N60">
      <formula1>1000</formula1>
    </dataValidation>
    <dataValidation type="textLength" operator="lessThanOrEqual" allowBlank="1" showInputMessage="1" showErrorMessage="1" errorTitle="Invalid input" error="Please enter valid value max length allowed 500." sqref="H74:I74 M74:N74 B75:N75 M81 M83:N83 B84:N84 M87:N87 B88:N88 B93:N93 M97:N98 B99:N99 M100:N100 B101:N101 B138:N138 M156:N156 B157:N157 M158:N158 B159:N159 M160:N160 B161:N161 M162:N162 B164:N164 B169:N169 M170:N170 B172:N172 M173:N173 B174:N174 M175:N175 B177:N177 M178:N178 B180:N180 M181:N181 B183:N183 M184:N184 B185:N185 M186:N186 B187:N187 M188:N188 B189:N189 M208:N208 M210:N210 B212:N212 M213:N213 B215:N215 M218:N218 B220:N220 M228:N228 B229:N229 M244:N244 B245:N246">
      <formula1>500</formula1>
    </dataValidation>
    <dataValidation type="custom" operator="lessThan" allowBlank="1" showInputMessage="1" showErrorMessage="1" errorTitle="Invalid input" error="Please enter valid value should be less than 100." sqref="K81:L81">
      <formula1>AND(ISNUMBER(VALUE(K81)),VALUE(K81)&gt;=0,VALUE(K81)&lt;100)</formula1>
    </dataValidation>
    <dataValidation type="custom" allowBlank="1" showInputMessage="1" showErrorMessage="1" errorTitle="Invalid input" error="Please enter valid amount max allowed 999999999999999.99" sqref="Q124:R124">
      <formula1>AND(ISNUMBER(VALUE(Q124)),LEN(Q124)&lt;20,LEFT(Q124,1)&lt;&gt;".",RIGHT(Q124,1)&lt;&gt;".",IFERROR(FIND(".",Q124),LEN(Q124)-2)&gt;=LEN(Q124)-2,IFERROR(FIND(".",SUBSTITUTE(SUBSTITUTE(Q124,"+",""),"-","")),LEN(SUBSTITUTE(SUBSTITUTE(Q124,"+",""),"-",""))+1)&lt;17)</formula1>
    </dataValidation>
    <dataValidation type="textLength" operator="lessThanOrEqual" allowBlank="1" showInputMessage="1" showErrorMessage="1" errorTitle="Invalid input" error="Please enter valid value max length allowed 50." sqref="C135:D135">
      <formula1>50</formula1>
    </dataValidation>
    <dataValidation type="list" allowBlank="1" showInputMessage="1" showErrorMessage="1" sqref="J135:L135">
      <formula1>INDIRECT(G135)</formula1>
    </dataValidation>
    <dataValidation type="custom" allowBlank="1" showInputMessage="1" showErrorMessage="1" errorTitle="Invalid input " error="Please enter valid CIN" sqref="C81:D81">
      <formula1>AND(LEN(C81)&lt;=50,C81=SUBSTITUTE(C81,CHAR(ROW(INDIRECT("32:47"))),""))</formula1>
    </dataValidation>
    <dataValidation type="custom" allowBlank="1" showInputMessage="1" showErrorMessage="1" errorTitle="Invalid Input" error="Please enter valid value between 0 and 999." sqref="M28:N28">
      <formula1>AND(ISNUMBER(VALUE(M28)),VALUE(M28)&gt;=0,LEN(M28)&lt;=3)</formula1>
    </dataValidation>
    <dataValidation type="custom" allowBlank="1" showInputMessage="1" showErrorMessage="1" errorTitle="Invalid Input" error="Please enter valid value between 1 and 999." sqref="M17:N17">
      <formula1>AND(ISNUMBER(VALUE(M17)),VALUE(M17)&gt;0,LEN(M17)&lt;=3)</formula1>
    </dataValidation>
    <dataValidation type="list" allowBlank="1" showInputMessage="1" showErrorMessage="1" sqref="G81:H81">
      <formula1>$BV$2:$BV$3</formula1>
    </dataValidation>
    <dataValidation type="list" allowBlank="1" showInputMessage="1" showErrorMessage="1" sqref="I81:J81">
      <formula1>$BW$2:$BW$4</formula1>
    </dataValidation>
    <dataValidation type="list" allowBlank="1" showInputMessage="1" showErrorMessage="1" sqref="S135">
      <formula1>$BX$2:$BX$5</formula1>
    </dataValidation>
    <dataValidation type="custom" allowBlank="1" showInputMessage="1" showErrorMessage="1" errorTitle="Invalid input" error="Please enter valid amount max allowed 999999999999999.99" sqref="P81:Q81 M89:N89 M95:N95 M108:N108 M110:N110 M124:N124 M126:N126 M135:N135 Q135:R135 M192:N192 M194:N194 M196:N196 M198:N198 M200:N200">
      <formula1>AND(ISNUMBER(VALUE(M81)),LEN(M81)&lt;20,LEFT(M81,1)&lt;&gt;".",RIGHT(M81,1)&lt;&gt;".",IFERROR(FIND(".",M81),LEN(M81)-2)&gt;=LEN(M81)-2,IFERROR(FIND(".",SUBSTITUTE(SUBSTITUTE(M81,"+",""),"-","")),LEN(SUBSTITUTE(SUBSTITUTE(M81,"+",""),"-",""))+1)&lt;17,_xlfn.NUMBERVALUE(M81)&gt;=0)</formula1>
    </dataValidation>
    <dataValidation type="textLength" operator="lessThanOrEqual" allowBlank="1" showInputMessage="1" showErrorMessage="1" errorTitle="Invalid input" error="Please enter valid value max length allowed 160." sqref="M240:N240 B241:N241 B243:N243">
      <formula1>160</formula1>
    </dataValidation>
    <dataValidation type="textLength" operator="lessThanOrEqual" allowBlank="1" showInputMessage="1" showErrorMessage="1" errorTitle="Invalid input" error="Please enter valid value equal to 10 characters." sqref="Y81:Z81">
      <formula1>10</formula1>
    </dataValidation>
    <dataValidation type="list" allowBlank="1" showInputMessage="1" showErrorMessage="1" sqref="T81:X81">
      <formula1>$BT$2:$BT$3</formula1>
    </dataValidation>
    <dataValidation type="list" allowBlank="1" showInputMessage="1" showErrorMessage="1" sqref="L140">
      <formula1>$BU$2:$BU$13</formula1>
    </dataValidation>
    <dataValidation type="textLength" operator="lessThanOrEqual" allowBlank="1" showInputMessage="1" showErrorMessage="1" errorTitle="Invalid Input" error="Please enter valid input max length allowed 50." sqref="E81:F81">
      <formula1>160</formula1>
    </dataValidation>
    <dataValidation type="custom" allowBlank="1" showInputMessage="1" showErrorMessage="1" errorTitle="Invalid Input" error="Please enter valid value between 1 and 99._x000a_" sqref="M130:N130">
      <formula1>AND(ISNUMBER(VALUE(M130)),VALUE(M130)&gt;=1,VALUE(M130)&lt;=99)</formula1>
    </dataValidation>
    <dataValidation type="custom" allowBlank="1" showInputMessage="1" showErrorMessage="1" errorTitle="Invalid input" error="Please enter valid whole number should be greater than Zero and less than or equal to total number of directors as on the date of meeting" sqref="I21:K25">
      <formula1>AND(_xlfn.NUMBERVALUE(I21)&gt;0,_xlfn.NUMBERVALUE(F21)&gt;=_xlfn.NUMBERVALUE(I21))</formula1>
    </dataValidation>
    <dataValidation type="custom" allowBlank="1" showInputMessage="1" showErrorMessage="1" errorTitle="Invalid input" error="Please enter valid whole number should be greater than Zero and less than or equal to total number of Members as on the date of meeting" sqref="K32:L32">
      <formula1>AND(_xlfn.NUMBERVALUE(K32)&gt;0,_xlfn.NUMBERVALUE(K32)&lt;=_xlfn.NUMBERVALUE(I32))</formula1>
    </dataValidation>
    <dataValidation type="custom" allowBlank="1" showInputMessage="1" showErrorMessage="1" errorTitle="Invalid input" error="Please enter valid value between 1 and 999." sqref="I32:J32">
      <formula1>AND(LEN(I32)&lt;=3,ISNUMBER(VALUE(I32)),VALUE(I32)=INT(VALUE(I32)),VALUE(I32)&gt;=1,ISERROR(FIND("/",I32)))</formula1>
    </dataValidation>
    <dataValidation type="custom" allowBlank="1" showInputMessage="1" showErrorMessage="1" errorTitle="Invalid input" error="Please enter valid value between 0 and 99999." sqref="M202:N202 M206:N206 M222:N222 M224:N224 M226:N226 M232:N232 M234:N234 M236:N236 M238:N238">
      <formula1>AND(LEN(M202)&lt;=5,ISNUMBER(VALUE(M202)),VALUE(M202)=INT(VALUE(M202)),VALUE(M202)&gt;=0,ISERROR(FIND("/",M202)))</formula1>
    </dataValidation>
    <dataValidation type="custom" allowBlank="1" showInputMessage="1" showErrorMessage="1" errorTitle="Invalid input" error="Please enter valid amount max allowed 999999999999999.99" sqref="B1 E115:N117">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value between 0_x000a_ and 99999." sqref="M204:N204">
      <formula1>AND(LEN(M204)&lt;=5,ISNUMBER(VALUE(M204)),VALUE(M204)=INT(VALUE(M204)),VALUE(M204)&gt;=0,ISERROR(FIND("/",M204)))</formula1>
    </dataValidation>
    <dataValidation type="custom" allowBlank="1" showInputMessage="1" showErrorMessage="1" errorTitle="Invalid input" error="Please enter a valid input should be greater than 0 and less than or equal to 999." sqref="F21:H25">
      <formula1>AND(LEN(F21)&lt;=3,ISNUMBER(VALUE(F21)),VALUE(F21)=INT(VALUE(F21)),VALUE(F21)&gt;=1,ISERROR(FIND("/",F21)))</formula1>
    </dataValidation>
    <dataValidation type="custom" allowBlank="1" showInputMessage="1" showErrorMessage="1" errorTitle="Invalid input" error="Please enter valid resolution number, It should be less than or equal to alphanumeric 10 characters" sqref="I250:L250">
      <formula1>AND(LEN(I250)&lt;=10,SUMPRODUCT(--ISNUMBER(SEARCH(MID(I250,ROW(INDIRECT("1:"&amp;LEN(I250))),1),"0123456789ABCDEFGHIJKLMNOPQRSTUVWXYZabcdefghijklmnopqrstuvwxyz")))&gt;0)</formula1>
    </dataValidation>
    <dataValidation type="custom" allowBlank="1" showInputMessage="1" showErrorMessage="1" errorTitle="Invalid input" error="Please enter valid amount less than 999999999999999.99" sqref="O135:P135">
      <formula1>AND(ISNUMBER(VALUE(O135)),VALUE(O135)&gt;=0,LEN(O135)&lt;20,LEFT(O135,1)&lt;&gt;".",RIGHT(O135,1)&lt;&gt;".",IFERROR(FIND(".",O135),LEN(O135)-2)&gt;=LEN(O135)-2,IFERROR(FIND(".",SUBSTITUTE(SUBSTITUTE(O135,"+",""),"-","")),LEN(SUBSTITUTE(SUBSTITUTE(O135,"+",""),"-",""))+1)&lt;17)</formula1>
    </dataValidation>
    <dataValidation type="list" allowBlank="1" showInputMessage="1" showErrorMessage="1" sqref="C55:H55">
      <formula1>$CA$2:$CA$5</formula1>
    </dataValidation>
    <dataValidation type="list" allowBlank="1" showInputMessage="1" showErrorMessage="1" sqref="E135:F135">
      <formula1>$DN$2:$DN$13</formula1>
    </dataValidation>
    <dataValidation type="custom" allowBlank="1" showInputMessage="1" showErrorMessage="1" error="Please enter a valid DIN or PAN." sqref="J267">
      <formula1>AND(LEN(J267)&lt;=10,ISNUMBER(SUMPRODUCT(SEARCH(MID(J267,ROW(INDIRECT("1:10")),1),"0123456789abcdefghijklmnopqrstuvwxyzABCDEFGHIJKLMNOPQRSTUVWXYZ"))))</formula1>
    </dataValidation>
    <dataValidation type="custom" allowBlank="1" showInputMessage="1" showErrorMessage="1" errorTitle="Invalid input" error="Please enter valid amount max allowed 999999999999999.99" sqref="M90:N90">
      <formula1>AND(ISNUMBER(VALUE(M90)),LEN(M90)&lt;20,LEFT(M90,1)&lt;&gt;".",RIGHT(M90,1)&lt;&gt;".",IFERROR(FIND(".",M90),LEN(M90)-2)&gt;=LEN(M90)-2,IFERROR(FIND(".",SUBSTITUTE(SUBSTITUTE(M90,"+",""),"-","")),LEN(SUBSTITUTE(SUBSTITUTE(M90,"+",""),"-",""))+1)&lt;17)</formula1>
    </dataValidation>
    <dataValidation type="list" allowBlank="1" showInputMessage="1" showErrorMessage="1" sqref="G135:I135">
      <formula1>StateAndDistrict!$A$1:$AJ$1</formula1>
    </dataValidation>
    <dataValidation type="textLength" operator="lessThanOrEqual" allowBlank="1" showInputMessage="1" showErrorMessage="1" errorTitle="Invalid input" error="Please enter valid value max length allowed 50. " sqref="K6">
      <formula1>50</formula1>
    </dataValidation>
    <dataValidation type="textLength" operator="lessThanOrEqual" allowBlank="1" showInputMessage="1" showErrorMessage="1" errorTitle="Invalid input" error="Please enter valid value max length allowed 50. " sqref="M10:N10">
      <formula1>50</formula1>
    </dataValidation>
    <dataValidation type="textLength" operator="lessThanOrEqual" allowBlank="1" showInputMessage="1" showErrorMessage="1" errorTitle="Invalid input" error="Please enter valid value max length allowed 160. " sqref="C32:E32">
      <formula1>160</formula1>
    </dataValidation>
    <dataValidation type="textLength" operator="lessThanOrEqual" allowBlank="1" showInputMessage="1" showErrorMessage="1" errorTitle="Invalid input" error="Please enter valid value max length allowed 1000. " sqref="B37:N37">
      <formula1>1000</formula1>
    </dataValidation>
    <dataValidation type="textLength" operator="lessThanOrEqual" allowBlank="1" showInputMessage="1" showErrorMessage="1" errorTitle="Invalid input" error="Please enter valid value max length allowed 1000. " sqref="B40:N40">
      <formula1>1000</formula1>
    </dataValidation>
    <dataValidation type="textLength" operator="lessThanOrEqual" allowBlank="1" showInputMessage="1" showErrorMessage="1" errorTitle="Invalid input" error="Please enter valid value max length allowed 1000. " sqref="B43:N43">
      <formula1>1000</formula1>
    </dataValidation>
    <dataValidation type="textLength" operator="lessThanOrEqual" allowBlank="1" showInputMessage="1" showErrorMessage="1" errorTitle="Invalid input" error="Please enter valid value max length allowed 1000. " sqref="B46:N46">
      <formula1>1000</formula1>
    </dataValidation>
    <dataValidation type="textLength" operator="lessThanOrEqual" allowBlank="1" showInputMessage="1" showErrorMessage="1" errorTitle="Invalid input" error="Please enter valid value max length allowed 1000." sqref="I55">
      <formula1>1000</formula1>
    </dataValidation>
    <dataValidation type="textLength" operator="lessThanOrEqual" allowBlank="1" showInputMessage="1" showErrorMessage="1" errorTitle="Invalid input" error="Please enter valid value max length allowed 1000." sqref="I60:N60">
      <formula1>1000</formula1>
    </dataValidation>
    <dataValidation type="textLength" operator="lessThanOrEqual" allowBlank="1" showInputMessage="1" showErrorMessage="1" errorTitle="Invalid input" error="Please enter valid value max length allowed 500." sqref="H74:I74">
      <formula1>500</formula1>
    </dataValidation>
    <dataValidation type="textLength" operator="lessThanOrEqual" allowBlank="1" showInputMessage="1" showErrorMessage="1" errorTitle="Invalid input" error="Please enter valid value max length allowed 500." sqref="M74:N74">
      <formula1>500</formula1>
    </dataValidation>
    <dataValidation type="textLength" operator="lessThanOrEqual" allowBlank="1" showInputMessage="1" showErrorMessage="1" errorTitle="Invalid input" error="Please enter valid value max length allowed 500." sqref="B75:N75">
      <formula1>500</formula1>
    </dataValidation>
    <dataValidation type="textLength" operator="lessThanOrEqual" allowBlank="1" showInputMessage="1" showErrorMessage="1" errorTitle="Invalid input" error="Please enter valid value max length allowed 500." sqref="M81">
      <formula1>500</formula1>
    </dataValidation>
    <dataValidation type="textLength" operator="lessThanOrEqual" allowBlank="1" showInputMessage="1" showErrorMessage="1" errorTitle="Invalid input" error="Please enter valid value max length allowed 500." sqref="M83:N83">
      <formula1>500</formula1>
    </dataValidation>
    <dataValidation type="textLength" operator="lessThanOrEqual" allowBlank="1" showInputMessage="1" showErrorMessage="1" errorTitle="Invalid input" error="Please enter valid value max length allowed 500." sqref="B84:N84">
      <formula1>500</formula1>
    </dataValidation>
    <dataValidation type="textLength" operator="lessThanOrEqual" allowBlank="1" showInputMessage="1" showErrorMessage="1" errorTitle="Invalid input" error="Please enter valid value max length allowed 500." sqref="M87:N87">
      <formula1>500</formula1>
    </dataValidation>
    <dataValidation type="textLength" operator="lessThanOrEqual" allowBlank="1" showInputMessage="1" showErrorMessage="1" errorTitle="Invalid input" error="Please enter valid value max length allowed 500." sqref="B88:N88">
      <formula1>500</formula1>
    </dataValidation>
    <dataValidation type="textLength" operator="lessThanOrEqual" allowBlank="1" showInputMessage="1" showErrorMessage="1" errorTitle="Invalid input" error="Please enter valid value max length allowed 500." sqref="B93:N93">
      <formula1>500</formula1>
    </dataValidation>
    <dataValidation type="textLength" operator="lessThanOrEqual" allowBlank="1" showInputMessage="1" showErrorMessage="1" errorTitle="Invalid input" error="Please enter valid value max length allowed 500." sqref="M97:N98">
      <formula1>500</formula1>
    </dataValidation>
    <dataValidation type="textLength" operator="lessThanOrEqual" allowBlank="1" showInputMessage="1" showErrorMessage="1" errorTitle="Invalid input" error="Please enter valid value max length allowed 500." sqref="B99:N99">
      <formula1>500</formula1>
    </dataValidation>
    <dataValidation type="textLength" operator="lessThanOrEqual" allowBlank="1" showInputMessage="1" showErrorMessage="1" errorTitle="Invalid input" error="Please enter valid value max length allowed 500." sqref="M100:N100">
      <formula1>500</formula1>
    </dataValidation>
    <dataValidation type="textLength" operator="lessThanOrEqual" allowBlank="1" showInputMessage="1" showErrorMessage="1" errorTitle="Invalid input" error="Please enter valid value max length allowed 500." sqref="B101:N101">
      <formula1>500</formula1>
    </dataValidation>
    <dataValidation type="textLength" operator="lessThanOrEqual" allowBlank="1" showInputMessage="1" showErrorMessage="1" errorTitle="Invalid input" error="Please enter valid value max length allowed 500." sqref="B138:N138">
      <formula1>500</formula1>
    </dataValidation>
    <dataValidation type="textLength" operator="lessThanOrEqual" allowBlank="1" showInputMessage="1" showErrorMessage="1" errorTitle="Invalid input" error="Please enter valid value max length allowed 500." sqref="M156:N156">
      <formula1>500</formula1>
    </dataValidation>
    <dataValidation type="textLength" operator="lessThanOrEqual" allowBlank="1" showInputMessage="1" showErrorMessage="1" errorTitle="Invalid input" error="Please enter valid value max length allowed 500." sqref="B157:N157">
      <formula1>500</formula1>
    </dataValidation>
    <dataValidation type="textLength" operator="lessThanOrEqual" allowBlank="1" showInputMessage="1" showErrorMessage="1" errorTitle="Invalid input" error="Please enter valid value max length allowed 500." sqref="M158:N158">
      <formula1>500</formula1>
    </dataValidation>
    <dataValidation type="textLength" operator="lessThanOrEqual" allowBlank="1" showInputMessage="1" showErrorMessage="1" errorTitle="Invalid input" error="Please enter valid value max length allowed 500." sqref="B159:N159">
      <formula1>500</formula1>
    </dataValidation>
    <dataValidation type="textLength" operator="lessThanOrEqual" allowBlank="1" showInputMessage="1" showErrorMessage="1" errorTitle="Invalid input" error="Please enter valid value max length allowed 500." sqref="M160:N160">
      <formula1>500</formula1>
    </dataValidation>
    <dataValidation type="textLength" operator="lessThanOrEqual" allowBlank="1" showInputMessage="1" showErrorMessage="1" errorTitle="Invalid input" error="Please enter valid value max length allowed 500." sqref="B161:N161">
      <formula1>500</formula1>
    </dataValidation>
    <dataValidation type="textLength" operator="lessThanOrEqual" allowBlank="1" showInputMessage="1" showErrorMessage="1" errorTitle="Invalid input" error="Please enter valid value max length allowed 500." sqref="M162:N162">
      <formula1>500</formula1>
    </dataValidation>
    <dataValidation type="textLength" operator="lessThanOrEqual" allowBlank="1" showInputMessage="1" showErrorMessage="1" errorTitle="Invalid input" error="Please enter valid value max length allowed 500." sqref="B164:N164">
      <formula1>500</formula1>
    </dataValidation>
    <dataValidation type="textLength" operator="lessThanOrEqual" allowBlank="1" showInputMessage="1" showErrorMessage="1" errorTitle="Invalid input" error="Please enter valid value max length allowed 500." sqref="B169:N169">
      <formula1>500</formula1>
    </dataValidation>
    <dataValidation type="textLength" operator="lessThanOrEqual" allowBlank="1" showInputMessage="1" showErrorMessage="1" errorTitle="Invalid input" error="Please enter valid value max length allowed 500." sqref="M170:N170">
      <formula1>500</formula1>
    </dataValidation>
    <dataValidation type="textLength" operator="lessThanOrEqual" allowBlank="1" showInputMessage="1" showErrorMessage="1" errorTitle="Invalid input" error="Please enter valid value max length allowed 500." sqref="B172:N172">
      <formula1>500</formula1>
    </dataValidation>
    <dataValidation type="textLength" operator="lessThanOrEqual" allowBlank="1" showInputMessage="1" showErrorMessage="1" errorTitle="Invalid input" error="Please enter valid value max length allowed 500." sqref="M173:N173">
      <formula1>500</formula1>
    </dataValidation>
    <dataValidation type="textLength" operator="lessThanOrEqual" allowBlank="1" showInputMessage="1" showErrorMessage="1" errorTitle="Invalid input" error="Please enter valid value max length allowed 500." sqref="B174:N174">
      <formula1>500</formula1>
    </dataValidation>
    <dataValidation type="textLength" operator="lessThanOrEqual" allowBlank="1" showInputMessage="1" showErrorMessage="1" errorTitle="Invalid input" error="Please enter valid value max length allowed 500." sqref="M175:N175">
      <formula1>500</formula1>
    </dataValidation>
    <dataValidation type="textLength" operator="lessThanOrEqual" allowBlank="1" showInputMessage="1" showErrorMessage="1" errorTitle="Invalid input" error="Please enter valid value max length allowed 500." sqref="B177:N177">
      <formula1>500</formula1>
    </dataValidation>
    <dataValidation type="textLength" operator="lessThanOrEqual" allowBlank="1" showInputMessage="1" showErrorMessage="1" errorTitle="Invalid input" error="Please enter valid value max length allowed 500." sqref="M178:N178">
      <formula1>500</formula1>
    </dataValidation>
    <dataValidation type="textLength" operator="lessThanOrEqual" allowBlank="1" showInputMessage="1" showErrorMessage="1" errorTitle="Invalid input" error="Please enter valid value max length allowed 500." sqref="B180:N180">
      <formula1>500</formula1>
    </dataValidation>
    <dataValidation type="textLength" operator="lessThanOrEqual" allowBlank="1" showInputMessage="1" showErrorMessage="1" errorTitle="Invalid input" error="Please enter valid value max length allowed 500." sqref="M181:N181">
      <formula1>500</formula1>
    </dataValidation>
    <dataValidation type="textLength" operator="lessThanOrEqual" allowBlank="1" showInputMessage="1" showErrorMessage="1" errorTitle="Invalid input" error="Please enter valid value max length allowed 500." sqref="B183:N183">
      <formula1>500</formula1>
    </dataValidation>
    <dataValidation type="textLength" operator="lessThanOrEqual" allowBlank="1" showInputMessage="1" showErrorMessage="1" errorTitle="Invalid input" error="Please enter valid value max length allowed 500." sqref="M184:N184">
      <formula1>500</formula1>
    </dataValidation>
    <dataValidation type="textLength" operator="lessThanOrEqual" allowBlank="1" showInputMessage="1" showErrorMessage="1" errorTitle="Invalid input" error="Please enter valid value max length allowed 500." sqref="B185:N185">
      <formula1>500</formula1>
    </dataValidation>
    <dataValidation type="textLength" operator="lessThanOrEqual" allowBlank="1" showInputMessage="1" showErrorMessage="1" errorTitle="Invalid input" error="Please enter valid value max length allowed 500." sqref="M186:N186">
      <formula1>500</formula1>
    </dataValidation>
    <dataValidation type="textLength" operator="lessThanOrEqual" allowBlank="1" showInputMessage="1" showErrorMessage="1" errorTitle="Invalid input" error="Please enter valid value max length allowed 500." sqref="B187:N187">
      <formula1>500</formula1>
    </dataValidation>
    <dataValidation type="textLength" operator="lessThanOrEqual" allowBlank="1" showInputMessage="1" showErrorMessage="1" errorTitle="Invalid input" error="Please enter valid value max length allowed 500." sqref="M188:N188">
      <formula1>500</formula1>
    </dataValidation>
    <dataValidation type="textLength" operator="lessThanOrEqual" allowBlank="1" showInputMessage="1" showErrorMessage="1" errorTitle="Invalid input" error="Please enter valid value max length allowed 500." sqref="B189:N189">
      <formula1>500</formula1>
    </dataValidation>
    <dataValidation type="textLength" operator="lessThanOrEqual" allowBlank="1" showInputMessage="1" showErrorMessage="1" errorTitle="Invalid input" error="Please enter valid value max length allowed 500." sqref="M208:N208">
      <formula1>500</formula1>
    </dataValidation>
    <dataValidation type="textLength" operator="lessThanOrEqual" allowBlank="1" showInputMessage="1" showErrorMessage="1" errorTitle="Invalid input" error="Please enter valid value max length allowed 500." sqref="M210:N210">
      <formula1>500</formula1>
    </dataValidation>
    <dataValidation type="textLength" operator="lessThanOrEqual" allowBlank="1" showInputMessage="1" showErrorMessage="1" errorTitle="Invalid input" error="Please enter valid value max length allowed 500." sqref="B212:N212">
      <formula1>500</formula1>
    </dataValidation>
    <dataValidation type="textLength" operator="lessThanOrEqual" allowBlank="1" showInputMessage="1" showErrorMessage="1" errorTitle="Invalid input" error="Please enter valid value max length allowed 500." sqref="M213:N213">
      <formula1>500</formula1>
    </dataValidation>
    <dataValidation type="textLength" operator="lessThanOrEqual" allowBlank="1" showInputMessage="1" showErrorMessage="1" errorTitle="Invalid input" error="Please enter valid value max length allowed 500." sqref="B215:N215">
      <formula1>500</formula1>
    </dataValidation>
    <dataValidation type="textLength" operator="lessThanOrEqual" allowBlank="1" showInputMessage="1" showErrorMessage="1" errorTitle="Invalid input" error="Please enter valid value max length allowed 500." sqref="M218:N218">
      <formula1>500</formula1>
    </dataValidation>
    <dataValidation type="textLength" operator="lessThanOrEqual" allowBlank="1" showInputMessage="1" showErrorMessage="1" errorTitle="Invalid input" error="Please enter valid value max length allowed 500." sqref="B220:N220">
      <formula1>500</formula1>
    </dataValidation>
    <dataValidation type="textLength" operator="lessThanOrEqual" allowBlank="1" showInputMessage="1" showErrorMessage="1" errorTitle="Invalid input" error="Please enter valid value max length allowed 500." sqref="M228:N228">
      <formula1>500</formula1>
    </dataValidation>
    <dataValidation type="textLength" operator="lessThanOrEqual" allowBlank="1" showInputMessage="1" showErrorMessage="1" errorTitle="Invalid input" error="Please enter valid value max length allowed 500." sqref="B229:N229">
      <formula1>500</formula1>
    </dataValidation>
    <dataValidation type="textLength" operator="lessThanOrEqual" allowBlank="1" showInputMessage="1" showErrorMessage="1" errorTitle="Invalid input" error="Please enter valid value max length allowed 500." sqref="M244:N244">
      <formula1>500</formula1>
    </dataValidation>
    <dataValidation type="textLength" operator="lessThanOrEqual" allowBlank="1" showInputMessage="1" showErrorMessage="1" errorTitle="Invalid input" error="Please enter valid value max length allowed 500." sqref="B245:N246">
      <formula1>500</formula1>
    </dataValidation>
    <dataValidation type="custom" operator="lessThan" allowBlank="1" showInputMessage="1" showErrorMessage="1" errorTitle="Invalid input" error="Please enter valid value should be less than 100." sqref="K81:L81">
      <formula1>AND(ISNUMBER(VALUE(K81)),VALUE(K81)&gt;=0,VALUE(K81)&lt;100)</formula1>
    </dataValidation>
    <dataValidation type="custom" allowBlank="1" showInputMessage="1" showErrorMessage="1" errorTitle="Invalid input" error="Please enter valid amount max allowed 999999999999999.99" sqref="Q124:R124">
      <formula1>AND(ISNUMBER(VALUE(Q124)),LEN(Q124)&lt;20,LEFT(Q124,1)&lt;&gt;".",RIGHT(Q124,1)&lt;&gt;".",IFERROR(FIND(".",Q124),LEN(Q124)-2)&gt;=LEN(Q124)-2,IFERROR(FIND(".",SUBSTITUTE(SUBSTITUTE(Q124,"+",""),"-","")),LEN(SUBSTITUTE(SUBSTITUTE(Q124,"+",""),"-",""))+1)&lt;17)</formula1>
    </dataValidation>
    <dataValidation type="textLength" operator="lessThanOrEqual" allowBlank="1" showInputMessage="1" showErrorMessage="1" errorTitle="Invalid input" error="Please enter valid value max length allowed 50." sqref="C135:D135">
      <formula1>50</formula1>
    </dataValidation>
    <dataValidation type="list" allowBlank="1" showInputMessage="1" showErrorMessage="1" sqref="J135:L135">
      <formula1>INDIRECT(G135)</formula1>
    </dataValidation>
    <dataValidation type="custom" allowBlank="1" showInputMessage="1" showErrorMessage="1" errorTitle="Invalid input " error="Please enter valid CIN" sqref="C81:D81">
      <formula1>AND(LEN(C81)&lt;=50,C81=SUBSTITUTE(C81,CHAR(ROW(INDIRECT("32:47"))),""))</formula1>
    </dataValidation>
    <dataValidation type="custom" allowBlank="1" showInputMessage="1" showErrorMessage="1" errorTitle="Invalid Input" error="Please enter valid value between 0 and 999." sqref="M28:N28">
      <formula1>AND(ISNUMBER(VALUE(M28)),VALUE(M28)&gt;=0,LEN(M28)&lt;=3)</formula1>
    </dataValidation>
    <dataValidation type="custom" allowBlank="1" showInputMessage="1" showErrorMessage="1" errorTitle="Invalid Input" error="Please enter valid value between 1 and 999." sqref="M17:N17">
      <formula1>AND(ISNUMBER(VALUE(M17)),VALUE(M17)&gt;0,LEN(M17)&lt;=3)</formula1>
    </dataValidation>
    <dataValidation type="list" allowBlank="1" showInputMessage="1" showErrorMessage="1" sqref="G81:H81">
      <formula1>$BV$2:$BV$3</formula1>
    </dataValidation>
    <dataValidation type="list" allowBlank="1" showInputMessage="1" showErrorMessage="1" sqref="I81:J81">
      <formula1>$BW$2:$BW$4</formula1>
    </dataValidation>
    <dataValidation type="list" allowBlank="1" showInputMessage="1" showErrorMessage="1" sqref="S135">
      <formula1>$BX$2:$BX$5</formula1>
    </dataValidation>
    <dataValidation type="custom" allowBlank="1" showInputMessage="1" showErrorMessage="1" errorTitle="Invalid input" error="Please enter valid amount max allowed 999999999999999.99" sqref="P81:Q81">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89:N89">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95:N95">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108:N108">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110:N110">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124:N124">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126:N126">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135:N135">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Q135:R135">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192:N192">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194:N194">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196:N196">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198:N198">
      <formula1>AND(ISNUMBER(VALUE(M81)),LEN(M81)&lt;20,LEFT(M81,1)&lt;&gt;".",RIGHT(M81,1)&lt;&gt;".",IFERROR(FIND(".",M81),LEN(M81)-2)&gt;=LEN(M81)-2,IFERROR(FIND(".",SUBSTITUTE(SUBSTITUTE(M81,"+",""),"-","")),LEN(SUBSTITUTE(SUBSTITUTE(M81,"+",""),"-",""))+1)&lt;17,_xlfn.NUMBERVALUE(M81)&gt;=0)</formula1>
    </dataValidation>
    <dataValidation type="custom" allowBlank="1" showInputMessage="1" showErrorMessage="1" errorTitle="Invalid input" error="Please enter valid amount max allowed 999999999999999.99" sqref="M200:N200">
      <formula1>AND(ISNUMBER(VALUE(M81)),LEN(M81)&lt;20,LEFT(M81,1)&lt;&gt;".",RIGHT(M81,1)&lt;&gt;".",IFERROR(FIND(".",M81),LEN(M81)-2)&gt;=LEN(M81)-2,IFERROR(FIND(".",SUBSTITUTE(SUBSTITUTE(M81,"+",""),"-","")),LEN(SUBSTITUTE(SUBSTITUTE(M81,"+",""),"-",""))+1)&lt;17,_xlfn.NUMBERVALUE(M81)&gt;=0)</formula1>
    </dataValidation>
    <dataValidation type="textLength" operator="lessThanOrEqual" allowBlank="1" showInputMessage="1" showErrorMessage="1" errorTitle="Invalid input" error="Please enter valid value max length allowed 160." sqref="M240:N240">
      <formula1>160</formula1>
    </dataValidation>
    <dataValidation type="textLength" operator="lessThanOrEqual" allowBlank="1" showInputMessage="1" showErrorMessage="1" errorTitle="Invalid input" error="Please enter valid value max length allowed 160." sqref="B241:N241">
      <formula1>160</formula1>
    </dataValidation>
    <dataValidation type="textLength" operator="lessThanOrEqual" allowBlank="1" showInputMessage="1" showErrorMessage="1" errorTitle="Invalid input" error="Please enter valid value max length allowed 160." sqref="B243:N243">
      <formula1>160</formula1>
    </dataValidation>
    <dataValidation type="textLength" operator="lessThanOrEqual" allowBlank="1" showInputMessage="1" showErrorMessage="1" errorTitle="Invalid input" error="Please enter valid value equal to 10 characters." sqref="Y81:Z81">
      <formula1>10</formula1>
    </dataValidation>
    <dataValidation type="list" allowBlank="1" showInputMessage="1" showErrorMessage="1" sqref="T81:X81">
      <formula1>$BT$2:$BT$3</formula1>
    </dataValidation>
    <dataValidation type="list" allowBlank="1" showInputMessage="1" showErrorMessage="1" sqref="L140">
      <formula1>$BU$2:$BU$13</formula1>
    </dataValidation>
    <dataValidation type="textLength" operator="lessThanOrEqual" allowBlank="1" showInputMessage="1" showErrorMessage="1" errorTitle="Invalid Input" error="Please enter valid input max length allowed 50." sqref="E81:F81">
      <formula1>160</formula1>
    </dataValidation>
    <dataValidation type="custom" allowBlank="1" showInputMessage="1" showErrorMessage="1" errorTitle="Invalid Input" error="Please enter valid value between 1 and 99._x000a_" sqref="M130:N130">
      <formula1>AND(ISNUMBER(VALUE(M130)),VALUE(M130)&gt;=1,VALUE(M130)&lt;=99)</formula1>
    </dataValidation>
    <dataValidation type="custom" allowBlank="1" showInputMessage="1" showErrorMessage="1" errorTitle="Invalid input" error="Please enter valid whole number should be greater than Zero and less than or equal to total number of directors as on the date of meeting" sqref="I21:K25">
      <formula1>AND(_xlfn.NUMBERVALUE(I21)&gt;0,_xlfn.NUMBERVALUE(F21)&gt;=_xlfn.NUMBERVALUE(I21))</formula1>
    </dataValidation>
    <dataValidation type="custom" allowBlank="1" showInputMessage="1" showErrorMessage="1" errorTitle="Invalid input" error="Please enter valid whole number should be greater than Zero and less than or equal to total number of Members as on the date of meeting" sqref="K32:L32">
      <formula1>AND(_xlfn.NUMBERVALUE(K32)&gt;0,_xlfn.NUMBERVALUE(K32)&lt;=_xlfn.NUMBERVALUE(I32))</formula1>
    </dataValidation>
    <dataValidation type="custom" allowBlank="1" showInputMessage="1" showErrorMessage="1" errorTitle="Invalid input" error="Please enter valid value between 1 and 999." sqref="I32:J32">
      <formula1>AND(LEN(I32)&lt;=3,ISNUMBER(VALUE(I32)),VALUE(I32)=INT(VALUE(I32)),VALUE(I32)&gt;=1,ISERROR(FIND("/",I32)))</formula1>
    </dataValidation>
    <dataValidation type="custom" allowBlank="1" showInputMessage="1" showErrorMessage="1" errorTitle="Invalid input" error="Please enter valid value between 0 and 99999." sqref="M202:N202">
      <formula1>AND(LEN(M202)&lt;=5,ISNUMBER(VALUE(M202)),VALUE(M202)=INT(VALUE(M202)),VALUE(M202)&gt;=0,ISERROR(FIND("/",M202)))</formula1>
    </dataValidation>
    <dataValidation type="custom" allowBlank="1" showInputMessage="1" showErrorMessage="1" errorTitle="Invalid input" error="Please enter valid value between 0 and 99999." sqref="M206:N206">
      <formula1>AND(LEN(M202)&lt;=5,ISNUMBER(VALUE(M202)),VALUE(M202)=INT(VALUE(M202)),VALUE(M202)&gt;=0,ISERROR(FIND("/",M202)))</formula1>
    </dataValidation>
    <dataValidation type="custom" allowBlank="1" showInputMessage="1" showErrorMessage="1" errorTitle="Invalid input" error="Please enter valid value between 0 and 99999." sqref="M222:N222">
      <formula1>AND(LEN(M202)&lt;=5,ISNUMBER(VALUE(M202)),VALUE(M202)=INT(VALUE(M202)),VALUE(M202)&gt;=0,ISERROR(FIND("/",M202)))</formula1>
    </dataValidation>
    <dataValidation type="custom" allowBlank="1" showInputMessage="1" showErrorMessage="1" errorTitle="Invalid input" error="Please enter valid value between 0 and 99999." sqref="M224:N224">
      <formula1>AND(LEN(M202)&lt;=5,ISNUMBER(VALUE(M202)),VALUE(M202)=INT(VALUE(M202)),VALUE(M202)&gt;=0,ISERROR(FIND("/",M202)))</formula1>
    </dataValidation>
    <dataValidation type="custom" allowBlank="1" showInputMessage="1" showErrorMessage="1" errorTitle="Invalid input" error="Please enter valid value between 0 and 99999." sqref="M226:N226">
      <formula1>AND(LEN(M202)&lt;=5,ISNUMBER(VALUE(M202)),VALUE(M202)=INT(VALUE(M202)),VALUE(M202)&gt;=0,ISERROR(FIND("/",M202)))</formula1>
    </dataValidation>
    <dataValidation type="custom" allowBlank="1" showInputMessage="1" showErrorMessage="1" errorTitle="Invalid input" error="Please enter valid value between 0 and 99999." sqref="M232:N232">
      <formula1>AND(LEN(M202)&lt;=5,ISNUMBER(VALUE(M202)),VALUE(M202)=INT(VALUE(M202)),VALUE(M202)&gt;=0,ISERROR(FIND("/",M202)))</formula1>
    </dataValidation>
    <dataValidation type="custom" allowBlank="1" showInputMessage="1" showErrorMessage="1" errorTitle="Invalid input" error="Please enter valid value between 0 and 99999." sqref="M234:N234">
      <formula1>AND(LEN(M202)&lt;=5,ISNUMBER(VALUE(M202)),VALUE(M202)=INT(VALUE(M202)),VALUE(M202)&gt;=0,ISERROR(FIND("/",M202)))</formula1>
    </dataValidation>
    <dataValidation type="custom" allowBlank="1" showInputMessage="1" showErrorMessage="1" errorTitle="Invalid input" error="Please enter valid value between 0 and 99999." sqref="M236:N236">
      <formula1>AND(LEN(M202)&lt;=5,ISNUMBER(VALUE(M202)),VALUE(M202)=INT(VALUE(M202)),VALUE(M202)&gt;=0,ISERROR(FIND("/",M202)))</formula1>
    </dataValidation>
    <dataValidation type="custom" allowBlank="1" showInputMessage="1" showErrorMessage="1" errorTitle="Invalid input" error="Please enter valid value between 0 and 99999." sqref="M238:N238">
      <formula1>AND(LEN(M202)&lt;=5,ISNUMBER(VALUE(M202)),VALUE(M202)=INT(VALUE(M202)),VALUE(M202)&gt;=0,ISERROR(FIND("/",M202)))</formula1>
    </dataValidation>
    <dataValidation type="custom" allowBlank="1" showInputMessage="1" showErrorMessage="1" errorTitle="Invalid input" error="Please enter valid amount max allowed 999999999999999.99" sqref="B1">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amount max allowed 999999999999999.99" sqref="E115:N117">
      <formula1>AND(ISNUMBER(VALUE(B1)),LEN(B1)&lt;20,LEFT(B1,1)&lt;&gt;".",RIGHT(B1,1)&lt;&gt;".",IFERROR(FIND(".",B1),LEN(B1)-2)&gt;=LEN(B1)-2,IFERROR(FIND(".",SUBSTITUTE(SUBSTITUTE(B1,"+",""),"-","")),LEN(SUBSTITUTE(SUBSTITUTE(B1,"+",""),"-",""))+1)&lt;17)</formula1>
    </dataValidation>
    <dataValidation type="custom" allowBlank="1" showInputMessage="1" showErrorMessage="1" errorTitle="Invalid input" error="Please enter valid value between 0_x000a_ and 99999." sqref="M204:N204">
      <formula1>AND(LEN(M204)&lt;=5,ISNUMBER(VALUE(M204)),VALUE(M204)=INT(VALUE(M204)),VALUE(M204)&gt;=0,ISERROR(FIND("/",M204)))</formula1>
    </dataValidation>
    <dataValidation type="custom" allowBlank="1" showInputMessage="1" showErrorMessage="1" errorTitle="Invalid input" error="Please enter a valid input should be greater than 0 and less than or equal to 999." sqref="F21:H25">
      <formula1>AND(LEN(F21)&lt;=3,ISNUMBER(VALUE(F21)),VALUE(F21)=INT(VALUE(F21)),VALUE(F21)&gt;=1,ISERROR(FIND("/",F21)))</formula1>
    </dataValidation>
    <dataValidation type="custom" allowBlank="1" showInputMessage="1" showErrorMessage="1" errorTitle="Invalid input" error="Please enter valid resolution number, It should be less than or equal to alphanumeric 10 characters" sqref="I250:L250">
      <formula1>AND(LEN(I250)&lt;=10,SUMPRODUCT(--ISNUMBER(SEARCH(MID(I250,ROW(INDIRECT("1:"&amp;LEN(I250))),1),"0123456789ABCDEFGHIJKLMNOPQRSTUVWXYZabcdefghijklmnopqrstuvwxyz")))&gt;0)</formula1>
    </dataValidation>
    <dataValidation type="custom" allowBlank="1" showInputMessage="1" showErrorMessage="1" errorTitle="Invalid input" error="Please enter valid amount less than 999999999999999.99" sqref="O135:P135">
      <formula1>AND(ISNUMBER(VALUE(O135)),VALUE(O135)&gt;=0,LEN(O135)&lt;20,LEFT(O135,1)&lt;&gt;".",RIGHT(O135,1)&lt;&gt;".",IFERROR(FIND(".",O135),LEN(O135)-2)&gt;=LEN(O135)-2,IFERROR(FIND(".",SUBSTITUTE(SUBSTITUTE(O135,"+",""),"-","")),LEN(SUBSTITUTE(SUBSTITUTE(O135,"+",""),"-",""))+1)&lt;17)</formula1>
    </dataValidation>
    <dataValidation type="list" allowBlank="1" showInputMessage="1" showErrorMessage="1" sqref="C55:H55">
      <formula1>$CA$2:$CA$5</formula1>
    </dataValidation>
    <dataValidation type="list" allowBlank="1" showInputMessage="1" showErrorMessage="1" sqref="E135:F135">
      <formula1>$DN$2:$DN$13</formula1>
    </dataValidation>
    <dataValidation type="custom" allowBlank="1" showInputMessage="1" showErrorMessage="1" error="Please enter a valid DIN or PAN." sqref="J267">
      <formula1>AND(LEN(J267)&lt;=10,ISNUMBER(SUMPRODUCT(SEARCH(MID(J267,ROW(INDIRECT("1:10")),1),"0123456789abcdefghijklmnopqrstuvwxyzABCDEFGHIJKLMNOPQRSTUVWXYZ"))))</formula1>
    </dataValidation>
    <dataValidation type="custom" allowBlank="1" showInputMessage="1" showErrorMessage="1" errorTitle="Invalid input" error="Please enter valid amount max allowed 999999999999999.99" sqref="M90:N90">
      <formula1>AND(ISNUMBER(VALUE(M90)),LEN(M90)&lt;20,LEFT(M90,1)&lt;&gt;".",RIGHT(M90,1)&lt;&gt;".",IFERROR(FIND(".",M90),LEN(M90)-2)&gt;=LEN(M90)-2,IFERROR(FIND(".",SUBSTITUTE(SUBSTITUTE(M90,"+",""),"-","")),LEN(SUBSTITUTE(SUBSTITUTE(M90,"+",""),"-",""))+1)&lt;17)</formula1>
    </dataValidation>
    <dataValidation type="list" allowBlank="1" showInputMessage="1" showErrorMessage="1" sqref="G135:I135">
      <formula1>StateAndDistrict!$A$1:$AJ$1</formula1>
    </dataValidation>
  </dataValidations>
  <pageMargins left="0.7" right="0.7" top="0.75" bottom="0.75" header="0.3" footer="0.3"/>
  <pageSetup orientation="portrait" paperSize="1" r:id="rId11"/>
  <drawing r:id="rId9"/>
  <legacyDrawing r:id="rId10"/>
  <mc:AlternateContent xmlns:mc="http://schemas.openxmlformats.org/markup-compatibility/2006">
    <mc:Choice Requires="x14">
      <controls>
        <mc:AlternateContent xmlns:mc="http://schemas.openxmlformats.org/markup-compatibility/2006">
          <mc:Choice Requires="x14">
            <control shapeId="3074" r:id="rId2" name="Drop Down 2">
              <controlPr defaultSize="0" autoLine="0" linkedCell="$AA$66" listFillRange="$BT$2:$BT$3" autoPict="0">
                <anchor moveWithCells="1">
                  <from>
                    <xdr:col>12</xdr:col>
                    <xdr:colOff>12700</xdr:colOff>
                    <xdr:row>65</xdr:row>
                    <xdr:rowOff>0</xdr:rowOff>
                  </from>
                  <to>
                    <xdr:col>13</xdr:col>
                    <xdr:colOff>622300</xdr:colOff>
                    <xdr:row>66</xdr:row>
                    <xdr:rowOff>0</xdr:rowOff>
                  </to>
                </anchor>
              </controlPr>
            </control>
          </mc:Choice>
        </mc:AlternateContent>
        <mc:AlternateContent xmlns:mc="http://schemas.openxmlformats.org/markup-compatibility/2006">
          <mc:Choice Requires="x14">
            <control shapeId="3075" r:id="rId3" name="Drop Down 3">
              <controlPr defaultSize="0" autoLine="0" linkedCell="$AA$68" listFillRange="$BT$2:$BT$3" autoPict="0">
                <anchor moveWithCells="1">
                  <from>
                    <xdr:col>12</xdr:col>
                    <xdr:colOff>0</xdr:colOff>
                    <xdr:row>67</xdr:row>
                    <xdr:rowOff>0</xdr:rowOff>
                  </from>
                  <to>
                    <xdr:col>13</xdr:col>
                    <xdr:colOff>622300</xdr:colOff>
                    <xdr:row>69</xdr:row>
                    <xdr:rowOff>31750</xdr:rowOff>
                  </to>
                </anchor>
              </controlPr>
            </control>
          </mc:Choice>
        </mc:AlternateContent>
        <mc:AlternateContent xmlns:mc="http://schemas.openxmlformats.org/markup-compatibility/2006">
          <mc:Choice Requires="x14">
            <control shapeId="3076" r:id="rId4" name="Drop Down 13">
              <controlPr locked="0" defaultSize="0" autoLine="0" linkedCell="$AA$106" listFillRange="$BT$2:$BT$3" autoPict="0">
                <anchor moveWithCells="1">
                  <from>
                    <xdr:col>12</xdr:col>
                    <xdr:colOff>12700</xdr:colOff>
                    <xdr:row>105</xdr:row>
                    <xdr:rowOff>0</xdr:rowOff>
                  </from>
                  <to>
                    <xdr:col>14</xdr:col>
                    <xdr:colOff>0</xdr:colOff>
                    <xdr:row>151</xdr:row>
                    <xdr:rowOff>12700</xdr:rowOff>
                  </to>
                </anchor>
              </controlPr>
            </control>
          </mc:Choice>
        </mc:AlternateContent>
        <mc:AlternateContent xmlns:mc="http://schemas.openxmlformats.org/markup-compatibility/2006">
          <mc:Choice Requires="x14">
            <control shapeId="3077" r:id="rId5" name="Drop Down 18">
              <controlPr locked="0" defaultSize="0" autoLine="0" linkedCell="$AA$149" listFillRange="$BT$2:$BT$3" autoPict="0">
                <anchor moveWithCells="1">
                  <from>
                    <xdr:col>12</xdr:col>
                    <xdr:colOff>0</xdr:colOff>
                    <xdr:row>148</xdr:row>
                    <xdr:rowOff>0</xdr:rowOff>
                  </from>
                  <to>
                    <xdr:col>14</xdr:col>
                    <xdr:colOff>31750</xdr:colOff>
                    <xdr:row>151</xdr:row>
                    <xdr:rowOff>0</xdr:rowOff>
                  </to>
                </anchor>
              </controlPr>
            </control>
          </mc:Choice>
        </mc:AlternateContent>
        <mc:AlternateContent xmlns:mc="http://schemas.openxmlformats.org/markup-compatibility/2006">
          <mc:Choice Requires="x14">
            <control shapeId="3078" r:id="rId6" name="Drop Down 21">
              <controlPr defaultSize="0" autoLine="0" linkedCell="$AA$14" listFillRange="$BT$2:$BT$3" autoPict="0">
                <anchor moveWithCells="1">
                  <from>
                    <xdr:col>12</xdr:col>
                    <xdr:colOff>0</xdr:colOff>
                    <xdr:row>13</xdr:row>
                    <xdr:rowOff>0</xdr:rowOff>
                  </from>
                  <to>
                    <xdr:col>14</xdr:col>
                    <xdr:colOff>31750</xdr:colOff>
                    <xdr:row>14</xdr:row>
                    <xdr:rowOff>31750</xdr:rowOff>
                  </to>
                </anchor>
              </controlPr>
            </control>
          </mc:Choice>
        </mc:AlternateContent>
        <mc:AlternateContent xmlns:mc="http://schemas.openxmlformats.org/markup-compatibility/2006">
          <mc:Choice Requires="x14">
            <control shapeId="3079" r:id="rId7" name="Drop Down 22">
              <controlPr defaultSize="0" autoLine="0" linkedCell="$AA$70" listFillRange="$BT$2:$BT$3" autoPict="0">
                <anchor moveWithCells="1">
                  <from>
                    <xdr:col>12</xdr:col>
                    <xdr:colOff>12700</xdr:colOff>
                    <xdr:row>68</xdr:row>
                    <xdr:rowOff>184150</xdr:rowOff>
                  </from>
                  <to>
                    <xdr:col>13</xdr:col>
                    <xdr:colOff>622300</xdr:colOff>
                    <xdr:row>70</xdr:row>
                    <xdr:rowOff>12700</xdr:rowOff>
                  </to>
                </anchor>
              </controlPr>
            </control>
          </mc:Choice>
        </mc:AlternateContent>
        <mc:AlternateContent xmlns:mc="http://schemas.openxmlformats.org/markup-compatibility/2006">
          <mc:Choice Requires="x14">
            <control shapeId="3080" r:id="rId8" name="Drop Down 25">
              <controlPr defaultSize="0" autoLine="0" linkedCell="$AA$264" listFillRange="$BZ$2:$BZ$3" autoPict="0">
                <anchor moveWithCells="1">
                  <from>
                    <xdr:col>9</xdr:col>
                    <xdr:colOff>0</xdr:colOff>
                    <xdr:row>262</xdr:row>
                    <xdr:rowOff>184150</xdr:rowOff>
                  </from>
                  <to>
                    <xdr:col>12</xdr:col>
                    <xdr:colOff>12700</xdr:colOff>
                    <xdr:row>264</xdr:row>
                    <xdr:rowOff>12700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3</vt:i4>
      </vt:variant>
    </vt:vector>
  </HeadingPairs>
  <TitlesOfParts>
    <vt:vector size="3" baseType="lpstr">
      <vt:lpstr>ReadMe</vt:lpstr>
      <vt:lpstr>StateAndDistrict</vt:lpstr>
      <vt:lpstr>FORM</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